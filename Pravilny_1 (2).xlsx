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2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  <sheet xmlns:r="http://schemas.openxmlformats.org/officeDocument/2006/relationships" name="Лист4" sheetId="4" state="visible" r:id="rId4"/>
    <sheet xmlns:r="http://schemas.openxmlformats.org/officeDocument/2006/relationships" name="Лист5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Calibri"/>
      <family val="2"/>
      <color theme="1"/>
      <sz val="11"/>
      <scheme val="minor"/>
    </font>
    <font>
      <name val="Arial"/>
      <charset val="204"/>
      <family val="2"/>
      <b val="1"/>
      <color rgb="FF1D1D1F"/>
      <sz val="8"/>
    </font>
    <font>
      <name val="Calibri"/>
      <charset val="204"/>
      <family val="2"/>
      <sz val="8"/>
      <scheme val="minor"/>
    </font>
    <font>
      <name val="Times New Roman"/>
      <charset val="204"/>
      <family val="1"/>
      <i val="1"/>
      <sz val="14"/>
    </font>
    <font>
      <name val="Times New Roman"/>
      <charset val="204"/>
      <family val="1"/>
      <sz val="11"/>
    </font>
    <font>
      <name val="Times New Roman"/>
      <charset val="204"/>
      <family val="1"/>
      <sz val="11"/>
      <vertAlign val="subscript"/>
    </font>
    <font>
      <name val="Times New Roman"/>
      <charset val="204"/>
      <family val="1"/>
      <sz val="14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3">
    <xf numFmtId="0" fontId="0" fillId="0" borderId="0" pivotButton="0" quotePrefix="0" xfId="0"/>
    <xf numFmtId="2" fontId="0" fillId="0" borderId="1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3" borderId="1" applyAlignment="1" pivotButton="0" quotePrefix="0" xfId="0">
      <alignment horizontal="center"/>
    </xf>
    <xf numFmtId="2" fontId="0" fillId="3" borderId="1" pivotButton="0" quotePrefix="0" xfId="0"/>
    <xf numFmtId="2" fontId="0" fillId="3" borderId="2" pivotButton="0" quotePrefix="0" xfId="0"/>
    <xf numFmtId="0" fontId="1" fillId="2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0" pivotButton="0" quotePrefix="0" xfId="0"/>
    <xf numFmtId="164" fontId="0" fillId="0" borderId="12" pivotButton="0" quotePrefix="0" xfId="0"/>
    <xf numFmtId="164" fontId="0" fillId="5" borderId="9" pivotButton="0" quotePrefix="0" xfId="0"/>
    <xf numFmtId="164" fontId="0" fillId="0" borderId="10" pivotButton="0" quotePrefix="0" xfId="0"/>
    <xf numFmtId="164" fontId="0" fillId="0" borderId="13" pivotButton="0" quotePrefix="0" xfId="0"/>
    <xf numFmtId="164" fontId="0" fillId="0" borderId="14" pivotButton="0" quotePrefix="0" xfId="0"/>
    <xf numFmtId="164" fontId="0" fillId="0" borderId="9" pivotButton="0" quotePrefix="0" xfId="0"/>
    <xf numFmtId="164" fontId="0" fillId="5" borderId="13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5" borderId="15" pivotButton="0" quotePrefix="0" xfId="0"/>
    <xf numFmtId="164" fontId="0" fillId="0" borderId="7" pivotButton="0" quotePrefix="0" xfId="0"/>
    <xf numFmtId="164" fontId="0" fillId="6" borderId="0" pivotButton="0" quotePrefix="0" xfId="0"/>
    <xf numFmtId="164" fontId="0" fillId="7" borderId="11" pivotButton="0" quotePrefix="0" xfId="0"/>
    <xf numFmtId="164" fontId="0" fillId="9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17" applyAlignment="1" pivotButton="0" quotePrefix="0" xfId="0">
      <alignment horizontal="justify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justify" vertical="center" wrapText="1"/>
    </xf>
    <xf numFmtId="0" fontId="5" fillId="0" borderId="21" applyAlignment="1" pivotButton="0" quotePrefix="0" xfId="0">
      <alignment horizontal="justify" vertical="center" wrapText="1"/>
    </xf>
    <xf numFmtId="0" fontId="5" fillId="0" borderId="22" applyAlignment="1" pivotButton="0" quotePrefix="0" xfId="0">
      <alignment horizontal="justify" vertical="center" wrapText="1"/>
    </xf>
    <xf numFmtId="164" fontId="0" fillId="0" borderId="23" pivotButton="0" quotePrefix="0" xfId="0"/>
    <xf numFmtId="164" fontId="0" fillId="0" borderId="24" pivotButton="0" quotePrefix="0" xfId="0"/>
    <xf numFmtId="164" fontId="0" fillId="0" borderId="25" pivotButton="0" quotePrefix="0" xfId="0"/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9" applyAlignment="1" pivotButton="0" quotePrefix="0" xfId="0">
      <alignment horizontal="center"/>
    </xf>
    <xf numFmtId="164" fontId="0" fillId="4" borderId="10" applyAlignment="1" pivotButton="0" quotePrefix="0" xfId="0">
      <alignment horizontal="center"/>
    </xf>
    <xf numFmtId="164" fontId="0" fillId="8" borderId="13" applyAlignment="1" pivotButton="0" quotePrefix="0" xfId="0">
      <alignment horizontal="center"/>
    </xf>
    <xf numFmtId="164" fontId="0" fillId="8" borderId="14" applyAlignment="1" pivotButton="0" quotePrefix="0" xfId="0">
      <alignment horizontal="center"/>
    </xf>
    <xf numFmtId="0" fontId="0" fillId="0" borderId="28" pivotButton="0" quotePrefix="0" xfId="0"/>
    <xf numFmtId="164" fontId="0" fillId="4" borderId="23" applyAlignment="1" pivotButton="0" quotePrefix="0" xfId="0">
      <alignment horizontal="center"/>
    </xf>
    <xf numFmtId="0" fontId="0" fillId="0" borderId="10" pivotButton="0" quotePrefix="0" xfId="0"/>
    <xf numFmtId="164" fontId="0" fillId="8" borderId="24" applyAlignment="1" pivotButton="0" quotePrefix="0" xfId="0">
      <alignment horizontal="center"/>
    </xf>
    <xf numFmtId="0" fontId="0" fillId="0" borderId="14" pivotButton="0" quotePrefix="0" xfId="0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t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Лист1!$K$2:$K$402</f>
              <numCache>
                <formatCode>General</formatCode>
                <ptCount val="4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1</v>
                </pt>
                <pt idx="47">
                  <v>1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1</v>
                </pt>
                <pt idx="65">
                  <v>1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1</v>
                </pt>
                <pt idx="70">
                  <v>1</v>
                </pt>
                <pt idx="71">
                  <v>1</v>
                </pt>
                <pt idx="72">
                  <v>1</v>
                </pt>
                <pt idx="73">
                  <v>1</v>
                </pt>
                <pt idx="74">
                  <v>1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1</v>
                </pt>
                <pt idx="79">
                  <v>1</v>
                </pt>
                <pt idx="80">
                  <v>1</v>
                </pt>
                <pt idx="81">
                  <v>1</v>
                </pt>
                <pt idx="82">
                  <v>1</v>
                </pt>
                <pt idx="83">
                  <v>1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1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1</v>
                </pt>
                <pt idx="99">
                  <v>1</v>
                </pt>
                <pt idx="100">
                  <v>1</v>
                </pt>
                <pt idx="101">
                  <v>1</v>
                </pt>
                <pt idx="102">
                  <v>1</v>
                </pt>
                <pt idx="103">
                  <v>1</v>
                </pt>
                <pt idx="104">
                  <v>1</v>
                </pt>
                <pt idx="105">
                  <v>1</v>
                </pt>
                <pt idx="106">
                  <v>1</v>
                </pt>
                <pt idx="107">
                  <v>1</v>
                </pt>
                <pt idx="108">
                  <v>1</v>
                </pt>
                <pt idx="109">
                  <v>1</v>
                </pt>
                <pt idx="110">
                  <v>1</v>
                </pt>
                <pt idx="111">
                  <v>1</v>
                </pt>
                <pt idx="112">
                  <v>1</v>
                </pt>
                <pt idx="113">
                  <v>1</v>
                </pt>
                <pt idx="114">
                  <v>1</v>
                </pt>
                <pt idx="115">
                  <v>1</v>
                </pt>
                <pt idx="116">
                  <v>1</v>
                </pt>
                <pt idx="117">
                  <v>1</v>
                </pt>
                <pt idx="118">
                  <v>1</v>
                </pt>
                <pt idx="119">
                  <v>1</v>
                </pt>
                <pt idx="120">
                  <v>1</v>
                </pt>
                <pt idx="121">
                  <v>1</v>
                </pt>
                <pt idx="122">
                  <v>1</v>
                </pt>
                <pt idx="123">
                  <v>1</v>
                </pt>
                <pt idx="124">
                  <v>1</v>
                </pt>
                <pt idx="125">
                  <v>1</v>
                </pt>
                <pt idx="126">
                  <v>1</v>
                </pt>
                <pt idx="127">
                  <v>1</v>
                </pt>
                <pt idx="128">
                  <v>1</v>
                </pt>
                <pt idx="129">
                  <v>1</v>
                </pt>
                <pt idx="130">
                  <v>1</v>
                </pt>
                <pt idx="131">
                  <v>1</v>
                </pt>
                <pt idx="132">
                  <v>1</v>
                </pt>
                <pt idx="133">
                  <v>1</v>
                </pt>
                <pt idx="134">
                  <v>1</v>
                </pt>
                <pt idx="135">
                  <v>1</v>
                </pt>
                <pt idx="136">
                  <v>1</v>
                </pt>
                <pt idx="137">
                  <v>1</v>
                </pt>
                <pt idx="138">
                  <v>1</v>
                </pt>
                <pt idx="139">
                  <v>1</v>
                </pt>
                <pt idx="140">
                  <v>1</v>
                </pt>
                <pt idx="141">
                  <v>1</v>
                </pt>
                <pt idx="142">
                  <v>1</v>
                </pt>
                <pt idx="143">
                  <v>1</v>
                </pt>
                <pt idx="144">
                  <v>1</v>
                </pt>
                <pt idx="145">
                  <v>1</v>
                </pt>
                <pt idx="146">
                  <v>1</v>
                </pt>
                <pt idx="147">
                  <v>1</v>
                </pt>
                <pt idx="148">
                  <v>1</v>
                </pt>
                <pt idx="149">
                  <v>1</v>
                </pt>
                <pt idx="150">
                  <v>1</v>
                </pt>
                <pt idx="151">
                  <v>1</v>
                </pt>
                <pt idx="152">
                  <v>1</v>
                </pt>
                <pt idx="153">
                  <v>1</v>
                </pt>
                <pt idx="154">
                  <v>1</v>
                </pt>
                <pt idx="155">
                  <v>1</v>
                </pt>
                <pt idx="156">
                  <v>1</v>
                </pt>
                <pt idx="157">
                  <v>1</v>
                </pt>
                <pt idx="158">
                  <v>1</v>
                </pt>
                <pt idx="159">
                  <v>1</v>
                </pt>
                <pt idx="160">
                  <v>1</v>
                </pt>
                <pt idx="161">
                  <v>1</v>
                </pt>
                <pt idx="162">
                  <v>1</v>
                </pt>
                <pt idx="163">
                  <v>1</v>
                </pt>
                <pt idx="164">
                  <v>1</v>
                </pt>
                <pt idx="165">
                  <v>1</v>
                </pt>
                <pt idx="166">
                  <v>1</v>
                </pt>
                <pt idx="167">
                  <v>1</v>
                </pt>
                <pt idx="168">
                  <v>1</v>
                </pt>
                <pt idx="169">
                  <v>1</v>
                </pt>
                <pt idx="170">
                  <v>1</v>
                </pt>
                <pt idx="171">
                  <v>1</v>
                </pt>
                <pt idx="172">
                  <v>1</v>
                </pt>
                <pt idx="173">
                  <v>1</v>
                </pt>
                <pt idx="174">
                  <v>1</v>
                </pt>
                <pt idx="175">
                  <v>1</v>
                </pt>
                <pt idx="176">
                  <v>1</v>
                </pt>
                <pt idx="177">
                  <v>1</v>
                </pt>
                <pt idx="178">
                  <v>1</v>
                </pt>
                <pt idx="179">
                  <v>1</v>
                </pt>
                <pt idx="180">
                  <v>1</v>
                </pt>
                <pt idx="181">
                  <v>1</v>
                </pt>
                <pt idx="182">
                  <v>1</v>
                </pt>
                <pt idx="183">
                  <v>1</v>
                </pt>
                <pt idx="184">
                  <v>1</v>
                </pt>
                <pt idx="185">
                  <v>1</v>
                </pt>
                <pt idx="186">
                  <v>1</v>
                </pt>
                <pt idx="187">
                  <v>1</v>
                </pt>
                <pt idx="188">
                  <v>1</v>
                </pt>
                <pt idx="189">
                  <v>1</v>
                </pt>
                <pt idx="190">
                  <v>1</v>
                </pt>
                <pt idx="191">
                  <v>1</v>
                </pt>
                <pt idx="192">
                  <v>1</v>
                </pt>
                <pt idx="193">
                  <v>1</v>
                </pt>
                <pt idx="194">
                  <v>1</v>
                </pt>
                <pt idx="195">
                  <v>1</v>
                </pt>
                <pt idx="196">
                  <v>1</v>
                </pt>
                <pt idx="197">
                  <v>1</v>
                </pt>
                <pt idx="198">
                  <v>1</v>
                </pt>
                <pt idx="199">
                  <v>1</v>
                </pt>
                <pt idx="200">
                  <v>1</v>
                </pt>
                <pt idx="201">
                  <v>1</v>
                </pt>
                <pt idx="202">
                  <v>1</v>
                </pt>
                <pt idx="203">
                  <v>1</v>
                </pt>
                <pt idx="204">
                  <v>1</v>
                </pt>
                <pt idx="205">
                  <v>1</v>
                </pt>
                <pt idx="206">
                  <v>1</v>
                </pt>
                <pt idx="207">
                  <v>1</v>
                </pt>
                <pt idx="208">
                  <v>1</v>
                </pt>
                <pt idx="209">
                  <v>1</v>
                </pt>
                <pt idx="210">
                  <v>1</v>
                </pt>
                <pt idx="211">
                  <v>1</v>
                </pt>
                <pt idx="212">
                  <v>1</v>
                </pt>
                <pt idx="213">
                  <v>1</v>
                </pt>
                <pt idx="214">
                  <v>1</v>
                </pt>
                <pt idx="215">
                  <v>1</v>
                </pt>
                <pt idx="216">
                  <v>1</v>
                </pt>
                <pt idx="217">
                  <v>1</v>
                </pt>
                <pt idx="218">
                  <v>1</v>
                </pt>
                <pt idx="219">
                  <v>1</v>
                </pt>
                <pt idx="220">
                  <v>1</v>
                </pt>
                <pt idx="221">
                  <v>1</v>
                </pt>
                <pt idx="222">
                  <v>1</v>
                </pt>
                <pt idx="223">
                  <v>1</v>
                </pt>
                <pt idx="224">
                  <v>1</v>
                </pt>
                <pt idx="225">
                  <v>1</v>
                </pt>
                <pt idx="226">
                  <v>1</v>
                </pt>
                <pt idx="227">
                  <v>1</v>
                </pt>
                <pt idx="228">
                  <v>1</v>
                </pt>
                <pt idx="229">
                  <v>1</v>
                </pt>
                <pt idx="230">
                  <v>1</v>
                </pt>
                <pt idx="231">
                  <v>1</v>
                </pt>
                <pt idx="232">
                  <v>1</v>
                </pt>
                <pt idx="233">
                  <v>1</v>
                </pt>
                <pt idx="234">
                  <v>1</v>
                </pt>
                <pt idx="235">
                  <v>1</v>
                </pt>
                <pt idx="236">
                  <v>1</v>
                </pt>
                <pt idx="237">
                  <v>1</v>
                </pt>
                <pt idx="238">
                  <v>1</v>
                </pt>
                <pt idx="239">
                  <v>1</v>
                </pt>
                <pt idx="240">
                  <v>1</v>
                </pt>
                <pt idx="241">
                  <v>1</v>
                </pt>
                <pt idx="242">
                  <v>1</v>
                </pt>
                <pt idx="243">
                  <v>1</v>
                </pt>
                <pt idx="244">
                  <v>1</v>
                </pt>
                <pt idx="245">
                  <v>1</v>
                </pt>
                <pt idx="246">
                  <v>1</v>
                </pt>
                <pt idx="247">
                  <v>1</v>
                </pt>
                <pt idx="248">
                  <v>1</v>
                </pt>
                <pt idx="249">
                  <v>1</v>
                </pt>
                <pt idx="250">
                  <v>1</v>
                </pt>
                <pt idx="251">
                  <v>1</v>
                </pt>
                <pt idx="252">
                  <v>1</v>
                </pt>
                <pt idx="253">
                  <v>1</v>
                </pt>
                <pt idx="254">
                  <v>1</v>
                </pt>
                <pt idx="255">
                  <v>1</v>
                </pt>
                <pt idx="256">
                  <v>1</v>
                </pt>
                <pt idx="257">
                  <v>1</v>
                </pt>
                <pt idx="258">
                  <v>1</v>
                </pt>
                <pt idx="259">
                  <v>1</v>
                </pt>
                <pt idx="260">
                  <v>1</v>
                </pt>
                <pt idx="261">
                  <v>1</v>
                </pt>
                <pt idx="262">
                  <v>1</v>
                </pt>
                <pt idx="263">
                  <v>1</v>
                </pt>
                <pt idx="264">
                  <v>1</v>
                </pt>
                <pt idx="265">
                  <v>1</v>
                </pt>
                <pt idx="266">
                  <v>1</v>
                </pt>
                <pt idx="267">
                  <v>1</v>
                </pt>
                <pt idx="268">
                  <v>1</v>
                </pt>
                <pt idx="269">
                  <v>1</v>
                </pt>
                <pt idx="270">
                  <v>1</v>
                </pt>
                <pt idx="271">
                  <v>1</v>
                </pt>
                <pt idx="272">
                  <v>1</v>
                </pt>
                <pt idx="273">
                  <v>1</v>
                </pt>
                <pt idx="274">
                  <v>1</v>
                </pt>
                <pt idx="275">
                  <v>1</v>
                </pt>
                <pt idx="276">
                  <v>1</v>
                </pt>
                <pt idx="277">
                  <v>1</v>
                </pt>
                <pt idx="278">
                  <v>1</v>
                </pt>
                <pt idx="279">
                  <v>1</v>
                </pt>
                <pt idx="280">
                  <v>1</v>
                </pt>
                <pt idx="281">
                  <v>1</v>
                </pt>
                <pt idx="282">
                  <v>1</v>
                </pt>
                <pt idx="283">
                  <v>1</v>
                </pt>
                <pt idx="284">
                  <v>1</v>
                </pt>
                <pt idx="285">
                  <v>1</v>
                </pt>
                <pt idx="286">
                  <v>1</v>
                </pt>
                <pt idx="287">
                  <v>1</v>
                </pt>
                <pt idx="288">
                  <v>1</v>
                </pt>
                <pt idx="289">
                  <v>1</v>
                </pt>
                <pt idx="290">
                  <v>1</v>
                </pt>
                <pt idx="291">
                  <v>1</v>
                </pt>
                <pt idx="292">
                  <v>1</v>
                </pt>
                <pt idx="293">
                  <v>1</v>
                </pt>
                <pt idx="294">
                  <v>1</v>
                </pt>
                <pt idx="295">
                  <v>1</v>
                </pt>
                <pt idx="296">
                  <v>1</v>
                </pt>
                <pt idx="297">
                  <v>1</v>
                </pt>
                <pt idx="298">
                  <v>1</v>
                </pt>
                <pt idx="299">
                  <v>1</v>
                </pt>
                <pt idx="300">
                  <v>1</v>
                </pt>
                <pt idx="301">
                  <v>1</v>
                </pt>
                <pt idx="302">
                  <v>1</v>
                </pt>
                <pt idx="303">
                  <v>1</v>
                </pt>
                <pt idx="304">
                  <v>1</v>
                </pt>
                <pt idx="305">
                  <v>1</v>
                </pt>
                <pt idx="306">
                  <v>1</v>
                </pt>
                <pt idx="307">
                  <v>1</v>
                </pt>
                <pt idx="308">
                  <v>1</v>
                </pt>
                <pt idx="309">
                  <v>1</v>
                </pt>
                <pt idx="310">
                  <v>1</v>
                </pt>
                <pt idx="311">
                  <v>1</v>
                </pt>
                <pt idx="312">
                  <v>1</v>
                </pt>
                <pt idx="313">
                  <v>1</v>
                </pt>
                <pt idx="314">
                  <v>1</v>
                </pt>
                <pt idx="315">
                  <v>1</v>
                </pt>
                <pt idx="316">
                  <v>1</v>
                </pt>
                <pt idx="317">
                  <v>1</v>
                </pt>
                <pt idx="318">
                  <v>1</v>
                </pt>
                <pt idx="319">
                  <v>1</v>
                </pt>
                <pt idx="320">
                  <v>1</v>
                </pt>
                <pt idx="321">
                  <v>1</v>
                </pt>
                <pt idx="322">
                  <v>1</v>
                </pt>
                <pt idx="323">
                  <v>1</v>
                </pt>
                <pt idx="324">
                  <v>1</v>
                </pt>
                <pt idx="325">
                  <v>1</v>
                </pt>
                <pt idx="326">
                  <v>1</v>
                </pt>
                <pt idx="327">
                  <v>1</v>
                </pt>
                <pt idx="328">
                  <v>1</v>
                </pt>
                <pt idx="329">
                  <v>1</v>
                </pt>
                <pt idx="330">
                  <v>1</v>
                </pt>
                <pt idx="331">
                  <v>1</v>
                </pt>
                <pt idx="332">
                  <v>1</v>
                </pt>
                <pt idx="333">
                  <v>1</v>
                </pt>
                <pt idx="334">
                  <v>1</v>
                </pt>
                <pt idx="335">
                  <v>1</v>
                </pt>
                <pt idx="336">
                  <v>1</v>
                </pt>
                <pt idx="337">
                  <v>1</v>
                </pt>
                <pt idx="338">
                  <v>1</v>
                </pt>
                <pt idx="339">
                  <v>1</v>
                </pt>
                <pt idx="340">
                  <v>1</v>
                </pt>
                <pt idx="341">
                  <v>1</v>
                </pt>
                <pt idx="342">
                  <v>1</v>
                </pt>
                <pt idx="343">
                  <v>1</v>
                </pt>
                <pt idx="344">
                  <v>1</v>
                </pt>
                <pt idx="345">
                  <v>1</v>
                </pt>
                <pt idx="346">
                  <v>1</v>
                </pt>
                <pt idx="347">
                  <v>1</v>
                </pt>
                <pt idx="348">
                  <v>1</v>
                </pt>
                <pt idx="349">
                  <v>1</v>
                </pt>
                <pt idx="350">
                  <v>1</v>
                </pt>
                <pt idx="351">
                  <v>1</v>
                </pt>
                <pt idx="352">
                  <v>1</v>
                </pt>
                <pt idx="353">
                  <v>1</v>
                </pt>
                <pt idx="354">
                  <v>1</v>
                </pt>
                <pt idx="355">
                  <v>1</v>
                </pt>
                <pt idx="356">
                  <v>1</v>
                </pt>
                <pt idx="357">
                  <v>1</v>
                </pt>
                <pt idx="358">
                  <v>1</v>
                </pt>
                <pt idx="359">
                  <v>1</v>
                </pt>
                <pt idx="360">
                  <v>1</v>
                </pt>
                <pt idx="361">
                  <v>1</v>
                </pt>
                <pt idx="362">
                  <v>1</v>
                </pt>
                <pt idx="363">
                  <v>1</v>
                </pt>
                <pt idx="364">
                  <v>1</v>
                </pt>
                <pt idx="365">
                  <v>1</v>
                </pt>
                <pt idx="366">
                  <v>1</v>
                </pt>
                <pt idx="367">
                  <v>1</v>
                </pt>
                <pt idx="368">
                  <v>1</v>
                </pt>
                <pt idx="369">
                  <v>1</v>
                </pt>
                <pt idx="370">
                  <v>1</v>
                </pt>
                <pt idx="371">
                  <v>1</v>
                </pt>
                <pt idx="372">
                  <v>1</v>
                </pt>
                <pt idx="373">
                  <v>1</v>
                </pt>
                <pt idx="374">
                  <v>1</v>
                </pt>
                <pt idx="375">
                  <v>1</v>
                </pt>
                <pt idx="376">
                  <v>1</v>
                </pt>
                <pt idx="377">
                  <v>1</v>
                </pt>
                <pt idx="378">
                  <v>1</v>
                </pt>
                <pt idx="379">
                  <v>1</v>
                </pt>
                <pt idx="380">
                  <v>1</v>
                </pt>
                <pt idx="381">
                  <v>1</v>
                </pt>
                <pt idx="382">
                  <v>1</v>
                </pt>
                <pt idx="383">
                  <v>1</v>
                </pt>
                <pt idx="384">
                  <v>1</v>
                </pt>
                <pt idx="385">
                  <v>1</v>
                </pt>
                <pt idx="386">
                  <v>1</v>
                </pt>
                <pt idx="387">
                  <v>1</v>
                </pt>
                <pt idx="388">
                  <v>1</v>
                </pt>
                <pt idx="389">
                  <v>1</v>
                </pt>
                <pt idx="390">
                  <v>1</v>
                </pt>
                <pt idx="391">
                  <v>1</v>
                </pt>
                <pt idx="392">
                  <v>1</v>
                </pt>
                <pt idx="393">
                  <v>1</v>
                </pt>
                <pt idx="394">
                  <v>1</v>
                </pt>
                <pt idx="395">
                  <v>1</v>
                </pt>
                <pt idx="396">
                  <v>1</v>
                </pt>
                <pt idx="397">
                  <v>1</v>
                </pt>
                <pt idx="398">
                  <v>1</v>
                </pt>
                <pt idx="399">
                  <v>1</v>
                </pt>
                <pt idx="400">
                  <v>1</v>
                </pt>
              </numCache>
            </numRef>
          </val>
          <smooth val="0"/>
        </ser>
        <ser>
          <idx val="1"/>
          <order val="1"/>
          <tx>
            <strRef>
              <f>Лист1!$L$1</f>
              <strCache>
                <ptCount val="1"/>
                <pt idx="0">
                  <v>y(t)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Лист1!$L$2:$L$402</f>
              <numCache>
                <formatCode>General</formatCode>
                <ptCount val="4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0.008650576817233357</v>
                </pt>
                <pt idx="82">
                  <v>0.03308493723855044</v>
                </pt>
                <pt idx="83">
                  <v>0.07119620044236719</v>
                </pt>
                <pt idx="84">
                  <v>0.1210870770064307</v>
                </pt>
                <pt idx="85">
                  <v>0.1810512889748424</v>
                </pt>
                <pt idx="86">
                  <v>0.2495565404864344</v>
                </pt>
                <pt idx="87">
                  <v>0.3252289141697169</v>
                </pt>
                <pt idx="88">
                  <v>0.4068385783202784</v>
                </pt>
                <pt idx="89">
                  <v>0.493286698928002</v>
                </pt>
                <pt idx="90">
                  <v>0.5835934589721194</v>
                </pt>
                <pt idx="91">
                  <v>0.6768870951054637</v>
                </pt>
                <pt idx="92">
                  <v>0.7723938689550316</v>
                </pt>
                <pt idx="93">
                  <v>0.8694288968197021</v>
                </pt>
                <pt idx="94">
                  <v>0.967387767590302</v>
                </pt>
                <pt idx="95">
                  <v>1.065738884291028</v>
                </pt>
                <pt idx="96">
                  <v>1.164016469780778</v>
                </pt>
                <pt idx="97">
                  <v>1.261814181891683</v>
                </pt>
                <pt idx="98">
                  <v>1.358779287650661</v>
                </pt>
                <pt idx="99">
                  <v>1.454607350256922</v>
                </pt>
                <pt idx="100">
                  <v>1.54903738620018</v>
                </pt>
                <pt idx="101">
                  <v>1.6418474533252</v>
                </pt>
                <pt idx="102">
                  <v>1.732850633800789</v>
                </pt>
                <pt idx="103">
                  <v>1.821891378856029</v>
                </pt>
                <pt idx="104">
                  <v>1.908842184822788</v>
                </pt>
                <pt idx="105">
                  <v>1.993600572488766</v>
                </pt>
                <pt idx="106">
                  <v>2.07608634403618</v>
                </pt>
                <pt idx="107">
                  <v>2.156239093932516</v>
                </pt>
                <pt idx="108">
                  <v>2.234015952065599</v>
                </pt>
                <pt idx="109">
                  <v>2.309389539188442</v>
                </pt>
                <pt idx="110">
                  <v>2.382346116371761</v>
                </pt>
                <pt idx="111">
                  <v>2.452883911664657</v>
                </pt>
                <pt idx="112">
                  <v>2.521011608546916</v>
                </pt>
                <pt idx="113">
                  <v>2.586746982028975</v>
                </pt>
                <pt idx="114">
                  <v>2.650115669426497</v>
                </pt>
                <pt idx="115">
                  <v>2.711150063913617</v>
                </pt>
                <pt idx="116">
                  <v>2.769888319949644</v>
                </pt>
                <pt idx="117">
                  <v>2.826373460585093</v>
                </pt>
                <pt idx="118">
                  <v>2.880652577490622</v>
                </pt>
                <pt idx="119">
                  <v>2.932776115322544</v>
                </pt>
                <pt idx="120">
                  <v>2.982797232746422</v>
                </pt>
                <pt idx="121">
                  <v>3.030771233090669</v>
                </pt>
                <pt idx="122">
                  <v>3.076755058199713</v>
                </pt>
                <pt idx="123">
                  <v>3.120806839605214</v>
                </pt>
                <pt idx="124">
                  <v>3.162985501637971</v>
                </pt>
                <pt idx="125">
                  <v>3.203350411566053</v>
                </pt>
                <pt idx="126">
                  <v>3.241961072269602</v>
                </pt>
                <pt idx="127">
                  <v>3.278876853352728</v>
                </pt>
                <pt idx="128">
                  <v>3.314156756950744</v>
                </pt>
                <pt idx="129">
                  <v>3.347859214819172</v>
                </pt>
                <pt idx="130">
                  <v>3.380041913591983</v>
                </pt>
                <pt idx="131">
                  <v>3.410761645372463</v>
                </pt>
                <pt idx="132">
                  <v>3.440074181073011</v>
                </pt>
                <pt idx="133">
                  <v>3.468034164151947</v>
                </pt>
                <pt idx="134">
                  <v>3.494695022607644</v>
                </pt>
                <pt idx="135">
                  <v>3.520108897284716</v>
                </pt>
                <pt idx="136">
                  <v>3.544326584724904</v>
                </pt>
                <pt idx="137">
                  <v>3.567397492958127</v>
                </pt>
                <pt idx="138">
                  <v>3.589369608778111</v>
                </pt>
                <pt idx="139">
                  <v>3.610289475183204</v>
                </pt>
                <pt idx="140">
                  <v>3.630202177787456</v>
                </pt>
                <pt idx="141">
                  <v>3.649151339120796</v>
                </pt>
                <pt idx="142">
                  <v>3.667179119840997</v>
                </pt>
                <pt idx="143">
                  <v>3.68432622597495</v>
                </pt>
                <pt idx="144">
                  <v>3.700631921393281</v>
                </pt>
                <pt idx="145">
                  <v>3.716134044801248</v>
                </pt>
                <pt idx="146">
                  <v>3.730869030600771</v>
                </pt>
                <pt idx="147">
                  <v>3.744871933043976</v>
                </pt>
                <pt idx="148">
                  <v>3.758176453158275</v>
                </pt>
                <pt idx="149">
                  <v>3.770814967977294</v>
                </pt>
                <pt idx="150">
                  <v>3.782818561661319</v>
                </pt>
                <pt idx="151">
                  <v>3.79421705813578</v>
                </pt>
                <pt idx="152">
                  <v>3.805039054917033</v>
                </pt>
                <pt idx="153">
                  <v>3.815311957831669</v>
                </pt>
                <pt idx="154">
                  <v>3.825062016369056</v>
                </pt>
                <pt idx="155">
                  <v>3.834314359437238</v>
                </pt>
                <pt idx="156">
                  <v>3.843093031319724</v>
                </pt>
                <pt idx="157">
                  <v>3.85142102765561</v>
                </pt>
                <pt idx="158">
                  <v>3.859320331287883</v>
                </pt>
                <pt idx="159">
                  <v>3.866811947844996</v>
                </pt>
                <pt idx="160">
                  <v>3.87391594093911</v>
                </pt>
                <pt idx="161">
                  <v>3.880651466880755</v>
                </pt>
                <pt idx="162">
                  <v>3.887036808824489</v>
                </pt>
                <pt idx="163">
                  <v>3.893089410273337</v>
                </pt>
                <pt idx="164">
                  <v>3.898825907881707</v>
                </pt>
                <pt idx="165">
                  <v>3.904262163507096</v>
                </pt>
                <pt idx="166">
                  <v>3.909413295470344</v>
                </pt>
                <pt idx="167">
                  <v>3.914293708992727</v>
                </pt>
                <pt idx="168">
                  <v>3.918917125785589</v>
                </pt>
                <pt idx="169">
                  <v>3.923296612774987</v>
                </pt>
                <pt idx="170">
                  <v>3.927444609949603</v>
                </pt>
                <pt idx="171">
                  <v>3.931372957325466</v>
                </pt>
                <pt idx="172">
                  <v>3.93509292102552</v>
                </pt>
                <pt idx="173">
                  <v>3.938615218476098</v>
                </pt>
                <pt idx="174">
                  <v>3.941950042725821</v>
                </pt>
                <pt idx="175">
                  <v>3.945107085895468</v>
                </pt>
                <pt idx="176">
                  <v>3.948095561769938</v>
                </pt>
                <pt idx="177">
                  <v>3.95092422754565</v>
                </pt>
                <pt idx="178">
                  <v>3.953601404748595</v>
                </pt>
                <pt idx="179">
                  <v>3.956134999339863</v>
                </pt>
                <pt idx="180">
                  <v>3.958532521026713</v>
                </pt>
                <pt idx="181">
                  <v>3.96080110179838</v>
                </pt>
                <pt idx="182">
                  <v>3.962947513706613</v>
                </pt>
                <pt idx="183">
                  <v>3.964978185911618</v>
                </pt>
                <pt idx="184">
                  <v>3.966899221014546</v>
                </pt>
                <pt idx="185">
                  <v>3.968716410698027</v>
                </pt>
                <pt idx="186">
                  <v>3.970435250696405</v>
                </pt>
                <pt idx="187">
                  <v>3.972060955117465</v>
                </pt>
                <pt idx="188">
                  <v>3.973598470137383</v>
                </pt>
                <pt idx="189">
                  <v>3.975052487090535</v>
                </pt>
                <pt idx="190">
                  <v>3.97642745497562</v>
                </pt>
                <pt idx="191">
                  <v>3.977727592399289</v>
                </pt>
                <pt idx="192">
                  <v>3.978956898978166</v>
                </pt>
                <pt idx="193">
                  <v>3.980119166219778</v>
                </pt>
                <pt idx="194">
                  <v>3.981217987902525</v>
                </pt>
                <pt idx="195">
                  <v>3.982256769974378</v>
                </pt>
                <pt idx="196">
                  <v>3.983238739989512</v>
                </pt>
                <pt idx="197">
                  <v>3.98416695610164</v>
                </pt>
                <pt idx="198">
                  <v>3.985044315632251</v>
                </pt>
                <pt idx="199">
                  <v>3.985873563231501</v>
                </pt>
                <pt idx="200">
                  <v>3.986657298648919</v>
                </pt>
                <pt idx="201">
                  <v>3.98739798413061</v>
                </pt>
                <pt idx="202">
                  <v>3.988097951459074</v>
                </pt>
                <pt idx="203">
                  <v>3.988759408651217</v>
                </pt>
                <pt idx="204">
                  <v>3.989384446329632</v>
                </pt>
                <pt idx="205">
                  <v>3.989975043781663</v>
                </pt>
                <pt idx="206">
                  <v>3.990533074720261</v>
                </pt>
                <pt idx="207">
                  <v>3.991060312760113</v>
                </pt>
                <pt idx="208">
                  <v>3.991558436622035</v>
                </pt>
                <pt idx="209">
                  <v>3.9920290350781</v>
                </pt>
                <pt idx="210">
                  <v>3.992473611649495</v>
                </pt>
                <pt idx="211">
                  <v>3.992893589068641</v>
                </pt>
                <pt idx="212">
                  <v>3.993290313516595</v>
                </pt>
                <pt idx="213">
                  <v>3.99366505864637</v>
                </pt>
                <pt idx="214">
                  <v>3.994019029402312</v>
                </pt>
                <pt idx="215">
                  <v>3.994353365645265</v>
                </pt>
                <pt idx="216">
                  <v>3.994669145592856</v>
                </pt>
                <pt idx="217">
                  <v>3.994967389083804</v>
                </pt>
                <pt idx="218">
                  <v>3.995249060674803</v>
                </pt>
                <pt idx="219">
                  <v>3.995515072578098</v>
                </pt>
                <pt idx="220">
                  <v>3.995766287447598</v>
                </pt>
                <pt idx="221">
                  <v>3.996003521020924</v>
                </pt>
                <pt idx="222">
                  <v>3.996227544624531</v>
                </pt>
                <pt idx="223">
                  <v>3.996439087548681</v>
                </pt>
                <pt idx="224">
                  <v>3.996638839298745</v>
                </pt>
                <pt idx="225">
                  <v>3.996827451729001</v>
                </pt>
                <pt idx="226">
                  <v>3.997005541064829</v>
                </pt>
                <pt idx="227">
                  <v>3.997173689818919</v>
                </pt>
                <pt idx="228">
                  <v>3.997332448606825</v>
                </pt>
                <pt idx="229">
                  <v>3.997482337866971</v>
                </pt>
                <pt idx="230">
                  <v>3.99762384948998</v>
                </pt>
                <pt idx="231">
                  <v>3.997757448361903</v>
                </pt>
                <pt idx="232">
                  <v>3.997883573825799</v>
                </pt>
                <pt idx="233">
                  <v>3.99800264106581</v>
                </pt>
                <pt idx="234">
                  <v>3.998115042417734</v>
                </pt>
                <pt idx="235">
                  <v>3.998221148609878</v>
                </pt>
                <pt idx="236">
                  <v>3.998321309937798</v>
                </pt>
                <pt idx="237">
                  <v>3.998415857376334</v>
                </pt>
                <pt idx="238">
                  <v>3.998505103632216</v>
                </pt>
                <pt idx="239">
                  <v>3.998589344140321</v>
                </pt>
                <pt idx="240">
                  <v>3.998668858006519</v>
                </pt>
                <pt idx="241">
                  <v>3.998743908899909</v>
                </pt>
                <pt idx="242">
                  <v>3.998814745897079</v>
                </pt>
                <pt idx="243">
                  <v>3.998881604280934</v>
                </pt>
                <pt idx="244">
                  <v>3.998944706296453</v>
                </pt>
                <pt idx="245">
                  <v>3.999004261865668</v>
                </pt>
                <pt idx="246">
                  <v>3.999060469263998</v>
                </pt>
                <pt idx="247">
                  <v>3.999113515760001</v>
                </pt>
                <pt idx="248">
                  <v>3.999163578220469</v>
                </pt>
                <pt idx="249">
                  <v>3.99921082368271</v>
                </pt>
                <pt idx="250">
                  <v>3.999255409895763</v>
                </pt>
                <pt idx="251">
                  <v>3.999297485832197</v>
                </pt>
                <pt idx="252">
                  <v>3.999337192172068</v>
                </pt>
                <pt idx="253">
                  <v>3.999374661760516</v>
                </pt>
                <pt idx="254">
                  <v>3.999410020040416</v>
                </pt>
                <pt idx="255">
                  <v>3.999443385461419</v>
                </pt>
                <pt idx="256">
                  <v>3.999474869866649</v>
                </pt>
                <pt idx="257">
                  <v>3.999504578858257</v>
                </pt>
                <pt idx="258">
                  <v>3.99953261214297</v>
                </pt>
                <pt idx="259">
                  <v>3.999559063858715</v>
                </pt>
                <pt idx="260">
                  <v>3.99958402288333</v>
                </pt>
                <pt idx="261">
                  <v>3.999607573126345</v>
                </pt>
                <pt idx="262">
                  <v>3.999629793804734</v>
                </pt>
                <pt idx="263">
                  <v>3.999650759703512</v>
                </pt>
                <pt idx="264">
                  <v>3.999670541422001</v>
                </pt>
                <pt idx="265">
                  <v>3.999689205606537</v>
                </pt>
                <pt idx="266">
                  <v>3.99970681517036</v>
                </pt>
                <pt idx="267">
                  <v>3.999723429501378</v>
                </pt>
                <pt idx="268">
                  <v>3.999739104658476</v>
                </pt>
                <pt idx="269">
                  <v>3.999753893556976</v>
                </pt>
                <pt idx="270">
                  <v>3.999767846143862</v>
                </pt>
                <pt idx="271">
                  <v>3.999781009563313</v>
                </pt>
                <pt idx="272">
                  <v>3.999793428313077</v>
                </pt>
                <pt idx="273">
                  <v>3.99980514439219</v>
                </pt>
                <pt idx="274">
                  <v>3.999816197440517</v>
                </pt>
                <pt idx="275">
                  <v>3.999826624870552</v>
                </pt>
                <pt idx="276">
                  <v>3.999836461991912</v>
                </pt>
                <pt idx="277">
                  <v>3.999845742128921</v>
                </pt>
                <pt idx="278">
                  <v>3.99985449673167</v>
                </pt>
                <pt idx="279">
                  <v>3.999862755480903</v>
                </pt>
                <pt idx="280">
                  <v>3.999870546387068</v>
                </pt>
                <pt idx="281">
                  <v>3.99987789588387</v>
                </pt>
                <pt idx="282">
                  <v>3.99988482891661</v>
                </pt>
                <pt idx="283">
                  <v>3.999891369025609</v>
                </pt>
                <pt idx="284">
                  <v>3.999897538424987</v>
                </pt>
                <pt idx="285">
                  <v>3.999903358077042</v>
                </pt>
                <pt idx="286">
                  <v>3.999908847762494</v>
                </pt>
                <pt idx="287">
                  <v>3.999914026146809</v>
                </pt>
                <pt idx="288">
                  <v>3.999918910842808</v>
                </pt>
                <pt idx="289">
                  <v>3.999923518469797</v>
                </pt>
                <pt idx="290">
                  <v>3.999927864709385</v>
                </pt>
                <pt idx="291">
                  <v>3.999931964358186</v>
                </pt>
                <pt idx="292">
                  <v>3.999935831377569</v>
                </pt>
                <pt idx="293">
                  <v>3.999939478940634</v>
                </pt>
                <pt idx="294">
                  <v>3.999942919476553</v>
                </pt>
                <pt idx="295">
                  <v>3.999946164712429</v>
                </pt>
                <pt idx="296">
                  <v>3.999949225712818</v>
                </pt>
                <pt idx="297">
                  <v>3.999952112917025</v>
                </pt>
                <pt idx="298">
                  <v>3.999954836174322</v>
                </pt>
                <pt idx="299">
                  <v>3.999957404777181</v>
                </pt>
                <pt idx="300">
                  <v>3.999959827492655</v>
                </pt>
                <pt idx="301">
                  <v>3.999962112591985</v>
                </pt>
                <pt idx="302">
                  <v>3.999964267878555</v>
                </pt>
                <pt idx="303">
                  <v>3.999966300714278</v>
                </pt>
                <pt idx="304">
                  <v>3.99996821804449</v>
                </pt>
                <pt idx="305">
                  <v>3.999970026421456</v>
                </pt>
                <pt idx="306">
                  <v>3.999971732026555</v>
                </pt>
                <pt idx="307">
                  <v>3.999973340691207</v>
                </pt>
                <pt idx="308">
                  <v>3.999974857916634</v>
                </pt>
                <pt idx="309">
                  <v>3.99997628889251</v>
                </pt>
                <pt idx="310">
                  <v>3.99997763851455</v>
                </pt>
                <pt idx="311">
                  <v>3.999978911401122</v>
                </pt>
                <pt idx="312">
                  <v>3.999980111908918</v>
                </pt>
                <pt idx="313">
                  <v>3.999981244147741</v>
                </pt>
                <pt idx="314">
                  <v>3.999982311994463</v>
                </pt>
                <pt idx="315">
                  <v>3.999983319106196</v>
                </pt>
                <pt idx="316">
                  <v>3.999984268932714</v>
                </pt>
                <pt idx="317">
                  <v>3.999985164728188</v>
                </pt>
                <pt idx="318">
                  <v>3.999986009562243</v>
                </pt>
                <pt idx="319">
                  <v>3.999986806330409</v>
                </pt>
                <pt idx="320">
                  <v>3.999987557763967</v>
                </pt>
                <pt idx="321">
                  <v>3.999988266439244</v>
                </pt>
                <pt idx="322">
                  <v>3.999988934786394</v>
                </pt>
                <pt idx="323">
                  <v>3.999989565097666</v>
                </pt>
                <pt idx="324">
                  <v>3.999990159535217</v>
                </pt>
                <pt idx="325">
                  <v>3.999990720138479</v>
                </pt>
                <pt idx="326">
                  <v>3.999991248831116</v>
                </pt>
                <pt idx="327">
                  <v>3.999991747427574</v>
                </pt>
                <pt idx="328">
                  <v>3.999992217639278</v>
                </pt>
                <pt idx="329">
                  <v>3.999992661080469</v>
                </pt>
                <pt idx="330">
                  <v>3.999993079273708</v>
                </pt>
                <pt idx="331">
                  <v>3.999993473655079</v>
                </pt>
                <pt idx="332">
                  <v>3.999993845579089</v>
                </pt>
                <pt idx="333">
                  <v>3.999994196323297</v>
                </pt>
                <pt idx="334">
                  <v>3.999994527092673</v>
                </pt>
                <pt idx="335">
                  <v>3.99999483902372</v>
                </pt>
                <pt idx="336">
                  <v>3.999995133188357</v>
                </pt>
                <pt idx="337">
                  <v>3.999995410597582</v>
                </pt>
                <pt idx="338">
                  <v>3.999995672204929</v>
                </pt>
                <pt idx="339">
                  <v>3.999995918909732</v>
                </pt>
                <pt idx="340">
                  <v>3.999996151560195</v>
                </pt>
                <pt idx="341">
                  <v>3.999996370956304</v>
                </pt>
                <pt idx="342">
                  <v>3.999996577852554</v>
                </pt>
                <pt idx="343">
                  <v>3.999996772960538</v>
                </pt>
                <pt idx="344">
                  <v>3.999996956951384</v>
                </pt>
                <pt idx="345">
                  <v>3.999997130458049</v>
                </pt>
                <pt idx="346">
                  <v>3.999997294077489</v>
                </pt>
                <pt idx="347">
                  <v>3.999997448372703</v>
                </pt>
                <pt idx="348">
                  <v>3.999997593874664</v>
                </pt>
                <pt idx="349">
                  <v>3.999997731084138</v>
                </pt>
                <pt idx="350">
                  <v>3.999997860473398</v>
                </pt>
                <pt idx="351">
                  <v>3.999997982487847</v>
                </pt>
                <pt idx="352">
                  <v>3.99999809754754</v>
                </pt>
                <pt idx="353">
                  <v>3.999998206048631</v>
                </pt>
                <pt idx="354">
                  <v>3.999998308364725</v>
                </pt>
                <pt idx="355">
                  <v>3.999998404848165</v>
                </pt>
                <pt idx="356">
                  <v>3.999998495831238</v>
                </pt>
                <pt idx="357">
                  <v>3.999998581627318</v>
                </pt>
                <pt idx="358">
                  <v>3.999998662531936</v>
                </pt>
                <pt idx="359">
                  <v>3.999998738823802</v>
                </pt>
                <pt idx="360">
                  <v>3.999998810765755</v>
                </pt>
                <pt idx="361">
                  <v>3.999998878605671</v>
                </pt>
                <pt idx="362">
                  <v>3.999998942577308</v>
                </pt>
                <pt idx="363">
                  <v>3.999999002901119</v>
                </pt>
                <pt idx="364">
                  <v>3.999999059784996</v>
                </pt>
                <pt idx="365">
                  <v>3.999999113424995</v>
                </pt>
                <pt idx="366">
                  <v>3.999999164006006</v>
                </pt>
                <pt idx="367">
                  <v>3.999999211702386</v>
                </pt>
                <pt idx="368">
                  <v>3.999999256678563</v>
                </pt>
                <pt idx="369">
                  <v>3.999999299089597</v>
                </pt>
                <pt idx="370">
                  <v>3.999999339081714</v>
                </pt>
                <pt idx="371">
                  <v>3.999999376792813</v>
                </pt>
                <pt idx="372">
                  <v>3.999999412352933</v>
                </pt>
                <pt idx="373">
                  <v>3.999999445884707</v>
                </pt>
                <pt idx="374">
                  <v>3.999999477503777</v>
                </pt>
                <pt idx="375">
                  <v>3.9999995073192</v>
                </pt>
                <pt idx="376">
                  <v>3.999999535433815</v>
                </pt>
                <pt idx="377">
                  <v>3.999999561944603</v>
                </pt>
                <pt idx="378">
                  <v>3.999999586943017</v>
                </pt>
                <pt idx="379">
                  <v>3.999999610515299</v>
                </pt>
                <pt idx="380">
                  <v>3.999999632742774</v>
                </pt>
                <pt idx="381">
                  <v>3.999999653702133</v>
                </pt>
                <pt idx="382">
                  <v>3.999999673465697</v>
                </pt>
                <pt idx="383">
                  <v>3.999999692101664</v>
                </pt>
                <pt idx="384">
                  <v>3.999999709674342</v>
                </pt>
                <pt idx="385">
                  <v>3.999999726244376</v>
                </pt>
                <pt idx="386">
                  <v>3.999999741868953</v>
                </pt>
                <pt idx="387">
                  <v>3.999999756602</v>
                </pt>
                <pt idx="388">
                  <v>3.99999977049437</v>
                </pt>
                <pt idx="389">
                  <v>3.999999783594015</v>
                </pt>
                <pt idx="390">
                  <v>3.999999795946155</v>
                </pt>
                <pt idx="391">
                  <v>3.999999807593429</v>
                </pt>
                <pt idx="392">
                  <v>3.999999818576048</v>
                </pt>
                <pt idx="393">
                  <v>3.999999828931928</v>
                </pt>
                <pt idx="394">
                  <v>3.999999838696824</v>
                </pt>
                <pt idx="395">
                  <v>3.999999847904451</v>
                </pt>
                <pt idx="396">
                  <v>3.999999856586602</v>
                </pt>
                <pt idx="397">
                  <v>3.999999864773256</v>
                </pt>
                <pt idx="398">
                  <v>3.999999872492686</v>
                </pt>
                <pt idx="399">
                  <v>3.999999879771546</v>
                </pt>
                <pt idx="400">
                  <v>3.999999886634976</v>
                </pt>
              </numCache>
            </numRef>
          </val>
          <smooth val="0"/>
        </ser>
        <ser>
          <idx val="2"/>
          <order val="2"/>
          <tx>
            <strRef>
              <f>Лист1!$M$1</f>
              <strCache>
                <ptCount val="1"/>
                <pt idx="0">
                  <v>y(n*T01)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Лист1!$M$2:$M$402</f>
              <numCache>
                <formatCode>General</formatCode>
                <ptCount val="4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0.01691844323816127</v>
                </pt>
                <pt idx="82">
                  <v>0.04853620895301326</v>
                </pt>
                <pt idx="83">
                  <v>0.09285369065273558</v>
                </pt>
                <pt idx="84">
                  <v>0.1480713893724668</v>
                </pt>
                <pt idx="85">
                  <v>0.2125721239721794</v>
                </pt>
                <pt idx="86">
                  <v>0.2849047284577061</v>
                </pt>
                <pt idx="87">
                  <v>0.3637691165218871</v>
                </pt>
                <pt idx="88">
                  <v>0.4480026029273338</v>
                </pt>
                <pt idx="89">
                  <v>0.5365673800473811</v>
                </pt>
                <pt idx="90">
                  <v>0.628539055903232</v>
                </pt>
                <pt idx="91">
                  <v>0.7230961674346797</v>
                </pt>
                <pt idx="92">
                  <v>0.8195105895667799</v>
                </pt>
                <pt idx="93">
                  <v>0.9171387669294812</v>
                </pt>
                <pt idx="94">
                  <v>1.015413700892218</v>
                </pt>
                <pt idx="95">
                  <v>1.113837629928403</v>
                </pt>
                <pt idx="96">
                  <v>1.211975346260388</v>
                </pt>
                <pt idx="97">
                  <v>1.309448096285881</v>
                </pt>
                <pt idx="98">
                  <v>1.405928016481664</v>
                </pt>
                <pt idx="99">
                  <v>1.501133060347137</v>
                </pt>
                <pt idx="100">
                  <v>1.594822375514021</v>
                </pt>
                <pt idx="101">
                  <v>1.686792093432893</v>
                </pt>
                <pt idx="102">
                  <v>1.776871497073612</v>
                </pt>
                <pt idx="103">
                  <v>1.864919534865136</v>
                </pt>
                <pt idx="104">
                  <v>1.950821651669113</v>
                </pt>
                <pt idx="105">
                  <v>2.034486909947931</v>
                </pt>
                <pt idx="106">
                  <v>2.115845376467409</v>
                </pt>
                <pt idx="107">
                  <v>2.194845751881401</v>
                </pt>
                <pt idx="108">
                  <v>2.27145322239374</v>
                </pt>
                <pt idx="109">
                  <v>2.345647514394535</v>
                </pt>
                <pt idx="110">
                  <v>2.417421134534133</v>
                </pt>
                <pt idx="111">
                  <v>2.486777779139836</v>
                </pt>
                <pt idx="112">
                  <v>2.55373089820717</v>
                </pt>
                <pt idx="113">
                  <v>2.618302400418385</v>
                </pt>
                <pt idx="114">
                  <v>2.680521486763988</v>
                </pt>
                <pt idx="115">
                  <v>2.740423601376261</v>
                </pt>
                <pt idx="116">
                  <v>2.798049489133891</v>
                </pt>
                <pt idx="117">
                  <v>2.853444350470562</v>
                </pt>
                <pt idx="118">
                  <v>2.906657084623639</v>
                </pt>
                <pt idx="119">
                  <v>2.957739613297465</v>
                </pt>
                <pt idx="120">
                  <v>3.006746277394389</v>
                </pt>
                <pt idx="121">
                  <v>3.053733300090173</v>
                </pt>
                <pt idx="122">
                  <v>3.098758310103269</v>
                </pt>
                <pt idx="123">
                  <v>3.141879919533572</v>
                </pt>
                <pt idx="124">
                  <v>3.18315735112937</v>
                </pt>
                <pt idx="125">
                  <v>3.22265011028481</v>
                </pt>
                <pt idx="126">
                  <v>3.260417697477252</v>
                </pt>
                <pt idx="127">
                  <v>3.296519357227525</v>
                </pt>
                <pt idx="128">
                  <v>3.331013860008806</v>
                </pt>
                <pt idx="129">
                  <v>3.363959313844178</v>
                </pt>
                <pt idx="130">
                  <v>3.39541300262119</v>
                </pt>
                <pt idx="131">
                  <v>3.425431248415904</v>
                </pt>
                <pt idx="132">
                  <v>3.454069295361103</v>
                </pt>
                <pt idx="133">
                  <v>3.481381212815097</v>
                </pt>
                <pt idx="134">
                  <v>3.507419815790745</v>
                </pt>
                <pt idx="135">
                  <v>3.532236600790312</v>
                </pt>
                <pt idx="136">
                  <v>3.555881695361987</v>
                </pt>
                <pt idx="137">
                  <v>3.578403819849644</v>
                </pt>
                <pt idx="138">
                  <v>3.599850259949873</v>
                </pt>
                <pt idx="139">
                  <v>3.620266848820512</v>
                </pt>
                <pt idx="140">
                  <v>3.639697957603929</v>
                </pt>
                <pt idx="141">
                  <v>3.658186493336995</v>
                </pt>
                <pt idx="142">
                  <v>3.675773903318962</v>
                </pt>
                <pt idx="143">
                  <v>3.692500185099011</v>
                </pt>
                <pt idx="144">
                  <v>3.708403901327904</v>
                </pt>
                <pt idx="145">
                  <v>3.723522198793487</v>
                </pt>
                <pt idx="146">
                  <v>3.737890831028439</v>
                </pt>
                <pt idx="147">
                  <v>3.751544183941221</v>
                </pt>
                <pt idx="148">
                  <v>3.764515303978039</v>
                </pt>
                <pt idx="149">
                  <v>3.77683592837544</v>
                </pt>
                <pt idx="150">
                  <v>3.78853651711021</v>
                </pt>
                <pt idx="151">
                  <v>3.799646286195987</v>
                </pt>
                <pt idx="152">
                  <v>3.810193242014804</v>
                </pt>
                <pt idx="153">
                  <v>3.820204216406994</v>
                </pt>
                <pt idx="154">
                  <v>3.829704902274767</v>
                </pt>
                <pt idx="155">
                  <v>3.838719889483678</v>
                </pt>
                <pt idx="156">
                  <v>3.847272700872303</v>
                </pt>
                <pt idx="157">
                  <v>3.855385828204106</v>
                </pt>
                <pt idx="158">
                  <v>3.863080767916755</v>
                </pt>
                <pt idx="159">
                  <v>3.870378056543397</v>
                </pt>
                <pt idx="160">
                  <v>3.877297305697714</v>
                </pt>
                <pt idx="161">
                  <v>3.883857236530166</v>
                </pt>
                <pt idx="162">
                  <v>3.890075713576794</v>
                </pt>
                <pt idx="163">
                  <v>3.895969777934538</v>
                </pt>
                <pt idx="164">
                  <v>3.901555679708232</v>
                </pt>
                <pt idx="165">
                  <v>3.906848909684491</v>
                </pt>
                <pt idx="166">
                  <v>3.911864230196655</v>
                </pt>
                <pt idx="167">
                  <v>3.916615705152934</v>
                </pt>
                <pt idx="168">
                  <v>3.921116729206953</v>
                </pt>
                <pt idx="169">
                  <v>3.925380056056197</v>
                </pt>
                <pt idx="170">
                  <v>3.929417825859348</v>
                </pt>
                <pt idx="171">
                  <v>3.933241591768402</v>
                </pt>
                <pt idx="172">
                  <v>3.936862345575711</v>
                </pt>
                <pt idx="173">
                  <v>3.940290542479821</v>
                </pt>
                <pt idx="174">
                  <v>3.943536124977211</v>
                </pt>
                <pt idx="175">
                  <v>3.946608545889839</v>
                </pt>
                <pt idx="176">
                  <v>3.94951679054079</v>
                </pt>
                <pt idx="177">
                  <v>3.95226939809237</v>
                </pt>
                <pt idx="178">
                  <v>3.954874482062716</v>
                </pt>
                <pt idx="179">
                  <v>3.957339750038404</v>
                </pt>
                <pt idx="180">
                  <v>3.959672522601761</v>
                </pt>
                <pt idx="181">
                  <v>3.961879751492482</v>
                </pt>
                <pt idx="182">
                  <v>3.963968037023948</v>
                </pt>
                <pt idx="183">
                  <v>3.96594364477518</v>
                </pt>
                <pt idx="184">
                  <v>3.967812521579772</v>
                </pt>
                <pt idx="185">
                  <v>3.969580310833424</v>
                </pt>
                <pt idx="186">
                  <v>3.971252367141816</v>
                </pt>
                <pt idx="187">
                  <v>3.97283377033061</v>
                </pt>
                <pt idx="188">
                  <v>3.974329338839285</v>
                </pt>
                <pt idx="189">
                  <v>3.975743642520374</v>
                </pt>
                <pt idx="190">
                  <v>3.977081014865441</v>
                </pt>
                <pt idx="191">
                  <v>3.978345564678849</v>
                </pt>
                <pt idx="192">
                  <v>3.979541187220059</v>
                </pt>
                <pt idx="193">
                  <v>3.980671574834758</v>
                </pt>
                <pt idx="194">
                  <v>3.981740227094779</v>
                </pt>
                <pt idx="195">
                  <v>3.982750460466243</v>
                </pt>
                <pt idx="196">
                  <v>3.983705417524937</v>
                </pt>
                <pt idx="197">
                  <v>3.984608075737416</v>
                </pt>
                <pt idx="198">
                  <v>3.985461255825809</v>
                </pt>
                <pt idx="199">
                  <v>3.986267629733797</v>
                </pt>
                <pt idx="200">
                  <v>3.9870297282107</v>
                </pt>
                <pt idx="201">
                  <v>3.987749948030064</v>
                </pt>
                <pt idx="202">
                  <v>3.98843055885861</v>
                </pt>
                <pt idx="203">
                  <v>3.989073709790881</v>
                </pt>
                <pt idx="204">
                  <v>3.989681435564379</v>
                </pt>
                <pt idx="205">
                  <v>3.990255662469463</v>
                </pt>
                <pt idx="206">
                  <v>3.990798213967753</v>
                </pt>
                <pt idx="207">
                  <v>3.991310816032283</v>
                </pt>
                <pt idx="208">
                  <v>3.991795102222139</v>
                </pt>
                <pt idx="209">
                  <v>3.992252618503802</v>
                </pt>
                <pt idx="210">
                  <v>3.992684827830991</v>
                </pt>
                <pt idx="211">
                  <v>3.993093114494257</v>
                </pt>
                <pt idx="212">
                  <v>3.993478788251169</v>
                </pt>
                <pt idx="213">
                  <v>3.993843088247487</v>
                </pt>
                <pt idx="214">
                  <v>3.994187186739247</v>
                </pt>
                <pt idx="215">
                  <v>3.994512192625299</v>
                </pt>
                <pt idx="216">
                  <v>3.994819154799414</v>
                </pt>
                <pt idx="217">
                  <v>3.995109065330689</v>
                </pt>
                <pt idx="218">
                  <v>3.995382862480585</v>
                </pt>
                <pt idx="219">
                  <v>3.995641433564582</v>
                </pt>
                <pt idx="220">
                  <v>3.995885617666067</v>
                </pt>
                <pt idx="221">
                  <v>3.996116208209734</v>
                </pt>
                <pt idx="222">
                  <v>3.996333955401449</v>
                </pt>
                <pt idx="223">
                  <v>3.996539568541201</v>
                </pt>
                <pt idx="224">
                  <v>3.996733718215472</v>
                </pt>
                <pt idx="225">
                  <v>3.996917038375069</v>
                </pt>
                <pt idx="226">
                  <v>3.997090128304141</v>
                </pt>
                <pt idx="227">
                  <v>3.997253554485902</v>
                </pt>
                <pt idx="228">
                  <v>3.997407852370246</v>
                </pt>
                <pt idx="229">
                  <v>3.997553528048257</v>
                </pt>
                <pt idx="230">
                  <v>3.997691059838331</v>
                </pt>
                <pt idx="231">
                  <v>3.99782089978844</v>
                </pt>
                <pt idx="232">
                  <v>3.997943475098807</v>
                </pt>
                <pt idx="233">
                  <v>3.998059189469095</v>
                </pt>
                <pt idx="234">
                  <v>3.998168424373987</v>
                </pt>
                <pt idx="235">
                  <v>3.998271540270848</v>
                </pt>
                <pt idx="236">
                  <v>3.998368877742989</v>
                </pt>
                <pt idx="237">
                  <v>3.998460758581869</v>
                </pt>
                <pt idx="238">
                  <v>3.998547486811409</v>
                </pt>
                <pt idx="239">
                  <v>3.998629349657429</v>
                </pt>
                <pt idx="240">
                  <v>3.998706618465083</v>
                </pt>
                <pt idx="241">
                  <v>3.99877954956701</v>
                </pt>
                <pt idx="242">
                  <v>3.998848385104766</v>
                </pt>
                <pt idx="243">
                  <v>3.998913353806036</v>
                </pt>
                <pt idx="244">
                  <v>3.998974671719899</v>
                </pt>
                <pt idx="245">
                  <v>3.999032542912401</v>
                </pt>
                <pt idx="246">
                  <v>3.999087160124519</v>
                </pt>
                <pt idx="247">
                  <v>3.999138705394498</v>
                </pt>
                <pt idx="248">
                  <v>3.999187350646467</v>
                </pt>
                <pt idx="249">
                  <v>3.999233258247113</v>
                </pt>
                <pt idx="250">
                  <v>3.999276581532115</v>
                </pt>
                <pt idx="251">
                  <v>3.999317465303961</v>
                </pt>
                <pt idx="252">
                  <v>3.999356046302655</v>
                </pt>
                <pt idx="253">
                  <v>3.999392453650786</v>
                </pt>
                <pt idx="254">
                  <v>3.99942680927431</v>
                </pt>
                <pt idx="255">
                  <v>3.999459228300368</v>
                </pt>
                <pt idx="256">
                  <v>3.999489819433355</v>
                </pt>
                <pt idx="257">
                  <v>3.999518685310424</v>
                </pt>
                <pt idx="258">
                  <v>3.999545922837523</v>
                </pt>
                <pt idx="259">
                  <v>3.999571623507015</v>
                </pt>
                <pt idx="260">
                  <v>3.999595873697884</v>
                </pt>
                <pt idx="261">
                  <v>3.999618754959457</v>
                </pt>
                <pt idx="262">
                  <v>3.99964034427954</v>
                </pt>
                <pt idx="263">
                  <v>3.999660714337812</v>
                </pt>
                <pt idx="264">
                  <v>3.999679933745275</v>
                </pt>
                <pt idx="265">
                  <v>3.999698067270518</v>
                </pt>
                <pt idx="266">
                  <v>3.999715176053513</v>
                </pt>
                <pt idx="267">
                  <v>3.999731317807619</v>
                </pt>
                <pt idx="268">
                  <v>3.99974654701044</v>
                </pt>
                <pt idx="269">
                  <v>3.999760915084135</v>
                </pt>
                <pt idx="270">
                  <v>3.999774470565777</v>
                </pt>
                <pt idx="271">
                  <v>3.999787259268272</v>
                </pt>
                <pt idx="272">
                  <v>3.999799324432394</v>
                </pt>
                <pt idx="273">
                  <v>3.99981070687038</v>
                </pt>
                <pt idx="274">
                  <v>3.999821445101586</v>
                </pt>
                <pt idx="275">
                  <v>3.999831575480612</v>
                </pt>
                <pt idx="276">
                  <v>3.999841132318325</v>
                </pt>
                <pt idx="277">
                  <v>3.999850147996155</v>
                </pt>
                <pt idx="278">
                  <v>3.999858653074055</v>
                </pt>
                <pt idx="279">
                  <v>3.999866676392453</v>
                </pt>
                <pt idx="280">
                  <v>3.99987424516854</v>
                </pt>
                <pt idx="281">
                  <v>3.999881385087197</v>
                </pt>
                <pt idx="282">
                  <v>3.999888120386864</v>
                </pt>
                <pt idx="283">
                  <v>3.999894473940631</v>
                </pt>
                <pt idx="284">
                  <v>3.999900467332797</v>
                </pt>
                <pt idx="285">
                  <v>3.999906120931179</v>
                </pt>
                <pt idx="286">
                  <v>3.999911453955379</v>
                </pt>
                <pt idx="287">
                  <v>3.999916484541236</v>
                </pt>
                <pt idx="288">
                  <v>3.999921229801694</v>
                </pt>
                <pt idx="289">
                  <v>3.99992570588426</v>
                </pt>
                <pt idx="290">
                  <v>3.999929928025257</v>
                </pt>
                <pt idx="291">
                  <v>3.999933910601041</v>
                </pt>
                <pt idx="292">
                  <v>3.999937667176356</v>
                </pt>
                <pt idx="293">
                  <v>3.999941210549985</v>
                </pt>
                <pt idx="294">
                  <v>3.999944552797839</v>
                </pt>
                <pt idx="295">
                  <v>3.999947705313647</v>
                </pt>
                <pt idx="296">
                  <v>3.999950678847352</v>
                </pt>
                <pt idx="297">
                  <v>3.999953483541366</v>
                </pt>
                <pt idx="298">
                  <v>3.999956128964788</v>
                </pt>
                <pt idx="299">
                  <v>3.999958624145705</v>
                </pt>
                <pt idx="300">
                  <v>3.99996097760168</v>
                </pt>
                <pt idx="301">
                  <v>3.999963197368532</v>
                </pt>
                <pt idx="302">
                  <v>3.999965291027495</v>
                </pt>
                <pt idx="303">
                  <v>3.999967265730859</v>
                </pt>
                <pt idx="304">
                  <v>3.999969128226165</v>
                </pt>
                <pt idx="305">
                  <v>3.999970884879044</v>
                </pt>
                <pt idx="306">
                  <v>3.999972541694768</v>
                </pt>
                <pt idx="307">
                  <v>3.999974104338599</v>
                </pt>
                <pt idx="308">
                  <v>3.99997557815498</v>
                </pt>
                <pt idx="309">
                  <v>3.999976968185657</v>
                </pt>
                <pt idx="310">
                  <v>3.999978279186778</v>
                </pt>
                <pt idx="311">
                  <v>3.999979515645027</v>
                </pt>
                <pt idx="312">
                  <v>3.999980681792854</v>
                </pt>
                <pt idx="313">
                  <v>3.999981781622842</v>
                </pt>
                <pt idx="314">
                  <v>3.999982818901272</v>
                </pt>
                <pt idx="315">
                  <v>3.999983797180914</v>
                </pt>
                <pt idx="316">
                  <v>3.999984719813106</v>
                </pt>
                <pt idx="317">
                  <v>3.999985589959147</v>
                </pt>
                <pt idx="318">
                  <v>3.999986410601048</v>
                </pt>
                <pt idx="319">
                  <v>3.999987184551679</v>
                </pt>
                <pt idx="320">
                  <v>3.999987914464342</v>
                </pt>
                <pt idx="321">
                  <v>3.999988602841799</v>
                </pt>
                <pt idx="322">
                  <v>3.999989252044803</v>
                </pt>
                <pt idx="323">
                  <v>3.999989864300133</v>
                </pt>
                <pt idx="324">
                  <v>3.999990441708182</v>
                </pt>
                <pt idx="325">
                  <v>3.999990986250121</v>
                </pt>
                <pt idx="326">
                  <v>3.999991499794645</v>
                </pt>
                <pt idx="327">
                  <v>3.999991984104355</v>
                </pt>
                <pt idx="328">
                  <v>3.999992440841765</v>
                </pt>
                <pt idx="329">
                  <v>3.999992871574975</v>
                </pt>
                <pt idx="330">
                  <v>3.999993277783025</v>
                </pt>
                <pt idx="331">
                  <v>3.999993660860942</v>
                </pt>
                <pt idx="332">
                  <v>3.999994022124506</v>
                </pt>
                <pt idx="333">
                  <v>3.999994362814744</v>
                </pt>
                <pt idx="334">
                  <v>3.999994684102168</v>
                </pt>
                <pt idx="335">
                  <v>3.999994987090775</v>
                </pt>
                <pt idx="336">
                  <v>3.999995272821824</v>
                </pt>
                <pt idx="337">
                  <v>3.999995542277392</v>
                </pt>
                <pt idx="338">
                  <v>3.999995796383733</v>
                </pt>
                <pt idx="339">
                  <v>3.999996036014449</v>
                </pt>
                <pt idx="340">
                  <v>3.999996261993475</v>
                </pt>
                <pt idx="341">
                  <v>3.999996475097902</v>
                </pt>
                <pt idx="342">
                  <v>3.999996676060633</v>
                </pt>
                <pt idx="343">
                  <v>3.999996865572894</v>
                </pt>
                <pt idx="344">
                  <v>3.999997044286601</v>
                </pt>
                <pt idx="345">
                  <v>3.999997212816591</v>
                </pt>
                <pt idx="346">
                  <v>3.99999737174273</v>
                </pt>
                <pt idx="347">
                  <v>3.999997521611897</v>
                </pt>
                <pt idx="348">
                  <v>3.999997662939863</v>
                </pt>
                <pt idx="349">
                  <v>3.999997796213053</v>
                </pt>
                <pt idx="350">
                  <v>3.999997921890214</v>
                </pt>
                <pt idx="351">
                  <v>3.999998040403992</v>
                </pt>
                <pt idx="352">
                  <v>3.999998152162413</v>
                </pt>
                <pt idx="353">
                  <v>3.99999825755028</v>
                </pt>
                <pt idx="354">
                  <v>3.999998356930499</v>
                </pt>
                <pt idx="355">
                  <v>3.999998450645316</v>
                </pt>
                <pt idx="356">
                  <v>3.999998539017501</v>
                </pt>
                <pt idx="357">
                  <v>3.999998622351445</v>
                </pt>
                <pt idx="358">
                  <v>3.999998700934213</v>
                </pt>
                <pt idx="359">
                  <v>3.999998775036528</v>
                </pt>
                <pt idx="360">
                  <v>3.999998844913696</v>
                </pt>
                <pt idx="361">
                  <v>3.999998910806488</v>
                </pt>
                <pt idx="362">
                  <v>3.999998972941964</v>
                </pt>
                <pt idx="363">
                  <v>3.999999031534256</v>
                </pt>
                <pt idx="364">
                  <v>3.999999086785299</v>
                </pt>
                <pt idx="365">
                  <v>3.999999138885527</v>
                </pt>
                <pt idx="366">
                  <v>3.99999918801453</v>
                </pt>
                <pt idx="367">
                  <v>3.999999234341667</v>
                </pt>
                <pt idx="368">
                  <v>3.99999927802665</v>
                </pt>
                <pt idx="369">
                  <v>3.999999319220094</v>
                </pt>
                <pt idx="370">
                  <v>3.999999358064033</v>
                </pt>
                <pt idx="371">
                  <v>3.99999939469241</v>
                </pt>
                <pt idx="372">
                  <v>3.999999429231534</v>
                </pt>
                <pt idx="373">
                  <v>3.999999461800522</v>
                </pt>
                <pt idx="374">
                  <v>3.999999492511701</v>
                </pt>
                <pt idx="375">
                  <v>3.999999521470997</v>
                </pt>
                <pt idx="376">
                  <v>3.999999548778301</v>
                </pt>
                <pt idx="377">
                  <v>3.999999574527811</v>
                </pt>
                <pt idx="378">
                  <v>3.999999598808358</v>
                </pt>
                <pt idx="379">
                  <v>3.999999621703709</v>
                </pt>
                <pt idx="380">
                  <v>3.999999643292857</v>
                </pt>
                <pt idx="381">
                  <v>3.999999663650293</v>
                </pt>
                <pt idx="382">
                  <v>3.999999682846261</v>
                </pt>
                <pt idx="383">
                  <v>3.999999700947001</v>
                </pt>
                <pt idx="384">
                  <v>3.999999718014979</v>
                </pt>
                <pt idx="385">
                  <v>3.999999734109099</v>
                </pt>
                <pt idx="386">
                  <v>3.999999749284907</v>
                </pt>
                <pt idx="387">
                  <v>3.999999763594782</v>
                </pt>
                <pt idx="388">
                  <v>3.999999777088117</v>
                </pt>
                <pt idx="389">
                  <v>3.999999789811489</v>
                </pt>
                <pt idx="390">
                  <v>3.999999801808819</v>
                </pt>
                <pt idx="391">
                  <v>3.999999813121525</v>
                </pt>
                <pt idx="392">
                  <v>3.999999823788661</v>
                </pt>
                <pt idx="393">
                  <v>3.999999833847056</v>
                </pt>
                <pt idx="394">
                  <v>3.999999843331438</v>
                </pt>
                <pt idx="395">
                  <v>3.999999852274555</v>
                </pt>
                <pt idx="396">
                  <v>3.999999860707286</v>
                </pt>
                <pt idx="397">
                  <v>3.999999868658751</v>
                </pt>
                <pt idx="398">
                  <v>3.99999987615641</v>
                </pt>
                <pt idx="399">
                  <v>3.999999883226153</v>
                </pt>
                <pt idx="400">
                  <v>3.999999889892397</v>
                </pt>
              </numCache>
            </numRef>
          </val>
          <smooth val="0"/>
        </ser>
        <ser>
          <idx val="3"/>
          <order val="3"/>
          <tx>
            <strRef>
              <f>Лист1!$N$1</f>
              <strCache>
                <ptCount val="1"/>
                <pt idx="0">
                  <v>y(n*T02)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Лист1!$N$2:$N$402</f>
              <numCache>
                <formatCode>General</formatCode>
                <ptCount val="4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0.5835934589721194</v>
                </pt>
                <pt idx="92">
                  <v>0.5835934589721194</v>
                </pt>
                <pt idx="93">
                  <v>0.5835934589721194</v>
                </pt>
                <pt idx="94">
                  <v>0.5835934589721194</v>
                </pt>
                <pt idx="95">
                  <v>0.5835934589721194</v>
                </pt>
                <pt idx="96">
                  <v>0.5835934589721194</v>
                </pt>
                <pt idx="97">
                  <v>0.5835934589721194</v>
                </pt>
                <pt idx="98">
                  <v>0.5835934589721194</v>
                </pt>
                <pt idx="99">
                  <v>0.5835934589721194</v>
                </pt>
                <pt idx="100">
                  <v>0.5835934589721194</v>
                </pt>
                <pt idx="101">
                  <v>1.54903738620018</v>
                </pt>
                <pt idx="102">
                  <v>1.54903738620018</v>
                </pt>
                <pt idx="103">
                  <v>1.54903738620018</v>
                </pt>
                <pt idx="104">
                  <v>1.54903738620018</v>
                </pt>
                <pt idx="105">
                  <v>1.54903738620018</v>
                </pt>
                <pt idx="106">
                  <v>1.54903738620018</v>
                </pt>
                <pt idx="107">
                  <v>1.54903738620018</v>
                </pt>
                <pt idx="108">
                  <v>1.54903738620018</v>
                </pt>
                <pt idx="109">
                  <v>1.54903738620018</v>
                </pt>
                <pt idx="110">
                  <v>1.54903738620018</v>
                </pt>
                <pt idx="111">
                  <v>2.38234611637176</v>
                </pt>
                <pt idx="112">
                  <v>2.38234611637176</v>
                </pt>
                <pt idx="113">
                  <v>2.38234611637176</v>
                </pt>
                <pt idx="114">
                  <v>2.38234611637176</v>
                </pt>
                <pt idx="115">
                  <v>2.38234611637176</v>
                </pt>
                <pt idx="116">
                  <v>2.38234611637176</v>
                </pt>
                <pt idx="117">
                  <v>2.38234611637176</v>
                </pt>
                <pt idx="118">
                  <v>2.38234611637176</v>
                </pt>
                <pt idx="119">
                  <v>2.38234611637176</v>
                </pt>
                <pt idx="120">
                  <v>2.38234611637176</v>
                </pt>
                <pt idx="121">
                  <v>2.982797232746421</v>
                </pt>
                <pt idx="122">
                  <v>2.982797232746421</v>
                </pt>
                <pt idx="123">
                  <v>2.982797232746421</v>
                </pt>
                <pt idx="124">
                  <v>2.982797232746421</v>
                </pt>
                <pt idx="125">
                  <v>2.982797232746421</v>
                </pt>
                <pt idx="126">
                  <v>2.982797232746421</v>
                </pt>
                <pt idx="127">
                  <v>2.982797232746421</v>
                </pt>
                <pt idx="128">
                  <v>2.982797232746421</v>
                </pt>
                <pt idx="129">
                  <v>2.982797232746421</v>
                </pt>
                <pt idx="130">
                  <v>2.982797232746421</v>
                </pt>
                <pt idx="131">
                  <v>3.380041913591982</v>
                </pt>
                <pt idx="132">
                  <v>3.380041913591982</v>
                </pt>
                <pt idx="133">
                  <v>3.380041913591982</v>
                </pt>
                <pt idx="134">
                  <v>3.380041913591982</v>
                </pt>
                <pt idx="135">
                  <v>3.380041913591982</v>
                </pt>
                <pt idx="136">
                  <v>3.380041913591982</v>
                </pt>
                <pt idx="137">
                  <v>3.380041913591982</v>
                </pt>
                <pt idx="138">
                  <v>3.380041913591982</v>
                </pt>
                <pt idx="139">
                  <v>3.380041913591982</v>
                </pt>
                <pt idx="140">
                  <v>3.380041913591982</v>
                </pt>
                <pt idx="141">
                  <v>3.630202177787456</v>
                </pt>
                <pt idx="142">
                  <v>3.630202177787456</v>
                </pt>
                <pt idx="143">
                  <v>3.630202177787456</v>
                </pt>
                <pt idx="144">
                  <v>3.630202177787456</v>
                </pt>
                <pt idx="145">
                  <v>3.630202177787456</v>
                </pt>
                <pt idx="146">
                  <v>3.630202177787456</v>
                </pt>
                <pt idx="147">
                  <v>3.630202177787456</v>
                </pt>
                <pt idx="148">
                  <v>3.630202177787456</v>
                </pt>
                <pt idx="149">
                  <v>3.630202177787456</v>
                </pt>
                <pt idx="150">
                  <v>3.630202177787456</v>
                </pt>
                <pt idx="151">
                  <v>3.782818561661319</v>
                </pt>
                <pt idx="152">
                  <v>3.782818561661319</v>
                </pt>
                <pt idx="153">
                  <v>3.782818561661319</v>
                </pt>
                <pt idx="154">
                  <v>3.782818561661319</v>
                </pt>
                <pt idx="155">
                  <v>3.782818561661319</v>
                </pt>
                <pt idx="156">
                  <v>3.782818561661319</v>
                </pt>
                <pt idx="157">
                  <v>3.782818561661319</v>
                </pt>
                <pt idx="158">
                  <v>3.782818561661319</v>
                </pt>
                <pt idx="159">
                  <v>3.782818561661319</v>
                </pt>
                <pt idx="160">
                  <v>3.782818561661319</v>
                </pt>
                <pt idx="161">
                  <v>3.873915940939108</v>
                </pt>
                <pt idx="162">
                  <v>3.873915940939108</v>
                </pt>
                <pt idx="163">
                  <v>3.873915940939108</v>
                </pt>
                <pt idx="164">
                  <v>3.873915940939108</v>
                </pt>
                <pt idx="165">
                  <v>3.873915940939108</v>
                </pt>
                <pt idx="166">
                  <v>3.873915940939108</v>
                </pt>
                <pt idx="167">
                  <v>3.873915940939108</v>
                </pt>
                <pt idx="168">
                  <v>3.873915940939108</v>
                </pt>
                <pt idx="169">
                  <v>3.873915940939108</v>
                </pt>
                <pt idx="170">
                  <v>3.873915940939108</v>
                </pt>
                <pt idx="171">
                  <v>3.927444609949601</v>
                </pt>
                <pt idx="172">
                  <v>3.927444609949601</v>
                </pt>
                <pt idx="173">
                  <v>3.927444609949601</v>
                </pt>
                <pt idx="174">
                  <v>3.927444609949601</v>
                </pt>
                <pt idx="175">
                  <v>3.927444609949601</v>
                </pt>
                <pt idx="176">
                  <v>3.927444609949601</v>
                </pt>
                <pt idx="177">
                  <v>3.927444609949601</v>
                </pt>
                <pt idx="178">
                  <v>3.927444609949601</v>
                </pt>
                <pt idx="179">
                  <v>3.927444609949601</v>
                </pt>
                <pt idx="180">
                  <v>3.927444609949601</v>
                </pt>
                <pt idx="181">
                  <v>3.958532521026712</v>
                </pt>
                <pt idx="182">
                  <v>3.958532521026712</v>
                </pt>
                <pt idx="183">
                  <v>3.958532521026712</v>
                </pt>
                <pt idx="184">
                  <v>3.958532521026712</v>
                </pt>
                <pt idx="185">
                  <v>3.958532521026712</v>
                </pt>
                <pt idx="186">
                  <v>3.958532521026712</v>
                </pt>
                <pt idx="187">
                  <v>3.958532521026712</v>
                </pt>
                <pt idx="188">
                  <v>3.958532521026712</v>
                </pt>
                <pt idx="189">
                  <v>3.958532521026712</v>
                </pt>
                <pt idx="190">
                  <v>3.958532521026712</v>
                </pt>
                <pt idx="191">
                  <v>3.976427454975619</v>
                </pt>
                <pt idx="192">
                  <v>3.976427454975619</v>
                </pt>
                <pt idx="193">
                  <v>3.976427454975619</v>
                </pt>
                <pt idx="194">
                  <v>3.976427454975619</v>
                </pt>
                <pt idx="195">
                  <v>3.976427454975619</v>
                </pt>
                <pt idx="196">
                  <v>3.976427454975619</v>
                </pt>
                <pt idx="197">
                  <v>3.976427454975619</v>
                </pt>
                <pt idx="198">
                  <v>3.976427454975619</v>
                </pt>
                <pt idx="199">
                  <v>3.976427454975619</v>
                </pt>
                <pt idx="200">
                  <v>3.976427454975619</v>
                </pt>
                <pt idx="201">
                  <v>3.986657298648918</v>
                </pt>
                <pt idx="202">
                  <v>3.986657298648918</v>
                </pt>
                <pt idx="203">
                  <v>3.986657298648918</v>
                </pt>
                <pt idx="204">
                  <v>3.986657298648918</v>
                </pt>
                <pt idx="205">
                  <v>3.986657298648918</v>
                </pt>
                <pt idx="206">
                  <v>3.986657298648918</v>
                </pt>
                <pt idx="207">
                  <v>3.986657298648918</v>
                </pt>
                <pt idx="208">
                  <v>3.986657298648918</v>
                </pt>
                <pt idx="209">
                  <v>3.986657298648918</v>
                </pt>
                <pt idx="210">
                  <v>3.986657298648918</v>
                </pt>
                <pt idx="211">
                  <v>3.992473611649495</v>
                </pt>
                <pt idx="212">
                  <v>3.992473611649495</v>
                </pt>
                <pt idx="213">
                  <v>3.992473611649495</v>
                </pt>
                <pt idx="214">
                  <v>3.992473611649495</v>
                </pt>
                <pt idx="215">
                  <v>3.992473611649495</v>
                </pt>
                <pt idx="216">
                  <v>3.992473611649495</v>
                </pt>
                <pt idx="217">
                  <v>3.992473611649495</v>
                </pt>
                <pt idx="218">
                  <v>3.992473611649495</v>
                </pt>
                <pt idx="219">
                  <v>3.992473611649495</v>
                </pt>
                <pt idx="220">
                  <v>3.992473611649495</v>
                </pt>
                <pt idx="221">
                  <v>3.995766287447597</v>
                </pt>
                <pt idx="222">
                  <v>3.995766287447597</v>
                </pt>
                <pt idx="223">
                  <v>3.995766287447597</v>
                </pt>
                <pt idx="224">
                  <v>3.995766287447597</v>
                </pt>
                <pt idx="225">
                  <v>3.995766287447597</v>
                </pt>
                <pt idx="226">
                  <v>3.995766287447597</v>
                </pt>
                <pt idx="227">
                  <v>3.995766287447597</v>
                </pt>
                <pt idx="228">
                  <v>3.995766287447597</v>
                </pt>
                <pt idx="229">
                  <v>3.995766287447597</v>
                </pt>
                <pt idx="230">
                  <v>3.995766287447597</v>
                </pt>
                <pt idx="231">
                  <v>3.997623849489978</v>
                </pt>
                <pt idx="232">
                  <v>3.997623849489978</v>
                </pt>
                <pt idx="233">
                  <v>3.997623849489978</v>
                </pt>
                <pt idx="234">
                  <v>3.997623849489978</v>
                </pt>
                <pt idx="235">
                  <v>3.997623849489978</v>
                </pt>
                <pt idx="236">
                  <v>3.997623849489978</v>
                </pt>
                <pt idx="237">
                  <v>3.997623849489978</v>
                </pt>
                <pt idx="238">
                  <v>3.997623849489978</v>
                </pt>
                <pt idx="239">
                  <v>3.997623849489978</v>
                </pt>
                <pt idx="240">
                  <v>3.997623849489978</v>
                </pt>
                <pt idx="241">
                  <v>3.998668858006518</v>
                </pt>
                <pt idx="242">
                  <v>3.998668858006518</v>
                </pt>
                <pt idx="243">
                  <v>3.998668858006518</v>
                </pt>
                <pt idx="244">
                  <v>3.998668858006518</v>
                </pt>
                <pt idx="245">
                  <v>3.998668858006518</v>
                </pt>
                <pt idx="246">
                  <v>3.998668858006518</v>
                </pt>
                <pt idx="247">
                  <v>3.998668858006518</v>
                </pt>
                <pt idx="248">
                  <v>3.998668858006518</v>
                </pt>
                <pt idx="249">
                  <v>3.998668858006518</v>
                </pt>
                <pt idx="250">
                  <v>3.998668858006518</v>
                </pt>
                <pt idx="251">
                  <v>3.999255409895762</v>
                </pt>
                <pt idx="252">
                  <v>3.999255409895762</v>
                </pt>
                <pt idx="253">
                  <v>3.999255409895762</v>
                </pt>
                <pt idx="254">
                  <v>3.999255409895762</v>
                </pt>
                <pt idx="255">
                  <v>3.999255409895762</v>
                </pt>
                <pt idx="256">
                  <v>3.999255409895762</v>
                </pt>
                <pt idx="257">
                  <v>3.999255409895762</v>
                </pt>
                <pt idx="258">
                  <v>3.999255409895762</v>
                </pt>
                <pt idx="259">
                  <v>3.999255409895762</v>
                </pt>
                <pt idx="260">
                  <v>3.999255409895762</v>
                </pt>
                <pt idx="261">
                  <v>3.999584022883329</v>
                </pt>
                <pt idx="262">
                  <v>3.999584022883329</v>
                </pt>
                <pt idx="263">
                  <v>3.999584022883329</v>
                </pt>
                <pt idx="264">
                  <v>3.999584022883329</v>
                </pt>
                <pt idx="265">
                  <v>3.999584022883329</v>
                </pt>
                <pt idx="266">
                  <v>3.999584022883329</v>
                </pt>
                <pt idx="267">
                  <v>3.999584022883329</v>
                </pt>
                <pt idx="268">
                  <v>3.999584022883329</v>
                </pt>
                <pt idx="269">
                  <v>3.999584022883329</v>
                </pt>
                <pt idx="270">
                  <v>3.999584022883329</v>
                </pt>
                <pt idx="271">
                  <v>3.999767846143861</v>
                </pt>
                <pt idx="272">
                  <v>3.999767846143861</v>
                </pt>
                <pt idx="273">
                  <v>3.999767846143861</v>
                </pt>
                <pt idx="274">
                  <v>3.999767846143861</v>
                </pt>
                <pt idx="275">
                  <v>3.999767846143861</v>
                </pt>
                <pt idx="276">
                  <v>3.999767846143861</v>
                </pt>
                <pt idx="277">
                  <v>3.999767846143861</v>
                </pt>
                <pt idx="278">
                  <v>3.999767846143861</v>
                </pt>
                <pt idx="279">
                  <v>3.999767846143861</v>
                </pt>
                <pt idx="280">
                  <v>3.999767846143861</v>
                </pt>
                <pt idx="281">
                  <v>3.999870546387067</v>
                </pt>
                <pt idx="282">
                  <v>3.999870546387067</v>
                </pt>
                <pt idx="283">
                  <v>3.999870546387067</v>
                </pt>
                <pt idx="284">
                  <v>3.999870546387067</v>
                </pt>
                <pt idx="285">
                  <v>3.999870546387067</v>
                </pt>
                <pt idx="286">
                  <v>3.999870546387067</v>
                </pt>
                <pt idx="287">
                  <v>3.999870546387067</v>
                </pt>
                <pt idx="288">
                  <v>3.999870546387067</v>
                </pt>
                <pt idx="289">
                  <v>3.999870546387067</v>
                </pt>
                <pt idx="290">
                  <v>3.999870546387067</v>
                </pt>
                <pt idx="291">
                  <v>3.999927864709385</v>
                </pt>
                <pt idx="292">
                  <v>3.999927864709385</v>
                </pt>
                <pt idx="293">
                  <v>3.999927864709385</v>
                </pt>
                <pt idx="294">
                  <v>3.999927864709385</v>
                </pt>
                <pt idx="295">
                  <v>3.999927864709385</v>
                </pt>
                <pt idx="296">
                  <v>3.999927864709385</v>
                </pt>
                <pt idx="297">
                  <v>3.999927864709385</v>
                </pt>
                <pt idx="298">
                  <v>3.999927864709385</v>
                </pt>
                <pt idx="299">
                  <v>3.999927864709385</v>
                </pt>
                <pt idx="300">
                  <v>3.999927864709385</v>
                </pt>
                <pt idx="301">
                  <v>3.999959827492654</v>
                </pt>
                <pt idx="302">
                  <v>3.999959827492654</v>
                </pt>
                <pt idx="303">
                  <v>3.999959827492654</v>
                </pt>
                <pt idx="304">
                  <v>3.999959827492654</v>
                </pt>
                <pt idx="305">
                  <v>3.999959827492654</v>
                </pt>
                <pt idx="306">
                  <v>3.999959827492654</v>
                </pt>
                <pt idx="307">
                  <v>3.999959827492654</v>
                </pt>
                <pt idx="308">
                  <v>3.999959827492654</v>
                </pt>
                <pt idx="309">
                  <v>3.999959827492654</v>
                </pt>
                <pt idx="310">
                  <v>3.999959827492654</v>
                </pt>
                <pt idx="311">
                  <v>3.999977638514548</v>
                </pt>
                <pt idx="312">
                  <v>3.999977638514548</v>
                </pt>
                <pt idx="313">
                  <v>3.999977638514548</v>
                </pt>
                <pt idx="314">
                  <v>3.999977638514548</v>
                </pt>
                <pt idx="315">
                  <v>3.999977638514548</v>
                </pt>
                <pt idx="316">
                  <v>3.999977638514548</v>
                </pt>
                <pt idx="317">
                  <v>3.999977638514548</v>
                </pt>
                <pt idx="318">
                  <v>3.999977638514548</v>
                </pt>
                <pt idx="319">
                  <v>3.999977638514548</v>
                </pt>
                <pt idx="320">
                  <v>3.999977638514548</v>
                </pt>
                <pt idx="321">
                  <v>3.999987557763966</v>
                </pt>
                <pt idx="322">
                  <v>3.999987557763966</v>
                </pt>
                <pt idx="323">
                  <v>3.999987557763966</v>
                </pt>
                <pt idx="324">
                  <v>3.999987557763966</v>
                </pt>
                <pt idx="325">
                  <v>3.999987557763966</v>
                </pt>
                <pt idx="326">
                  <v>3.999987557763966</v>
                </pt>
                <pt idx="327">
                  <v>3.999987557763966</v>
                </pt>
                <pt idx="328">
                  <v>3.999987557763966</v>
                </pt>
                <pt idx="329">
                  <v>3.999987557763966</v>
                </pt>
                <pt idx="330">
                  <v>3.999987557763966</v>
                </pt>
                <pt idx="331">
                  <v>3.999993079273707</v>
                </pt>
                <pt idx="332">
                  <v>3.999993079273707</v>
                </pt>
                <pt idx="333">
                  <v>3.999993079273707</v>
                </pt>
                <pt idx="334">
                  <v>3.999993079273707</v>
                </pt>
                <pt idx="335">
                  <v>3.999993079273707</v>
                </pt>
                <pt idx="336">
                  <v>3.999993079273707</v>
                </pt>
                <pt idx="337">
                  <v>3.999993079273707</v>
                </pt>
                <pt idx="338">
                  <v>3.999993079273707</v>
                </pt>
                <pt idx="339">
                  <v>3.999993079273707</v>
                </pt>
                <pt idx="340">
                  <v>3.999993079273707</v>
                </pt>
                <pt idx="341">
                  <v>3.999996151560194</v>
                </pt>
                <pt idx="342">
                  <v>3.999996151560194</v>
                </pt>
                <pt idx="343">
                  <v>3.999996151560194</v>
                </pt>
                <pt idx="344">
                  <v>3.999996151560194</v>
                </pt>
                <pt idx="345">
                  <v>3.999996151560194</v>
                </pt>
                <pt idx="346">
                  <v>3.999996151560194</v>
                </pt>
                <pt idx="347">
                  <v>3.999996151560194</v>
                </pt>
                <pt idx="348">
                  <v>3.999996151560194</v>
                </pt>
                <pt idx="349">
                  <v>3.999996151560194</v>
                </pt>
                <pt idx="350">
                  <v>3.999996151560194</v>
                </pt>
                <pt idx="351">
                  <v>3.999997860473397</v>
                </pt>
                <pt idx="352">
                  <v>3.999997860473397</v>
                </pt>
                <pt idx="353">
                  <v>3.999997860473397</v>
                </pt>
                <pt idx="354">
                  <v>3.999997860473397</v>
                </pt>
                <pt idx="355">
                  <v>3.999997860473397</v>
                </pt>
                <pt idx="356">
                  <v>3.999997860473397</v>
                </pt>
                <pt idx="357">
                  <v>3.999997860473397</v>
                </pt>
                <pt idx="358">
                  <v>3.999997860473397</v>
                </pt>
                <pt idx="359">
                  <v>3.999997860473397</v>
                </pt>
                <pt idx="360">
                  <v>3.999997860473397</v>
                </pt>
                <pt idx="361">
                  <v>3.999998810765753</v>
                </pt>
                <pt idx="362">
                  <v>3.999998810765753</v>
                </pt>
                <pt idx="363">
                  <v>3.999998810765753</v>
                </pt>
                <pt idx="364">
                  <v>3.999998810765753</v>
                </pt>
                <pt idx="365">
                  <v>3.999998810765753</v>
                </pt>
                <pt idx="366">
                  <v>3.999998810765753</v>
                </pt>
                <pt idx="367">
                  <v>3.999998810765753</v>
                </pt>
                <pt idx="368">
                  <v>3.999998810765753</v>
                </pt>
                <pt idx="369">
                  <v>3.999998810765753</v>
                </pt>
                <pt idx="370">
                  <v>3.999998810765753</v>
                </pt>
                <pt idx="371">
                  <v>3.999999339081712</v>
                </pt>
                <pt idx="372">
                  <v>3.999999339081712</v>
                </pt>
                <pt idx="373">
                  <v>3.999999339081712</v>
                </pt>
                <pt idx="374">
                  <v>3.999999339081712</v>
                </pt>
                <pt idx="375">
                  <v>3.999999339081712</v>
                </pt>
                <pt idx="376">
                  <v>3.999999339081712</v>
                </pt>
                <pt idx="377">
                  <v>3.999999339081712</v>
                </pt>
                <pt idx="378">
                  <v>3.999999339081712</v>
                </pt>
                <pt idx="379">
                  <v>3.999999339081712</v>
                </pt>
                <pt idx="380">
                  <v>3.999999339081712</v>
                </pt>
                <pt idx="381">
                  <v>3.999999632742772</v>
                </pt>
                <pt idx="382">
                  <v>3.999999632742772</v>
                </pt>
                <pt idx="383">
                  <v>3.999999632742772</v>
                </pt>
                <pt idx="384">
                  <v>3.999999632742772</v>
                </pt>
                <pt idx="385">
                  <v>3.999999632742772</v>
                </pt>
                <pt idx="386">
                  <v>3.999999632742772</v>
                </pt>
                <pt idx="387">
                  <v>3.999999632742772</v>
                </pt>
                <pt idx="388">
                  <v>3.999999632742772</v>
                </pt>
                <pt idx="389">
                  <v>3.999999632742772</v>
                </pt>
                <pt idx="390">
                  <v>3.999999632742772</v>
                </pt>
                <pt idx="391">
                  <v>3.999999795946153</v>
                </pt>
                <pt idx="392">
                  <v>3.999999795946153</v>
                </pt>
                <pt idx="393">
                  <v>3.999999795946153</v>
                </pt>
                <pt idx="394">
                  <v>3.999999795946153</v>
                </pt>
                <pt idx="395">
                  <v>3.999999795946153</v>
                </pt>
                <pt idx="396">
                  <v>3.999999795946153</v>
                </pt>
                <pt idx="397">
                  <v>3.999999795946153</v>
                </pt>
                <pt idx="398">
                  <v>3.999999795946153</v>
                </pt>
                <pt idx="399">
                  <v>3.999999795946153</v>
                </pt>
                <pt idx="400">
                  <v>3.999999795946153</v>
                </pt>
              </numCache>
            </numRef>
          </val>
          <smooth val="0"/>
        </ser>
        <ser>
          <idx val="4"/>
          <order val="4"/>
          <tx>
            <strRef>
              <f>Лист1!$O$1</f>
              <strCache>
                <ptCount val="1"/>
                <pt idx="0">
                  <v>y(n*T03)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Лист1!$O$2:$O$402</f>
              <numCache>
                <formatCode>General</formatCode>
                <ptCount val="4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1.54903738620018</v>
                </pt>
                <pt idx="101">
                  <v>1.54903738620018</v>
                </pt>
                <pt idx="102">
                  <v>1.54903738620018</v>
                </pt>
                <pt idx="103">
                  <v>1.54903738620018</v>
                </pt>
                <pt idx="104">
                  <v>1.54903738620018</v>
                </pt>
                <pt idx="105">
                  <v>1.54903738620018</v>
                </pt>
                <pt idx="106">
                  <v>1.54903738620018</v>
                </pt>
                <pt idx="107">
                  <v>1.54903738620018</v>
                </pt>
                <pt idx="108">
                  <v>1.54903738620018</v>
                </pt>
                <pt idx="109">
                  <v>1.54903738620018</v>
                </pt>
                <pt idx="110">
                  <v>1.54903738620018</v>
                </pt>
                <pt idx="111">
                  <v>1.54903738620018</v>
                </pt>
                <pt idx="112">
                  <v>1.54903738620018</v>
                </pt>
                <pt idx="113">
                  <v>1.54903738620018</v>
                </pt>
                <pt idx="114">
                  <v>1.54903738620018</v>
                </pt>
                <pt idx="115">
                  <v>1.54903738620018</v>
                </pt>
                <pt idx="116">
                  <v>1.54903738620018</v>
                </pt>
                <pt idx="117">
                  <v>1.54903738620018</v>
                </pt>
                <pt idx="118">
                  <v>1.54903738620018</v>
                </pt>
                <pt idx="119">
                  <v>1.54903738620018</v>
                </pt>
                <pt idx="120">
                  <v>2.982797232746423</v>
                </pt>
                <pt idx="121">
                  <v>2.982797232746423</v>
                </pt>
                <pt idx="122">
                  <v>2.982797232746423</v>
                </pt>
                <pt idx="123">
                  <v>2.982797232746423</v>
                </pt>
                <pt idx="124">
                  <v>2.982797232746423</v>
                </pt>
                <pt idx="125">
                  <v>2.982797232746423</v>
                </pt>
                <pt idx="126">
                  <v>2.982797232746423</v>
                </pt>
                <pt idx="127">
                  <v>2.982797232746423</v>
                </pt>
                <pt idx="128">
                  <v>2.982797232746423</v>
                </pt>
                <pt idx="129">
                  <v>2.982797232746423</v>
                </pt>
                <pt idx="130">
                  <v>2.982797232746423</v>
                </pt>
                <pt idx="131">
                  <v>2.982797232746423</v>
                </pt>
                <pt idx="132">
                  <v>2.982797232746423</v>
                </pt>
                <pt idx="133">
                  <v>2.982797232746423</v>
                </pt>
                <pt idx="134">
                  <v>2.982797232746423</v>
                </pt>
                <pt idx="135">
                  <v>2.982797232746423</v>
                </pt>
                <pt idx="136">
                  <v>2.982797232746423</v>
                </pt>
                <pt idx="137">
                  <v>2.982797232746423</v>
                </pt>
                <pt idx="138">
                  <v>2.982797232746423</v>
                </pt>
                <pt idx="139">
                  <v>2.982797232746423</v>
                </pt>
                <pt idx="140">
                  <v>3.630202177787457</v>
                </pt>
                <pt idx="141">
                  <v>3.630202177787457</v>
                </pt>
                <pt idx="142">
                  <v>3.630202177787457</v>
                </pt>
                <pt idx="143">
                  <v>3.630202177787457</v>
                </pt>
                <pt idx="144">
                  <v>3.630202177787457</v>
                </pt>
                <pt idx="145">
                  <v>3.630202177787457</v>
                </pt>
                <pt idx="146">
                  <v>3.630202177787457</v>
                </pt>
                <pt idx="147">
                  <v>3.630202177787457</v>
                </pt>
                <pt idx="148">
                  <v>3.630202177787457</v>
                </pt>
                <pt idx="149">
                  <v>3.630202177787457</v>
                </pt>
                <pt idx="150">
                  <v>3.630202177787457</v>
                </pt>
                <pt idx="151">
                  <v>3.630202177787457</v>
                </pt>
                <pt idx="152">
                  <v>3.630202177787457</v>
                </pt>
                <pt idx="153">
                  <v>3.630202177787457</v>
                </pt>
                <pt idx="154">
                  <v>3.630202177787457</v>
                </pt>
                <pt idx="155">
                  <v>3.630202177787457</v>
                </pt>
                <pt idx="156">
                  <v>3.630202177787457</v>
                </pt>
                <pt idx="157">
                  <v>3.630202177787457</v>
                </pt>
                <pt idx="158">
                  <v>3.630202177787457</v>
                </pt>
                <pt idx="159">
                  <v>3.630202177787457</v>
                </pt>
                <pt idx="160">
                  <v>3.873915940939111</v>
                </pt>
                <pt idx="161">
                  <v>3.873915940939111</v>
                </pt>
                <pt idx="162">
                  <v>3.873915940939111</v>
                </pt>
                <pt idx="163">
                  <v>3.873915940939111</v>
                </pt>
                <pt idx="164">
                  <v>3.873915940939111</v>
                </pt>
                <pt idx="165">
                  <v>3.873915940939111</v>
                </pt>
                <pt idx="166">
                  <v>3.873915940939111</v>
                </pt>
                <pt idx="167">
                  <v>3.873915940939111</v>
                </pt>
                <pt idx="168">
                  <v>3.873915940939111</v>
                </pt>
                <pt idx="169">
                  <v>3.873915940939111</v>
                </pt>
                <pt idx="170">
                  <v>3.873915940939111</v>
                </pt>
                <pt idx="171">
                  <v>3.873915940939111</v>
                </pt>
                <pt idx="172">
                  <v>3.873915940939111</v>
                </pt>
                <pt idx="173">
                  <v>3.873915940939111</v>
                </pt>
                <pt idx="174">
                  <v>3.873915940939111</v>
                </pt>
                <pt idx="175">
                  <v>3.873915940939111</v>
                </pt>
                <pt idx="176">
                  <v>3.873915940939111</v>
                </pt>
                <pt idx="177">
                  <v>3.873915940939111</v>
                </pt>
                <pt idx="178">
                  <v>3.873915940939111</v>
                </pt>
                <pt idx="179">
                  <v>3.873915940939111</v>
                </pt>
                <pt idx="180">
                  <v>3.958532521026715</v>
                </pt>
                <pt idx="181">
                  <v>3.958532521026715</v>
                </pt>
                <pt idx="182">
                  <v>3.958532521026715</v>
                </pt>
                <pt idx="183">
                  <v>3.958532521026715</v>
                </pt>
                <pt idx="184">
                  <v>3.958532521026715</v>
                </pt>
                <pt idx="185">
                  <v>3.958532521026715</v>
                </pt>
                <pt idx="186">
                  <v>3.958532521026715</v>
                </pt>
                <pt idx="187">
                  <v>3.958532521026715</v>
                </pt>
                <pt idx="188">
                  <v>3.958532521026715</v>
                </pt>
                <pt idx="189">
                  <v>3.958532521026715</v>
                </pt>
                <pt idx="190">
                  <v>3.958532521026715</v>
                </pt>
                <pt idx="191">
                  <v>3.958532521026715</v>
                </pt>
                <pt idx="192">
                  <v>3.958532521026715</v>
                </pt>
                <pt idx="193">
                  <v>3.958532521026715</v>
                </pt>
                <pt idx="194">
                  <v>3.958532521026715</v>
                </pt>
                <pt idx="195">
                  <v>3.958532521026715</v>
                </pt>
                <pt idx="196">
                  <v>3.958532521026715</v>
                </pt>
                <pt idx="197">
                  <v>3.958532521026715</v>
                </pt>
                <pt idx="198">
                  <v>3.958532521026715</v>
                </pt>
                <pt idx="199">
                  <v>3.958532521026715</v>
                </pt>
                <pt idx="200">
                  <v>3.98665729864892</v>
                </pt>
                <pt idx="201">
                  <v>3.98665729864892</v>
                </pt>
                <pt idx="202">
                  <v>3.98665729864892</v>
                </pt>
                <pt idx="203">
                  <v>3.98665729864892</v>
                </pt>
                <pt idx="204">
                  <v>3.98665729864892</v>
                </pt>
                <pt idx="205">
                  <v>3.98665729864892</v>
                </pt>
                <pt idx="206">
                  <v>3.98665729864892</v>
                </pt>
                <pt idx="207">
                  <v>3.98665729864892</v>
                </pt>
                <pt idx="208">
                  <v>3.98665729864892</v>
                </pt>
                <pt idx="209">
                  <v>3.98665729864892</v>
                </pt>
                <pt idx="210">
                  <v>3.98665729864892</v>
                </pt>
                <pt idx="211">
                  <v>3.98665729864892</v>
                </pt>
                <pt idx="212">
                  <v>3.98665729864892</v>
                </pt>
                <pt idx="213">
                  <v>3.98665729864892</v>
                </pt>
                <pt idx="214">
                  <v>3.98665729864892</v>
                </pt>
                <pt idx="215">
                  <v>3.98665729864892</v>
                </pt>
                <pt idx="216">
                  <v>3.98665729864892</v>
                </pt>
                <pt idx="217">
                  <v>3.98665729864892</v>
                </pt>
                <pt idx="218">
                  <v>3.98665729864892</v>
                </pt>
                <pt idx="219">
                  <v>3.98665729864892</v>
                </pt>
                <pt idx="220">
                  <v>3.9957662874476</v>
                </pt>
                <pt idx="221">
                  <v>3.9957662874476</v>
                </pt>
                <pt idx="222">
                  <v>3.9957662874476</v>
                </pt>
                <pt idx="223">
                  <v>3.9957662874476</v>
                </pt>
                <pt idx="224">
                  <v>3.9957662874476</v>
                </pt>
                <pt idx="225">
                  <v>3.9957662874476</v>
                </pt>
                <pt idx="226">
                  <v>3.9957662874476</v>
                </pt>
                <pt idx="227">
                  <v>3.9957662874476</v>
                </pt>
                <pt idx="228">
                  <v>3.9957662874476</v>
                </pt>
                <pt idx="229">
                  <v>3.9957662874476</v>
                </pt>
                <pt idx="230">
                  <v>3.9957662874476</v>
                </pt>
                <pt idx="231">
                  <v>3.9957662874476</v>
                </pt>
                <pt idx="232">
                  <v>3.9957662874476</v>
                </pt>
                <pt idx="233">
                  <v>3.9957662874476</v>
                </pt>
                <pt idx="234">
                  <v>3.9957662874476</v>
                </pt>
                <pt idx="235">
                  <v>3.9957662874476</v>
                </pt>
                <pt idx="236">
                  <v>3.9957662874476</v>
                </pt>
                <pt idx="237">
                  <v>3.9957662874476</v>
                </pt>
                <pt idx="238">
                  <v>3.9957662874476</v>
                </pt>
                <pt idx="239">
                  <v>3.9957662874476</v>
                </pt>
                <pt idx="240">
                  <v>3.998668858006521</v>
                </pt>
                <pt idx="241">
                  <v>3.998668858006521</v>
                </pt>
                <pt idx="242">
                  <v>3.998668858006521</v>
                </pt>
                <pt idx="243">
                  <v>3.998668858006521</v>
                </pt>
                <pt idx="244">
                  <v>3.998668858006521</v>
                </pt>
                <pt idx="245">
                  <v>3.998668858006521</v>
                </pt>
                <pt idx="246">
                  <v>3.998668858006521</v>
                </pt>
                <pt idx="247">
                  <v>3.998668858006521</v>
                </pt>
                <pt idx="248">
                  <v>3.998668858006521</v>
                </pt>
                <pt idx="249">
                  <v>3.998668858006521</v>
                </pt>
                <pt idx="250">
                  <v>3.998668858006521</v>
                </pt>
                <pt idx="251">
                  <v>3.998668858006521</v>
                </pt>
                <pt idx="252">
                  <v>3.998668858006521</v>
                </pt>
                <pt idx="253">
                  <v>3.998668858006521</v>
                </pt>
                <pt idx="254">
                  <v>3.998668858006521</v>
                </pt>
                <pt idx="255">
                  <v>3.998668858006521</v>
                </pt>
                <pt idx="256">
                  <v>3.998668858006521</v>
                </pt>
                <pt idx="257">
                  <v>3.998668858006521</v>
                </pt>
                <pt idx="258">
                  <v>3.998668858006521</v>
                </pt>
                <pt idx="259">
                  <v>3.998668858006521</v>
                </pt>
                <pt idx="260">
                  <v>3.999584022883331</v>
                </pt>
                <pt idx="261">
                  <v>3.999584022883331</v>
                </pt>
                <pt idx="262">
                  <v>3.999584022883331</v>
                </pt>
                <pt idx="263">
                  <v>3.999584022883331</v>
                </pt>
                <pt idx="264">
                  <v>3.999584022883331</v>
                </pt>
                <pt idx="265">
                  <v>3.999584022883331</v>
                </pt>
                <pt idx="266">
                  <v>3.999584022883331</v>
                </pt>
                <pt idx="267">
                  <v>3.999584022883331</v>
                </pt>
                <pt idx="268">
                  <v>3.999584022883331</v>
                </pt>
                <pt idx="269">
                  <v>3.999584022883331</v>
                </pt>
                <pt idx="270">
                  <v>3.999584022883331</v>
                </pt>
                <pt idx="271">
                  <v>3.999584022883331</v>
                </pt>
                <pt idx="272">
                  <v>3.999584022883331</v>
                </pt>
                <pt idx="273">
                  <v>3.999584022883331</v>
                </pt>
                <pt idx="274">
                  <v>3.999584022883331</v>
                </pt>
                <pt idx="275">
                  <v>3.999584022883331</v>
                </pt>
                <pt idx="276">
                  <v>3.999584022883331</v>
                </pt>
                <pt idx="277">
                  <v>3.999584022883331</v>
                </pt>
                <pt idx="278">
                  <v>3.999584022883331</v>
                </pt>
                <pt idx="279">
                  <v>3.999584022883331</v>
                </pt>
                <pt idx="280">
                  <v>3.999870546387069</v>
                </pt>
                <pt idx="281">
                  <v>3.999870546387069</v>
                </pt>
                <pt idx="282">
                  <v>3.999870546387069</v>
                </pt>
                <pt idx="283">
                  <v>3.999870546387069</v>
                </pt>
                <pt idx="284">
                  <v>3.999870546387069</v>
                </pt>
                <pt idx="285">
                  <v>3.999870546387069</v>
                </pt>
                <pt idx="286">
                  <v>3.999870546387069</v>
                </pt>
                <pt idx="287">
                  <v>3.999870546387069</v>
                </pt>
                <pt idx="288">
                  <v>3.999870546387069</v>
                </pt>
                <pt idx="289">
                  <v>3.999870546387069</v>
                </pt>
                <pt idx="290">
                  <v>3.999870546387069</v>
                </pt>
                <pt idx="291">
                  <v>3.999870546387069</v>
                </pt>
                <pt idx="292">
                  <v>3.999870546387069</v>
                </pt>
                <pt idx="293">
                  <v>3.999870546387069</v>
                </pt>
                <pt idx="294">
                  <v>3.999870546387069</v>
                </pt>
                <pt idx="295">
                  <v>3.999870546387069</v>
                </pt>
                <pt idx="296">
                  <v>3.999870546387069</v>
                </pt>
                <pt idx="297">
                  <v>3.999870546387069</v>
                </pt>
                <pt idx="298">
                  <v>3.999870546387069</v>
                </pt>
                <pt idx="299">
                  <v>3.999870546387069</v>
                </pt>
                <pt idx="300">
                  <v>3.999959827492656</v>
                </pt>
                <pt idx="301">
                  <v>3.999959827492656</v>
                </pt>
                <pt idx="302">
                  <v>3.999959827492656</v>
                </pt>
                <pt idx="303">
                  <v>3.999959827492656</v>
                </pt>
                <pt idx="304">
                  <v>3.999959827492656</v>
                </pt>
                <pt idx="305">
                  <v>3.999959827492656</v>
                </pt>
                <pt idx="306">
                  <v>3.999959827492656</v>
                </pt>
                <pt idx="307">
                  <v>3.999959827492656</v>
                </pt>
                <pt idx="308">
                  <v>3.999959827492656</v>
                </pt>
                <pt idx="309">
                  <v>3.999959827492656</v>
                </pt>
                <pt idx="310">
                  <v>3.999959827492656</v>
                </pt>
                <pt idx="311">
                  <v>3.999959827492656</v>
                </pt>
                <pt idx="312">
                  <v>3.999959827492656</v>
                </pt>
                <pt idx="313">
                  <v>3.999959827492656</v>
                </pt>
                <pt idx="314">
                  <v>3.999959827492656</v>
                </pt>
                <pt idx="315">
                  <v>3.999959827492656</v>
                </pt>
                <pt idx="316">
                  <v>3.999959827492656</v>
                </pt>
                <pt idx="317">
                  <v>3.999959827492656</v>
                </pt>
                <pt idx="318">
                  <v>3.999959827492656</v>
                </pt>
                <pt idx="319">
                  <v>3.999959827492656</v>
                </pt>
                <pt idx="320">
                  <v>3.999987557763967</v>
                </pt>
                <pt idx="321">
                  <v>3.999987557763967</v>
                </pt>
                <pt idx="322">
                  <v>3.999987557763967</v>
                </pt>
                <pt idx="323">
                  <v>3.999987557763967</v>
                </pt>
                <pt idx="324">
                  <v>3.999987557763967</v>
                </pt>
                <pt idx="325">
                  <v>3.999987557763967</v>
                </pt>
                <pt idx="326">
                  <v>3.999987557763967</v>
                </pt>
                <pt idx="327">
                  <v>3.999987557763967</v>
                </pt>
                <pt idx="328">
                  <v>3.999987557763967</v>
                </pt>
                <pt idx="329">
                  <v>3.999987557763967</v>
                </pt>
                <pt idx="330">
                  <v>3.999987557763967</v>
                </pt>
                <pt idx="331">
                  <v>3.999987557763967</v>
                </pt>
                <pt idx="332">
                  <v>3.999987557763967</v>
                </pt>
                <pt idx="333">
                  <v>3.999987557763967</v>
                </pt>
                <pt idx="334">
                  <v>3.999987557763967</v>
                </pt>
                <pt idx="335">
                  <v>3.999987557763967</v>
                </pt>
                <pt idx="336">
                  <v>3.999987557763967</v>
                </pt>
                <pt idx="337">
                  <v>3.999987557763967</v>
                </pt>
                <pt idx="338">
                  <v>3.999987557763967</v>
                </pt>
                <pt idx="339">
                  <v>3.999987557763967</v>
                </pt>
                <pt idx="340">
                  <v>3.999996151560196</v>
                </pt>
                <pt idx="341">
                  <v>3.999996151560196</v>
                </pt>
                <pt idx="342">
                  <v>3.999996151560196</v>
                </pt>
                <pt idx="343">
                  <v>3.999996151560196</v>
                </pt>
                <pt idx="344">
                  <v>3.999996151560196</v>
                </pt>
                <pt idx="345">
                  <v>3.999996151560196</v>
                </pt>
                <pt idx="346">
                  <v>3.999996151560196</v>
                </pt>
                <pt idx="347">
                  <v>3.999996151560196</v>
                </pt>
                <pt idx="348">
                  <v>3.999996151560196</v>
                </pt>
                <pt idx="349">
                  <v>3.999996151560196</v>
                </pt>
                <pt idx="350">
                  <v>3.999996151560196</v>
                </pt>
                <pt idx="351">
                  <v>3.999996151560196</v>
                </pt>
                <pt idx="352">
                  <v>3.999996151560196</v>
                </pt>
                <pt idx="353">
                  <v>3.999996151560196</v>
                </pt>
                <pt idx="354">
                  <v>3.999996151560196</v>
                </pt>
                <pt idx="355">
                  <v>3.999996151560196</v>
                </pt>
                <pt idx="356">
                  <v>3.999996151560196</v>
                </pt>
                <pt idx="357">
                  <v>3.999996151560196</v>
                </pt>
                <pt idx="358">
                  <v>3.999996151560196</v>
                </pt>
                <pt idx="359">
                  <v>3.999996151560196</v>
                </pt>
                <pt idx="360">
                  <v>3.999998810765756</v>
                </pt>
                <pt idx="361">
                  <v>3.999998810765756</v>
                </pt>
                <pt idx="362">
                  <v>3.999998810765756</v>
                </pt>
                <pt idx="363">
                  <v>3.999998810765756</v>
                </pt>
                <pt idx="364">
                  <v>3.999998810765756</v>
                </pt>
                <pt idx="365">
                  <v>3.999998810765756</v>
                </pt>
                <pt idx="366">
                  <v>3.999998810765756</v>
                </pt>
                <pt idx="367">
                  <v>3.999998810765756</v>
                </pt>
                <pt idx="368">
                  <v>3.999998810765756</v>
                </pt>
                <pt idx="369">
                  <v>3.999998810765756</v>
                </pt>
                <pt idx="370">
                  <v>3.999998810765756</v>
                </pt>
                <pt idx="371">
                  <v>3.999998810765756</v>
                </pt>
                <pt idx="372">
                  <v>3.999998810765756</v>
                </pt>
                <pt idx="373">
                  <v>3.999998810765756</v>
                </pt>
                <pt idx="374">
                  <v>3.999998810765756</v>
                </pt>
                <pt idx="375">
                  <v>3.999998810765756</v>
                </pt>
                <pt idx="376">
                  <v>3.999998810765756</v>
                </pt>
                <pt idx="377">
                  <v>3.999998810765756</v>
                </pt>
                <pt idx="378">
                  <v>3.999998810765756</v>
                </pt>
                <pt idx="379">
                  <v>3.999998810765756</v>
                </pt>
                <pt idx="380">
                  <v>3.999999632742774</v>
                </pt>
                <pt idx="381">
                  <v>3.999999632742774</v>
                </pt>
                <pt idx="382">
                  <v>3.999999632742774</v>
                </pt>
                <pt idx="383">
                  <v>3.999999632742774</v>
                </pt>
                <pt idx="384">
                  <v>3.999999632742774</v>
                </pt>
                <pt idx="385">
                  <v>3.999999632742774</v>
                </pt>
                <pt idx="386">
                  <v>3.999999632742774</v>
                </pt>
                <pt idx="387">
                  <v>3.999999632742774</v>
                </pt>
                <pt idx="388">
                  <v>3.999999632742774</v>
                </pt>
                <pt idx="389">
                  <v>3.999999632742774</v>
                </pt>
                <pt idx="390">
                  <v>3.999999632742774</v>
                </pt>
                <pt idx="391">
                  <v>3.999999632742774</v>
                </pt>
                <pt idx="392">
                  <v>3.999999632742774</v>
                </pt>
                <pt idx="393">
                  <v>3.999999632742774</v>
                </pt>
                <pt idx="394">
                  <v>3.999999632742774</v>
                </pt>
                <pt idx="395">
                  <v>3.999999632742774</v>
                </pt>
                <pt idx="396">
                  <v>3.999999632742774</v>
                </pt>
                <pt idx="397">
                  <v>3.999999632742774</v>
                </pt>
                <pt idx="398">
                  <v>3.999999632742774</v>
                </pt>
                <pt idx="399">
                  <v>3.999999632742774</v>
                </pt>
                <pt idx="400">
                  <v>3.999999886634976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26931024"/>
        <axId val="926938704"/>
      </lineChart>
      <catAx>
        <axId val="926931024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926938704"/>
        <crosses val="autoZero"/>
        <auto val="1"/>
        <lblAlgn val="ctr"/>
        <lblOffset val="100"/>
        <noMultiLvlLbl val="0"/>
      </catAx>
      <valAx>
        <axId val="9269387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926931024"/>
        <crosses val="autoZero"/>
        <crossBetween val="between"/>
      </valAx>
    </plotArea>
    <legend>
      <legendPos val="r"/>
      <legendEntry>
        <idx val="0"/>
        <delete val="1"/>
      </legendEntry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lineChart>
        <grouping val="standard"/>
        <varyColors val="0"/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058109071"/>
        <axId val="2058109551"/>
      </lineChart>
      <catAx>
        <axId val="2058109071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2058109551"/>
        <crosses val="autoZero"/>
        <auto val="1"/>
        <lblAlgn val="ctr"/>
        <lblOffset val="100"/>
        <noMultiLvlLbl val="0"/>
      </catAx>
      <valAx>
        <axId val="20581095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205810907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Лист2!$M$8</f>
              <strCache>
                <ptCount val="1"/>
                <pt idx="0">
                  <v>T=1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Лист2!$M$9:$M$159</f>
              <numCache>
                <formatCode>General</formatCode>
                <ptCount val="15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36</v>
                </pt>
                <pt idx="41">
                  <v>6.300000000000011</v>
                </pt>
                <pt idx="42">
                  <v>6.600000000000023</v>
                </pt>
                <pt idx="43">
                  <v>6.900000000000034</v>
                </pt>
                <pt idx="44">
                  <v>7.200000000000045</v>
                </pt>
                <pt idx="45">
                  <v>7.500000000000057</v>
                </pt>
                <pt idx="46">
                  <v>7.800000000000068</v>
                </pt>
                <pt idx="47">
                  <v>8.10000000000008</v>
                </pt>
                <pt idx="48">
                  <v>8.400000000000091</v>
                </pt>
                <pt idx="49">
                  <v>8.700000000000102</v>
                </pt>
                <pt idx="50">
                  <v>9.000000000000114</v>
                </pt>
                <pt idx="51">
                  <v>9.300000000000125</v>
                </pt>
                <pt idx="52">
                  <v>9.600000000000136</v>
                </pt>
                <pt idx="53">
                  <v>9.900000000000148</v>
                </pt>
                <pt idx="54">
                  <v>10.20000000000016</v>
                </pt>
                <pt idx="55">
                  <v>10.50000000000017</v>
                </pt>
                <pt idx="56">
                  <v>10.80000000000018</v>
                </pt>
                <pt idx="57">
                  <v>11.10000000000019</v>
                </pt>
                <pt idx="58">
                  <v>11.4000000000002</v>
                </pt>
                <pt idx="59">
                  <v>11.70000000000022</v>
                </pt>
                <pt idx="60">
                  <v>12.00000000000023</v>
                </pt>
                <pt idx="61">
                  <v>12.30000000000024</v>
                </pt>
                <pt idx="62">
                  <v>12.60000000000025</v>
                </pt>
                <pt idx="63">
                  <v>12.90000000000026</v>
                </pt>
                <pt idx="64">
                  <v>13.20000000000027</v>
                </pt>
                <pt idx="65">
                  <v>13.50000000000028</v>
                </pt>
                <pt idx="66">
                  <v>13.8000000000003</v>
                </pt>
                <pt idx="67">
                  <v>14.10000000000031</v>
                </pt>
                <pt idx="68">
                  <v>14.40000000000032</v>
                </pt>
                <pt idx="69">
                  <v>14.70000000000033</v>
                </pt>
                <pt idx="70">
                  <v>15.00000000000034</v>
                </pt>
                <pt idx="71">
                  <v>15.30000000000035</v>
                </pt>
                <pt idx="72">
                  <v>15.60000000000036</v>
                </pt>
                <pt idx="73">
                  <v>15.90000000000038</v>
                </pt>
                <pt idx="74">
                  <v>16.20000000000039</v>
                </pt>
                <pt idx="75">
                  <v>16.5000000000004</v>
                </pt>
                <pt idx="76">
                  <v>16.80000000000041</v>
                </pt>
                <pt idx="77">
                  <v>17.10000000000042</v>
                </pt>
                <pt idx="78">
                  <v>17.40000000000043</v>
                </pt>
                <pt idx="79">
                  <v>17.70000000000044</v>
                </pt>
                <pt idx="80">
                  <v>18.00000000000045</v>
                </pt>
                <pt idx="81">
                  <v>18.30000000000047</v>
                </pt>
                <pt idx="82">
                  <v>18.60000000000048</v>
                </pt>
                <pt idx="83">
                  <v>18.90000000000049</v>
                </pt>
                <pt idx="84">
                  <v>19.2000000000005</v>
                </pt>
                <pt idx="85">
                  <v>19.50000000000051</v>
                </pt>
                <pt idx="86">
                  <v>19.80000000000052</v>
                </pt>
                <pt idx="87">
                  <v>20.10000000000053</v>
                </pt>
                <pt idx="88">
                  <v>20.40000000000055</v>
                </pt>
                <pt idx="89">
                  <v>20.70000000000056</v>
                </pt>
                <pt idx="90">
                  <v>21.00000000000057</v>
                </pt>
                <pt idx="91">
                  <v>21.30000000000058</v>
                </pt>
                <pt idx="92">
                  <v>21.60000000000059</v>
                </pt>
                <pt idx="93">
                  <v>21.9000000000006</v>
                </pt>
                <pt idx="94">
                  <v>22.20000000000061</v>
                </pt>
                <pt idx="95">
                  <v>22.50000000000063</v>
                </pt>
                <pt idx="96">
                  <v>22.80000000000064</v>
                </pt>
                <pt idx="97">
                  <v>23.10000000000065</v>
                </pt>
                <pt idx="98">
                  <v>23.40000000000066</v>
                </pt>
                <pt idx="99">
                  <v>23.70000000000067</v>
                </pt>
                <pt idx="100">
                  <v>24.00000000000068</v>
                </pt>
                <pt idx="101">
                  <v>24.30000000000069</v>
                </pt>
                <pt idx="102">
                  <v>24.6000000000007</v>
                </pt>
                <pt idx="103">
                  <v>24.90000000000072</v>
                </pt>
                <pt idx="104">
                  <v>25.20000000000073</v>
                </pt>
                <pt idx="105">
                  <v>25.50000000000074</v>
                </pt>
                <pt idx="106">
                  <v>25.80000000000075</v>
                </pt>
                <pt idx="107">
                  <v>26.10000000000076</v>
                </pt>
                <pt idx="108">
                  <v>26.40000000000077</v>
                </pt>
                <pt idx="109">
                  <v>26.70000000000078</v>
                </pt>
                <pt idx="110">
                  <v>27.0000000000008</v>
                </pt>
                <pt idx="111">
                  <v>27.30000000000081</v>
                </pt>
                <pt idx="112">
                  <v>27.60000000000082</v>
                </pt>
                <pt idx="113">
                  <v>27.90000000000083</v>
                </pt>
                <pt idx="114">
                  <v>28.20000000000084</v>
                </pt>
                <pt idx="115">
                  <v>28.50000000000085</v>
                </pt>
                <pt idx="116">
                  <v>28.80000000000086</v>
                </pt>
                <pt idx="117">
                  <v>29.10000000000088</v>
                </pt>
                <pt idx="118">
                  <v>29.40000000000089</v>
                </pt>
                <pt idx="119">
                  <v>29.7000000000009</v>
                </pt>
                <pt idx="120">
                  <v>30.00000000000091</v>
                </pt>
                <pt idx="121">
                  <v>30.30000000000092</v>
                </pt>
                <pt idx="122">
                  <v>30.60000000000093</v>
                </pt>
                <pt idx="123">
                  <v>30.90000000000094</v>
                </pt>
                <pt idx="124">
                  <v>31.20000000000095</v>
                </pt>
                <pt idx="125">
                  <v>31.50000000000097</v>
                </pt>
                <pt idx="126">
                  <v>31.80000000000098</v>
                </pt>
                <pt idx="127">
                  <v>32.10000000000099</v>
                </pt>
                <pt idx="128">
                  <v>32.400000000001</v>
                </pt>
                <pt idx="129">
                  <v>32.70000000000101</v>
                </pt>
                <pt idx="130">
                  <v>33.00000000000102</v>
                </pt>
                <pt idx="131">
                  <v>33.30000000000103</v>
                </pt>
                <pt idx="132">
                  <v>33.60000000000105</v>
                </pt>
                <pt idx="133">
                  <v>33.90000000000106</v>
                </pt>
                <pt idx="134">
                  <v>34.20000000000107</v>
                </pt>
                <pt idx="135">
                  <v>34.50000000000108</v>
                </pt>
                <pt idx="136">
                  <v>34.80000000000109</v>
                </pt>
                <pt idx="137">
                  <v>35.1000000000011</v>
                </pt>
                <pt idx="138">
                  <v>35.40000000000111</v>
                </pt>
                <pt idx="139">
                  <v>35.70000000000113</v>
                </pt>
                <pt idx="140">
                  <v>36.00000000000114</v>
                </pt>
                <pt idx="141">
                  <v>36.30000000000115</v>
                </pt>
                <pt idx="142">
                  <v>36.60000000000116</v>
                </pt>
                <pt idx="143">
                  <v>36.90000000000117</v>
                </pt>
                <pt idx="144">
                  <v>37.20000000000118</v>
                </pt>
                <pt idx="145">
                  <v>37.50000000000119</v>
                </pt>
                <pt idx="146">
                  <v>37.80000000000121</v>
                </pt>
                <pt idx="147">
                  <v>38.10000000000122</v>
                </pt>
                <pt idx="148">
                  <v>38.40000000000123</v>
                </pt>
                <pt idx="149">
                  <v>38.70000000000124</v>
                </pt>
                <pt idx="150">
                  <v>39.00000000000125</v>
                </pt>
              </numCache>
            </numRef>
          </val>
          <smooth val="0"/>
        </ser>
        <ser>
          <idx val="1"/>
          <order val="1"/>
          <tx>
            <strRef>
              <f>Лист2!$N$8</f>
              <strCache>
                <ptCount val="1"/>
                <pt idx="0">
                  <v>T=5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Лист2!$N$9:$N$159</f>
              <numCache>
                <formatCode>General</formatCode>
                <ptCount val="15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36</v>
                </pt>
                <pt idx="41">
                  <v>36</v>
                </pt>
                <pt idx="42">
                  <v>36</v>
                </pt>
                <pt idx="43">
                  <v>36</v>
                </pt>
                <pt idx="44">
                  <v>36</v>
                </pt>
                <pt idx="45">
                  <v>7.5</v>
                </pt>
                <pt idx="46">
                  <v>7.5</v>
                </pt>
                <pt idx="47">
                  <v>7.5</v>
                </pt>
                <pt idx="48">
                  <v>7.5</v>
                </pt>
                <pt idx="49">
                  <v>7.5</v>
                </pt>
                <pt idx="50">
                  <v>9</v>
                </pt>
                <pt idx="51">
                  <v>9</v>
                </pt>
                <pt idx="52">
                  <v>9</v>
                </pt>
                <pt idx="53">
                  <v>9</v>
                </pt>
                <pt idx="54">
                  <v>9</v>
                </pt>
                <pt idx="55">
                  <v>10.5</v>
                </pt>
                <pt idx="56">
                  <v>10.5</v>
                </pt>
                <pt idx="57">
                  <v>10.5</v>
                </pt>
                <pt idx="58">
                  <v>10.5</v>
                </pt>
                <pt idx="59">
                  <v>10.5</v>
                </pt>
                <pt idx="60">
                  <v>12</v>
                </pt>
                <pt idx="61">
                  <v>12</v>
                </pt>
                <pt idx="62">
                  <v>12</v>
                </pt>
                <pt idx="63">
                  <v>12</v>
                </pt>
                <pt idx="64">
                  <v>12</v>
                </pt>
                <pt idx="65">
                  <v>13.5</v>
                </pt>
                <pt idx="66">
                  <v>13.5</v>
                </pt>
                <pt idx="67">
                  <v>13.5</v>
                </pt>
                <pt idx="68">
                  <v>13.5</v>
                </pt>
                <pt idx="69">
                  <v>13.5</v>
                </pt>
                <pt idx="70">
                  <v>15</v>
                </pt>
                <pt idx="71">
                  <v>15</v>
                </pt>
                <pt idx="72">
                  <v>15</v>
                </pt>
                <pt idx="73">
                  <v>15</v>
                </pt>
                <pt idx="74">
                  <v>15</v>
                </pt>
                <pt idx="75">
                  <v>16.5</v>
                </pt>
                <pt idx="76">
                  <v>16.5</v>
                </pt>
                <pt idx="77">
                  <v>16.5</v>
                </pt>
                <pt idx="78">
                  <v>16.5</v>
                </pt>
                <pt idx="79">
                  <v>16.5</v>
                </pt>
                <pt idx="80">
                  <v>18</v>
                </pt>
                <pt idx="81">
                  <v>18</v>
                </pt>
                <pt idx="82">
                  <v>18</v>
                </pt>
                <pt idx="83">
                  <v>18</v>
                </pt>
                <pt idx="84">
                  <v>18</v>
                </pt>
                <pt idx="85">
                  <v>19.5</v>
                </pt>
                <pt idx="86">
                  <v>19.5</v>
                </pt>
                <pt idx="87">
                  <v>19.5</v>
                </pt>
                <pt idx="88">
                  <v>19.5</v>
                </pt>
                <pt idx="89">
                  <v>19.5</v>
                </pt>
                <pt idx="90">
                  <v>21</v>
                </pt>
                <pt idx="91">
                  <v>21</v>
                </pt>
                <pt idx="92">
                  <v>21</v>
                </pt>
                <pt idx="93">
                  <v>21</v>
                </pt>
                <pt idx="94">
                  <v>21</v>
                </pt>
                <pt idx="95">
                  <v>22.5</v>
                </pt>
                <pt idx="96">
                  <v>22.5</v>
                </pt>
                <pt idx="97">
                  <v>22.5</v>
                </pt>
                <pt idx="98">
                  <v>22.5</v>
                </pt>
                <pt idx="99">
                  <v>22.5</v>
                </pt>
                <pt idx="100">
                  <v>24</v>
                </pt>
                <pt idx="101">
                  <v>24</v>
                </pt>
                <pt idx="102">
                  <v>24</v>
                </pt>
                <pt idx="103">
                  <v>24</v>
                </pt>
                <pt idx="104">
                  <v>24</v>
                </pt>
                <pt idx="105">
                  <v>25.5</v>
                </pt>
                <pt idx="106">
                  <v>25.5</v>
                </pt>
                <pt idx="107">
                  <v>25.5</v>
                </pt>
                <pt idx="108">
                  <v>25.5</v>
                </pt>
                <pt idx="109">
                  <v>25.5</v>
                </pt>
                <pt idx="110">
                  <v>27</v>
                </pt>
                <pt idx="111">
                  <v>27</v>
                </pt>
                <pt idx="112">
                  <v>27</v>
                </pt>
                <pt idx="113">
                  <v>27</v>
                </pt>
                <pt idx="114">
                  <v>27</v>
                </pt>
                <pt idx="115">
                  <v>28.5</v>
                </pt>
                <pt idx="116">
                  <v>28.5</v>
                </pt>
                <pt idx="117">
                  <v>28.5</v>
                </pt>
                <pt idx="118">
                  <v>28.5</v>
                </pt>
                <pt idx="119">
                  <v>28.5</v>
                </pt>
                <pt idx="120">
                  <v>30</v>
                </pt>
                <pt idx="121">
                  <v>30</v>
                </pt>
                <pt idx="122">
                  <v>30</v>
                </pt>
                <pt idx="123">
                  <v>30</v>
                </pt>
                <pt idx="124">
                  <v>30</v>
                </pt>
                <pt idx="125">
                  <v>31.5</v>
                </pt>
                <pt idx="126">
                  <v>31.5</v>
                </pt>
                <pt idx="127">
                  <v>31.5</v>
                </pt>
                <pt idx="128">
                  <v>31.5</v>
                </pt>
                <pt idx="129">
                  <v>31.5</v>
                </pt>
                <pt idx="130">
                  <v>33</v>
                </pt>
                <pt idx="131">
                  <v>33</v>
                </pt>
                <pt idx="132">
                  <v>33</v>
                </pt>
                <pt idx="133">
                  <v>33</v>
                </pt>
                <pt idx="134">
                  <v>33</v>
                </pt>
                <pt idx="135">
                  <v>34.5</v>
                </pt>
                <pt idx="136">
                  <v>34.5</v>
                </pt>
                <pt idx="137">
                  <v>34.5</v>
                </pt>
                <pt idx="138">
                  <v>34.5</v>
                </pt>
                <pt idx="139">
                  <v>34.5</v>
                </pt>
                <pt idx="140">
                  <v>36</v>
                </pt>
                <pt idx="141">
                  <v>36</v>
                </pt>
                <pt idx="142">
                  <v>36</v>
                </pt>
                <pt idx="143">
                  <v>36</v>
                </pt>
                <pt idx="144">
                  <v>36</v>
                </pt>
                <pt idx="145">
                  <v>37.5</v>
                </pt>
                <pt idx="146">
                  <v>37.5</v>
                </pt>
                <pt idx="147">
                  <v>37.5</v>
                </pt>
                <pt idx="148">
                  <v>37.5</v>
                </pt>
                <pt idx="149">
                  <v>37.5</v>
                </pt>
                <pt idx="150">
                  <v>39</v>
                </pt>
              </numCache>
            </numRef>
          </val>
          <smooth val="0"/>
        </ser>
        <ser>
          <idx val="2"/>
          <order val="2"/>
          <tx>
            <strRef>
              <f>Лист2!$O$8</f>
              <strCache>
                <ptCount val="1"/>
                <pt idx="0">
                  <v>T=10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Лист2!$O$9:$O$159</f>
              <numCache>
                <formatCode>General</formatCode>
                <ptCount val="15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36</v>
                </pt>
                <pt idx="41">
                  <v>36</v>
                </pt>
                <pt idx="42">
                  <v>36</v>
                </pt>
                <pt idx="43">
                  <v>36</v>
                </pt>
                <pt idx="44">
                  <v>36</v>
                </pt>
                <pt idx="45">
                  <v>36</v>
                </pt>
                <pt idx="46">
                  <v>36</v>
                </pt>
                <pt idx="47">
                  <v>36</v>
                </pt>
                <pt idx="48">
                  <v>36</v>
                </pt>
                <pt idx="49">
                  <v>36</v>
                </pt>
                <pt idx="50">
                  <v>9</v>
                </pt>
                <pt idx="51">
                  <v>9</v>
                </pt>
                <pt idx="52">
                  <v>9</v>
                </pt>
                <pt idx="53">
                  <v>9</v>
                </pt>
                <pt idx="54">
                  <v>9</v>
                </pt>
                <pt idx="55">
                  <v>9</v>
                </pt>
                <pt idx="56">
                  <v>9</v>
                </pt>
                <pt idx="57">
                  <v>9</v>
                </pt>
                <pt idx="58">
                  <v>9</v>
                </pt>
                <pt idx="59">
                  <v>9</v>
                </pt>
                <pt idx="60">
                  <v>12</v>
                </pt>
                <pt idx="61">
                  <v>12</v>
                </pt>
                <pt idx="62">
                  <v>12</v>
                </pt>
                <pt idx="63">
                  <v>12</v>
                </pt>
                <pt idx="64">
                  <v>12</v>
                </pt>
                <pt idx="65">
                  <v>12</v>
                </pt>
                <pt idx="66">
                  <v>12</v>
                </pt>
                <pt idx="67">
                  <v>12</v>
                </pt>
                <pt idx="68">
                  <v>12</v>
                </pt>
                <pt idx="69">
                  <v>12</v>
                </pt>
                <pt idx="70">
                  <v>15</v>
                </pt>
                <pt idx="71">
                  <v>15</v>
                </pt>
                <pt idx="72">
                  <v>15</v>
                </pt>
                <pt idx="73">
                  <v>15</v>
                </pt>
                <pt idx="74">
                  <v>15</v>
                </pt>
                <pt idx="75">
                  <v>15</v>
                </pt>
                <pt idx="76">
                  <v>15</v>
                </pt>
                <pt idx="77">
                  <v>15</v>
                </pt>
                <pt idx="78">
                  <v>15</v>
                </pt>
                <pt idx="79">
                  <v>15</v>
                </pt>
                <pt idx="80">
                  <v>18</v>
                </pt>
                <pt idx="81">
                  <v>18</v>
                </pt>
                <pt idx="82">
                  <v>18</v>
                </pt>
                <pt idx="83">
                  <v>18</v>
                </pt>
                <pt idx="84">
                  <v>18</v>
                </pt>
                <pt idx="85">
                  <v>18</v>
                </pt>
                <pt idx="86">
                  <v>18</v>
                </pt>
                <pt idx="87">
                  <v>18</v>
                </pt>
                <pt idx="88">
                  <v>18</v>
                </pt>
                <pt idx="89">
                  <v>18</v>
                </pt>
                <pt idx="90">
                  <v>21</v>
                </pt>
                <pt idx="91">
                  <v>21</v>
                </pt>
                <pt idx="92">
                  <v>21</v>
                </pt>
                <pt idx="93">
                  <v>21</v>
                </pt>
                <pt idx="94">
                  <v>21</v>
                </pt>
                <pt idx="95">
                  <v>21</v>
                </pt>
                <pt idx="96">
                  <v>21</v>
                </pt>
                <pt idx="97">
                  <v>21</v>
                </pt>
                <pt idx="98">
                  <v>21</v>
                </pt>
                <pt idx="99">
                  <v>21</v>
                </pt>
                <pt idx="100">
                  <v>24</v>
                </pt>
                <pt idx="101">
                  <v>24</v>
                </pt>
                <pt idx="102">
                  <v>24</v>
                </pt>
                <pt idx="103">
                  <v>24</v>
                </pt>
                <pt idx="104">
                  <v>24</v>
                </pt>
                <pt idx="105">
                  <v>24</v>
                </pt>
                <pt idx="106">
                  <v>24</v>
                </pt>
                <pt idx="107">
                  <v>24</v>
                </pt>
                <pt idx="108">
                  <v>24</v>
                </pt>
                <pt idx="109">
                  <v>24</v>
                </pt>
                <pt idx="110">
                  <v>27</v>
                </pt>
                <pt idx="111">
                  <v>27</v>
                </pt>
                <pt idx="112">
                  <v>27</v>
                </pt>
                <pt idx="113">
                  <v>27</v>
                </pt>
                <pt idx="114">
                  <v>27</v>
                </pt>
                <pt idx="115">
                  <v>27</v>
                </pt>
                <pt idx="116">
                  <v>27</v>
                </pt>
                <pt idx="117">
                  <v>27</v>
                </pt>
                <pt idx="118">
                  <v>27</v>
                </pt>
                <pt idx="119">
                  <v>27</v>
                </pt>
                <pt idx="120">
                  <v>30</v>
                </pt>
                <pt idx="121">
                  <v>30</v>
                </pt>
                <pt idx="122">
                  <v>30</v>
                </pt>
                <pt idx="123">
                  <v>30</v>
                </pt>
                <pt idx="124">
                  <v>30</v>
                </pt>
                <pt idx="125">
                  <v>30</v>
                </pt>
                <pt idx="126">
                  <v>30</v>
                </pt>
                <pt idx="127">
                  <v>30</v>
                </pt>
                <pt idx="128">
                  <v>30</v>
                </pt>
                <pt idx="129">
                  <v>30</v>
                </pt>
                <pt idx="130">
                  <v>33</v>
                </pt>
                <pt idx="131">
                  <v>33</v>
                </pt>
                <pt idx="132">
                  <v>33</v>
                </pt>
                <pt idx="133">
                  <v>33</v>
                </pt>
                <pt idx="134">
                  <v>33</v>
                </pt>
                <pt idx="135">
                  <v>33</v>
                </pt>
                <pt idx="136">
                  <v>33</v>
                </pt>
                <pt idx="137">
                  <v>33</v>
                </pt>
                <pt idx="138">
                  <v>33</v>
                </pt>
                <pt idx="139">
                  <v>33</v>
                </pt>
                <pt idx="140">
                  <v>36</v>
                </pt>
                <pt idx="141">
                  <v>36</v>
                </pt>
                <pt idx="142">
                  <v>36</v>
                </pt>
                <pt idx="143">
                  <v>36</v>
                </pt>
                <pt idx="144">
                  <v>36</v>
                </pt>
                <pt idx="145">
                  <v>36</v>
                </pt>
                <pt idx="146">
                  <v>36</v>
                </pt>
                <pt idx="147">
                  <v>36</v>
                </pt>
                <pt idx="148">
                  <v>36</v>
                </pt>
                <pt idx="149">
                  <v>36</v>
                </pt>
                <pt idx="150">
                  <v>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58115311"/>
        <axId val="2058111951"/>
      </lineChart>
      <catAx>
        <axId val="2058115311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2058111951"/>
        <crosses val="autoZero"/>
        <auto val="1"/>
        <lblAlgn val="ctr"/>
        <lblOffset val="100"/>
        <noMultiLvlLbl val="0"/>
      </catAx>
      <valAx>
        <axId val="205811195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2058115311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Лист2!$P$8</f>
              <strCache>
                <ptCount val="1"/>
                <pt idx="0">
                  <v>T=1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Лист2!$P$9:$P$159</f>
              <numCache>
                <formatCode>General</formatCode>
                <ptCount val="15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36.15000000000001</v>
                </pt>
                <pt idx="41">
                  <v>6.450000000000017</v>
                </pt>
                <pt idx="42">
                  <v>6.750000000000028</v>
                </pt>
                <pt idx="43">
                  <v>7.05000000000004</v>
                </pt>
                <pt idx="44">
                  <v>7.350000000000051</v>
                </pt>
                <pt idx="45">
                  <v>7.650000000000063</v>
                </pt>
                <pt idx="46">
                  <v>7.950000000000074</v>
                </pt>
                <pt idx="47">
                  <v>8.250000000000085</v>
                </pt>
                <pt idx="48">
                  <v>8.550000000000097</v>
                </pt>
                <pt idx="49">
                  <v>8.850000000000108</v>
                </pt>
                <pt idx="50">
                  <v>9.150000000000119</v>
                </pt>
                <pt idx="51">
                  <v>9.450000000000131</v>
                </pt>
                <pt idx="52">
                  <v>9.750000000000142</v>
                </pt>
                <pt idx="53">
                  <v>10.05000000000015</v>
                </pt>
                <pt idx="54">
                  <v>10.35000000000016</v>
                </pt>
                <pt idx="55">
                  <v>10.65000000000018</v>
                </pt>
                <pt idx="56">
                  <v>10.95000000000019</v>
                </pt>
                <pt idx="57">
                  <v>11.2500000000002</v>
                </pt>
                <pt idx="58">
                  <v>11.55000000000021</v>
                </pt>
                <pt idx="59">
                  <v>11.85000000000022</v>
                </pt>
                <pt idx="60">
                  <v>12.15000000000023</v>
                </pt>
                <pt idx="61">
                  <v>12.45000000000024</v>
                </pt>
                <pt idx="62">
                  <v>12.75000000000026</v>
                </pt>
                <pt idx="63">
                  <v>13.05000000000027</v>
                </pt>
                <pt idx="64">
                  <v>13.35000000000028</v>
                </pt>
                <pt idx="65">
                  <v>13.65000000000029</v>
                </pt>
                <pt idx="66">
                  <v>13.9500000000003</v>
                </pt>
                <pt idx="67">
                  <v>14.25000000000031</v>
                </pt>
                <pt idx="68">
                  <v>14.55000000000032</v>
                </pt>
                <pt idx="69">
                  <v>14.85000000000034</v>
                </pt>
                <pt idx="70">
                  <v>15.15000000000035</v>
                </pt>
                <pt idx="71">
                  <v>15.45000000000036</v>
                </pt>
                <pt idx="72">
                  <v>15.75000000000037</v>
                </pt>
                <pt idx="73">
                  <v>16.05000000000038</v>
                </pt>
                <pt idx="74">
                  <v>16.35000000000039</v>
                </pt>
                <pt idx="75">
                  <v>16.6500000000004</v>
                </pt>
                <pt idx="76">
                  <v>16.95000000000041</v>
                </pt>
                <pt idx="77">
                  <v>17.25000000000043</v>
                </pt>
                <pt idx="78">
                  <v>17.55000000000044</v>
                </pt>
                <pt idx="79">
                  <v>17.85000000000045</v>
                </pt>
                <pt idx="80">
                  <v>18.15000000000046</v>
                </pt>
                <pt idx="81">
                  <v>18.45000000000047</v>
                </pt>
                <pt idx="82">
                  <v>18.75000000000048</v>
                </pt>
                <pt idx="83">
                  <v>19.05000000000049</v>
                </pt>
                <pt idx="84">
                  <v>19.35000000000051</v>
                </pt>
                <pt idx="85">
                  <v>19.65000000000052</v>
                </pt>
                <pt idx="86">
                  <v>19.95000000000053</v>
                </pt>
                <pt idx="87">
                  <v>20.25000000000054</v>
                </pt>
                <pt idx="88">
                  <v>20.55000000000055</v>
                </pt>
                <pt idx="89">
                  <v>20.85000000000056</v>
                </pt>
                <pt idx="90">
                  <v>21.15000000000057</v>
                </pt>
                <pt idx="91">
                  <v>21.45000000000059</v>
                </pt>
                <pt idx="92">
                  <v>21.7500000000006</v>
                </pt>
                <pt idx="93">
                  <v>22.05000000000061</v>
                </pt>
                <pt idx="94">
                  <v>22.35000000000062</v>
                </pt>
                <pt idx="95">
                  <v>22.65000000000063</v>
                </pt>
                <pt idx="96">
                  <v>22.95000000000064</v>
                </pt>
                <pt idx="97">
                  <v>23.25000000000065</v>
                </pt>
                <pt idx="98">
                  <v>23.55000000000067</v>
                </pt>
                <pt idx="99">
                  <v>23.85000000000068</v>
                </pt>
                <pt idx="100">
                  <v>24.15000000000069</v>
                </pt>
                <pt idx="101">
                  <v>24.4500000000007</v>
                </pt>
                <pt idx="102">
                  <v>24.75000000000071</v>
                </pt>
                <pt idx="103">
                  <v>25.05000000000072</v>
                </pt>
                <pt idx="104">
                  <v>25.35000000000073</v>
                </pt>
                <pt idx="105">
                  <v>25.65000000000074</v>
                </pt>
                <pt idx="106">
                  <v>25.95000000000076</v>
                </pt>
                <pt idx="107">
                  <v>26.25000000000077</v>
                </pt>
                <pt idx="108">
                  <v>26.55000000000078</v>
                </pt>
                <pt idx="109">
                  <v>26.85000000000079</v>
                </pt>
                <pt idx="110">
                  <v>27.1500000000008</v>
                </pt>
                <pt idx="111">
                  <v>27.45000000000081</v>
                </pt>
                <pt idx="112">
                  <v>27.75000000000082</v>
                </pt>
                <pt idx="113">
                  <v>28.05000000000084</v>
                </pt>
                <pt idx="114">
                  <v>28.35000000000085</v>
                </pt>
                <pt idx="115">
                  <v>28.65000000000086</v>
                </pt>
                <pt idx="116">
                  <v>28.95000000000087</v>
                </pt>
                <pt idx="117">
                  <v>29.25000000000088</v>
                </pt>
                <pt idx="118">
                  <v>29.55000000000089</v>
                </pt>
                <pt idx="119">
                  <v>29.8500000000009</v>
                </pt>
                <pt idx="120">
                  <v>30.15000000000092</v>
                </pt>
                <pt idx="121">
                  <v>30.45000000000093</v>
                </pt>
                <pt idx="122">
                  <v>30.75000000000094</v>
                </pt>
                <pt idx="123">
                  <v>31.05000000000095</v>
                </pt>
                <pt idx="124">
                  <v>31.35000000000096</v>
                </pt>
                <pt idx="125">
                  <v>31.65000000000097</v>
                </pt>
                <pt idx="126">
                  <v>31.95000000000098</v>
                </pt>
                <pt idx="127">
                  <v>32.25000000000099</v>
                </pt>
                <pt idx="128">
                  <v>32.55000000000101</v>
                </pt>
                <pt idx="129">
                  <v>32.85000000000102</v>
                </pt>
                <pt idx="130">
                  <v>33.15000000000103</v>
                </pt>
                <pt idx="131">
                  <v>33.45000000000104</v>
                </pt>
                <pt idx="132">
                  <v>33.75000000000105</v>
                </pt>
                <pt idx="133">
                  <v>34.05000000000106</v>
                </pt>
                <pt idx="134">
                  <v>34.35000000000107</v>
                </pt>
                <pt idx="135">
                  <v>34.65000000000109</v>
                </pt>
                <pt idx="136">
                  <v>34.9500000000011</v>
                </pt>
                <pt idx="137">
                  <v>35.25000000000111</v>
                </pt>
                <pt idx="138">
                  <v>35.55000000000112</v>
                </pt>
                <pt idx="139">
                  <v>35.85000000000113</v>
                </pt>
                <pt idx="140">
                  <v>36.15000000000114</v>
                </pt>
                <pt idx="141">
                  <v>36.45000000000115</v>
                </pt>
                <pt idx="142">
                  <v>36.75000000000117</v>
                </pt>
                <pt idx="143">
                  <v>37.05000000000118</v>
                </pt>
                <pt idx="144">
                  <v>37.35000000000119</v>
                </pt>
                <pt idx="145">
                  <v>37.6500000000012</v>
                </pt>
                <pt idx="146">
                  <v>37.95000000000121</v>
                </pt>
                <pt idx="147">
                  <v>38.25000000000122</v>
                </pt>
                <pt idx="148">
                  <v>38.55000000000123</v>
                </pt>
                <pt idx="149">
                  <v>38.85000000000124</v>
                </pt>
                <pt idx="150">
                  <v>39.15000000000126</v>
                </pt>
              </numCache>
            </numRef>
          </val>
          <smooth val="0"/>
        </ser>
        <ser>
          <idx val="1"/>
          <order val="1"/>
          <tx>
            <strRef>
              <f>Лист2!$Q$8</f>
              <strCache>
                <ptCount val="1"/>
                <pt idx="0">
                  <v>T=5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Лист2!$Q$9:$Q$159</f>
              <numCache>
                <formatCode>General</formatCode>
                <ptCount val="15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12.75</v>
                </pt>
                <pt idx="41">
                  <v>12.75</v>
                </pt>
                <pt idx="42">
                  <v>12.75</v>
                </pt>
                <pt idx="43">
                  <v>12.75</v>
                </pt>
                <pt idx="44">
                  <v>12.75</v>
                </pt>
                <pt idx="45">
                  <v>8.25</v>
                </pt>
                <pt idx="46">
                  <v>8.25</v>
                </pt>
                <pt idx="47">
                  <v>8.25</v>
                </pt>
                <pt idx="48">
                  <v>8.25</v>
                </pt>
                <pt idx="49">
                  <v>8.25</v>
                </pt>
                <pt idx="50">
                  <v>9.75</v>
                </pt>
                <pt idx="51">
                  <v>9.75</v>
                </pt>
                <pt idx="52">
                  <v>9.75</v>
                </pt>
                <pt idx="53">
                  <v>9.75</v>
                </pt>
                <pt idx="54">
                  <v>9.75</v>
                </pt>
                <pt idx="55">
                  <v>11.25</v>
                </pt>
                <pt idx="56">
                  <v>11.25</v>
                </pt>
                <pt idx="57">
                  <v>11.25</v>
                </pt>
                <pt idx="58">
                  <v>11.25</v>
                </pt>
                <pt idx="59">
                  <v>11.25</v>
                </pt>
                <pt idx="60">
                  <v>12.75</v>
                </pt>
                <pt idx="61">
                  <v>12.75</v>
                </pt>
                <pt idx="62">
                  <v>12.75</v>
                </pt>
                <pt idx="63">
                  <v>12.75</v>
                </pt>
                <pt idx="64">
                  <v>12.75</v>
                </pt>
                <pt idx="65">
                  <v>14.25</v>
                </pt>
                <pt idx="66">
                  <v>14.25</v>
                </pt>
                <pt idx="67">
                  <v>14.25</v>
                </pt>
                <pt idx="68">
                  <v>14.25</v>
                </pt>
                <pt idx="69">
                  <v>14.25</v>
                </pt>
                <pt idx="70">
                  <v>15.75</v>
                </pt>
                <pt idx="71">
                  <v>15.75</v>
                </pt>
                <pt idx="72">
                  <v>15.75</v>
                </pt>
                <pt idx="73">
                  <v>15.75</v>
                </pt>
                <pt idx="74">
                  <v>15.75</v>
                </pt>
                <pt idx="75">
                  <v>17.25</v>
                </pt>
                <pt idx="76">
                  <v>17.25</v>
                </pt>
                <pt idx="77">
                  <v>17.25</v>
                </pt>
                <pt idx="78">
                  <v>17.25</v>
                </pt>
                <pt idx="79">
                  <v>17.25</v>
                </pt>
                <pt idx="80">
                  <v>18.75</v>
                </pt>
                <pt idx="81">
                  <v>18.75</v>
                </pt>
                <pt idx="82">
                  <v>18.75</v>
                </pt>
                <pt idx="83">
                  <v>18.75</v>
                </pt>
                <pt idx="84">
                  <v>18.75</v>
                </pt>
                <pt idx="85">
                  <v>20.25</v>
                </pt>
                <pt idx="86">
                  <v>20.25</v>
                </pt>
                <pt idx="87">
                  <v>20.25</v>
                </pt>
                <pt idx="88">
                  <v>20.25</v>
                </pt>
                <pt idx="89">
                  <v>20.25</v>
                </pt>
                <pt idx="90">
                  <v>21.75</v>
                </pt>
                <pt idx="91">
                  <v>21.75</v>
                </pt>
                <pt idx="92">
                  <v>21.75</v>
                </pt>
                <pt idx="93">
                  <v>21.75</v>
                </pt>
                <pt idx="94">
                  <v>21.75</v>
                </pt>
                <pt idx="95">
                  <v>23.25</v>
                </pt>
                <pt idx="96">
                  <v>23.25</v>
                </pt>
                <pt idx="97">
                  <v>23.25</v>
                </pt>
                <pt idx="98">
                  <v>23.25</v>
                </pt>
                <pt idx="99">
                  <v>23.25</v>
                </pt>
                <pt idx="100">
                  <v>24.75</v>
                </pt>
                <pt idx="101">
                  <v>24.75</v>
                </pt>
                <pt idx="102">
                  <v>24.75</v>
                </pt>
                <pt idx="103">
                  <v>24.75</v>
                </pt>
                <pt idx="104">
                  <v>24.75</v>
                </pt>
                <pt idx="105">
                  <v>26.25</v>
                </pt>
                <pt idx="106">
                  <v>26.25</v>
                </pt>
                <pt idx="107">
                  <v>26.25</v>
                </pt>
                <pt idx="108">
                  <v>26.25</v>
                </pt>
                <pt idx="109">
                  <v>26.25</v>
                </pt>
                <pt idx="110">
                  <v>27.75</v>
                </pt>
                <pt idx="111">
                  <v>27.75</v>
                </pt>
                <pt idx="112">
                  <v>27.75</v>
                </pt>
                <pt idx="113">
                  <v>27.75</v>
                </pt>
                <pt idx="114">
                  <v>27.75</v>
                </pt>
                <pt idx="115">
                  <v>29.25</v>
                </pt>
                <pt idx="116">
                  <v>29.25</v>
                </pt>
                <pt idx="117">
                  <v>29.25</v>
                </pt>
                <pt idx="118">
                  <v>29.25</v>
                </pt>
                <pt idx="119">
                  <v>29.25</v>
                </pt>
                <pt idx="120">
                  <v>30.75</v>
                </pt>
                <pt idx="121">
                  <v>30.75</v>
                </pt>
                <pt idx="122">
                  <v>30.75</v>
                </pt>
                <pt idx="123">
                  <v>30.75</v>
                </pt>
                <pt idx="124">
                  <v>30.75</v>
                </pt>
                <pt idx="125">
                  <v>32.25</v>
                </pt>
                <pt idx="126">
                  <v>32.25</v>
                </pt>
                <pt idx="127">
                  <v>32.25</v>
                </pt>
                <pt idx="128">
                  <v>32.25</v>
                </pt>
                <pt idx="129">
                  <v>32.25</v>
                </pt>
                <pt idx="130">
                  <v>33.75</v>
                </pt>
                <pt idx="131">
                  <v>33.75</v>
                </pt>
                <pt idx="132">
                  <v>33.75</v>
                </pt>
                <pt idx="133">
                  <v>33.75</v>
                </pt>
                <pt idx="134">
                  <v>33.75</v>
                </pt>
                <pt idx="135">
                  <v>35.25</v>
                </pt>
                <pt idx="136">
                  <v>35.25</v>
                </pt>
                <pt idx="137">
                  <v>35.25</v>
                </pt>
                <pt idx="138">
                  <v>35.25</v>
                </pt>
                <pt idx="139">
                  <v>35.25</v>
                </pt>
                <pt idx="140">
                  <v>36.75</v>
                </pt>
                <pt idx="141">
                  <v>36.75</v>
                </pt>
                <pt idx="142">
                  <v>36.75</v>
                </pt>
                <pt idx="143">
                  <v>36.75</v>
                </pt>
                <pt idx="144">
                  <v>36.75</v>
                </pt>
                <pt idx="145">
                  <v>38.25</v>
                </pt>
                <pt idx="146">
                  <v>38.25</v>
                </pt>
                <pt idx="147">
                  <v>38.25</v>
                </pt>
                <pt idx="148">
                  <v>38.25</v>
                </pt>
                <pt idx="149">
                  <v>38.25</v>
                </pt>
                <pt idx="150">
                  <v>39.75</v>
                </pt>
              </numCache>
            </numRef>
          </val>
          <smooth val="0"/>
        </ser>
        <ser>
          <idx val="2"/>
          <order val="2"/>
          <tx>
            <strRef>
              <f>Лист2!$R$8</f>
              <strCache>
                <ptCount val="1"/>
                <pt idx="0">
                  <v>T=10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Лист2!$R$9:$R$159</f>
              <numCache>
                <formatCode>General</formatCode>
                <ptCount val="15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10.5</v>
                </pt>
                <pt idx="41">
                  <v>10.5</v>
                </pt>
                <pt idx="42">
                  <v>10.5</v>
                </pt>
                <pt idx="43">
                  <v>10.5</v>
                </pt>
                <pt idx="44">
                  <v>10.5</v>
                </pt>
                <pt idx="45">
                  <v>10.5</v>
                </pt>
                <pt idx="46">
                  <v>10.5</v>
                </pt>
                <pt idx="47">
                  <v>10.5</v>
                </pt>
                <pt idx="48">
                  <v>10.5</v>
                </pt>
                <pt idx="49">
                  <v>10.5</v>
                </pt>
                <pt idx="50">
                  <v>10.5</v>
                </pt>
                <pt idx="51">
                  <v>10.5</v>
                </pt>
                <pt idx="52">
                  <v>10.5</v>
                </pt>
                <pt idx="53">
                  <v>10.5</v>
                </pt>
                <pt idx="54">
                  <v>10.5</v>
                </pt>
                <pt idx="55">
                  <v>10.5</v>
                </pt>
                <pt idx="56">
                  <v>10.5</v>
                </pt>
                <pt idx="57">
                  <v>10.5</v>
                </pt>
                <pt idx="58">
                  <v>10.5</v>
                </pt>
                <pt idx="59">
                  <v>10.5</v>
                </pt>
                <pt idx="60">
                  <v>13.5</v>
                </pt>
                <pt idx="61">
                  <v>13.5</v>
                </pt>
                <pt idx="62">
                  <v>13.5</v>
                </pt>
                <pt idx="63">
                  <v>13.5</v>
                </pt>
                <pt idx="64">
                  <v>13.5</v>
                </pt>
                <pt idx="65">
                  <v>13.5</v>
                </pt>
                <pt idx="66">
                  <v>13.5</v>
                </pt>
                <pt idx="67">
                  <v>13.5</v>
                </pt>
                <pt idx="68">
                  <v>13.5</v>
                </pt>
                <pt idx="69">
                  <v>13.5</v>
                </pt>
                <pt idx="70">
                  <v>16.5</v>
                </pt>
                <pt idx="71">
                  <v>16.5</v>
                </pt>
                <pt idx="72">
                  <v>16.5</v>
                </pt>
                <pt idx="73">
                  <v>16.5</v>
                </pt>
                <pt idx="74">
                  <v>16.5</v>
                </pt>
                <pt idx="75">
                  <v>16.5</v>
                </pt>
                <pt idx="76">
                  <v>16.5</v>
                </pt>
                <pt idx="77">
                  <v>16.5</v>
                </pt>
                <pt idx="78">
                  <v>16.5</v>
                </pt>
                <pt idx="79">
                  <v>16.5</v>
                </pt>
                <pt idx="80">
                  <v>19.5</v>
                </pt>
                <pt idx="81">
                  <v>19.5</v>
                </pt>
                <pt idx="82">
                  <v>19.5</v>
                </pt>
                <pt idx="83">
                  <v>19.5</v>
                </pt>
                <pt idx="84">
                  <v>19.5</v>
                </pt>
                <pt idx="85">
                  <v>19.5</v>
                </pt>
                <pt idx="86">
                  <v>19.5</v>
                </pt>
                <pt idx="87">
                  <v>19.5</v>
                </pt>
                <pt idx="88">
                  <v>19.5</v>
                </pt>
                <pt idx="89">
                  <v>19.5</v>
                </pt>
                <pt idx="90">
                  <v>22.5</v>
                </pt>
                <pt idx="91">
                  <v>22.5</v>
                </pt>
                <pt idx="92">
                  <v>22.5</v>
                </pt>
                <pt idx="93">
                  <v>22.5</v>
                </pt>
                <pt idx="94">
                  <v>22.5</v>
                </pt>
                <pt idx="95">
                  <v>22.5</v>
                </pt>
                <pt idx="96">
                  <v>22.5</v>
                </pt>
                <pt idx="97">
                  <v>22.5</v>
                </pt>
                <pt idx="98">
                  <v>22.5</v>
                </pt>
                <pt idx="99">
                  <v>22.5</v>
                </pt>
                <pt idx="100">
                  <v>25.5</v>
                </pt>
                <pt idx="101">
                  <v>25.5</v>
                </pt>
                <pt idx="102">
                  <v>25.5</v>
                </pt>
                <pt idx="103">
                  <v>25.5</v>
                </pt>
                <pt idx="104">
                  <v>25.5</v>
                </pt>
                <pt idx="105">
                  <v>25.5</v>
                </pt>
                <pt idx="106">
                  <v>25.5</v>
                </pt>
                <pt idx="107">
                  <v>25.5</v>
                </pt>
                <pt idx="108">
                  <v>25.5</v>
                </pt>
                <pt idx="109">
                  <v>25.5</v>
                </pt>
                <pt idx="110">
                  <v>28.5</v>
                </pt>
                <pt idx="111">
                  <v>28.5</v>
                </pt>
                <pt idx="112">
                  <v>28.5</v>
                </pt>
                <pt idx="113">
                  <v>28.5</v>
                </pt>
                <pt idx="114">
                  <v>28.5</v>
                </pt>
                <pt idx="115">
                  <v>28.5</v>
                </pt>
                <pt idx="116">
                  <v>28.5</v>
                </pt>
                <pt idx="117">
                  <v>28.5</v>
                </pt>
                <pt idx="118">
                  <v>28.5</v>
                </pt>
                <pt idx="119">
                  <v>28.5</v>
                </pt>
                <pt idx="120">
                  <v>31.5</v>
                </pt>
                <pt idx="121">
                  <v>31.5</v>
                </pt>
                <pt idx="122">
                  <v>31.5</v>
                </pt>
                <pt idx="123">
                  <v>31.5</v>
                </pt>
                <pt idx="124">
                  <v>31.5</v>
                </pt>
                <pt idx="125">
                  <v>31.5</v>
                </pt>
                <pt idx="126">
                  <v>31.5</v>
                </pt>
                <pt idx="127">
                  <v>31.5</v>
                </pt>
                <pt idx="128">
                  <v>31.5</v>
                </pt>
                <pt idx="129">
                  <v>31.5</v>
                </pt>
                <pt idx="130">
                  <v>34.5</v>
                </pt>
                <pt idx="131">
                  <v>34.5</v>
                </pt>
                <pt idx="132">
                  <v>34.5</v>
                </pt>
                <pt idx="133">
                  <v>34.5</v>
                </pt>
                <pt idx="134">
                  <v>34.5</v>
                </pt>
                <pt idx="135">
                  <v>34.5</v>
                </pt>
                <pt idx="136">
                  <v>34.5</v>
                </pt>
                <pt idx="137">
                  <v>34.5</v>
                </pt>
                <pt idx="138">
                  <v>34.5</v>
                </pt>
                <pt idx="139">
                  <v>34.5</v>
                </pt>
                <pt idx="140">
                  <v>37.5</v>
                </pt>
                <pt idx="141">
                  <v>37.5</v>
                </pt>
                <pt idx="142">
                  <v>37.5</v>
                </pt>
                <pt idx="143">
                  <v>37.5</v>
                </pt>
                <pt idx="144">
                  <v>37.5</v>
                </pt>
                <pt idx="145">
                  <v>37.5</v>
                </pt>
                <pt idx="146">
                  <v>37.5</v>
                </pt>
                <pt idx="147">
                  <v>37.5</v>
                </pt>
                <pt idx="148">
                  <v>37.5</v>
                </pt>
                <pt idx="149">
                  <v>37.5</v>
                </pt>
                <pt idx="150">
                  <v>40.5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58056271"/>
        <axId val="2058074511"/>
      </lineChart>
      <catAx>
        <axId val="205805627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2058074511"/>
        <crosses val="autoZero"/>
        <auto val="1"/>
        <lblAlgn val="ctr"/>
        <lblOffset val="100"/>
        <noMultiLvlLbl val="0"/>
      </catAx>
      <valAx>
        <axId val="2058074511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205805627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Лист3!$U$1</f>
              <strCache>
                <ptCount val="1"/>
                <pt idx="0">
                  <v>y(t)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Лист3!$U$2:$U$1002</f>
              <numCache>
                <formatCode>0.000</formatCode>
                <ptCount val="1001"/>
                <pt idx="0">
                  <v>1.00318451972763</v>
                </pt>
                <pt idx="1">
                  <v>1.005505766029882</v>
                </pt>
                <pt idx="2">
                  <v>1.006026550057529</v>
                </pt>
                <pt idx="3">
                  <v>1.005884341574095</v>
                </pt>
                <pt idx="4">
                  <v>1.000889137417261</v>
                </pt>
                <pt idx="5">
                  <v>1.001486342838524</v>
                </pt>
                <pt idx="6">
                  <v>1.005356568994413</v>
                </pt>
                <pt idx="7">
                  <v>1.00181288021578</v>
                </pt>
                <pt idx="8">
                  <v>1.006821210585825</v>
                </pt>
                <pt idx="9">
                  <v>1.002604498598679</v>
                </pt>
                <pt idx="10">
                  <v>1.008586107523721</v>
                </pt>
                <pt idx="11">
                  <v>1.001213686385325</v>
                </pt>
                <pt idx="12">
                  <v>1.003911838629656</v>
                </pt>
                <pt idx="13">
                  <v>1.008734804662154</v>
                </pt>
                <pt idx="14">
                  <v>1.007030332665268</v>
                </pt>
                <pt idx="15">
                  <v>1.005194405265329</v>
                </pt>
                <pt idx="16">
                  <v>1.003785923126553</v>
                </pt>
                <pt idx="17">
                  <v>1.008787516009271</v>
                </pt>
                <pt idx="18">
                  <v>1.009306809007421</v>
                </pt>
                <pt idx="19">
                  <v>1.006212101039174</v>
                </pt>
                <pt idx="20">
                  <v>1.002648541353152</v>
                </pt>
                <pt idx="21">
                  <v>1.001246421313555</v>
                </pt>
                <pt idx="22">
                  <v>1.004824409824972</v>
                </pt>
                <pt idx="23">
                  <v>1.00388850276719</v>
                </pt>
                <pt idx="24">
                  <v>1.006438694711175</v>
                </pt>
                <pt idx="25">
                  <v>1.008237944034622</v>
                </pt>
                <pt idx="26">
                  <v>1.001879132587344</v>
                </pt>
                <pt idx="27">
                  <v>1.00012291724877</v>
                </pt>
                <pt idx="28">
                  <v>1.0038719969183</v>
                </pt>
                <pt idx="29">
                  <v>1.004518475930174</v>
                </pt>
                <pt idx="30">
                  <v>1.000364724185248</v>
                </pt>
                <pt idx="31">
                  <v>1.009225964529606</v>
                </pt>
                <pt idx="32">
                  <v>1.004877854698231</v>
                </pt>
                <pt idx="33">
                  <v>1.006663986964654</v>
                </pt>
                <pt idx="34">
                  <v>1.006238429190426</v>
                </pt>
                <pt idx="35">
                  <v>1.001289379675368</v>
                </pt>
                <pt idx="36">
                  <v>1.00188306016276</v>
                </pt>
                <pt idx="37">
                  <v>1.003373447180301</v>
                </pt>
                <pt idx="38">
                  <v>1.006635668693734</v>
                </pt>
                <pt idx="39">
                  <v>1.008593024077822</v>
                </pt>
                <pt idx="40">
                  <v>1.000578144561796</v>
                </pt>
                <pt idx="41">
                  <v>1.006143558746378</v>
                </pt>
                <pt idx="42">
                  <v>1.001614070646751</v>
                </pt>
                <pt idx="43">
                  <v>0.9906844671021542</v>
                </pt>
                <pt idx="44">
                  <v>0.9814948928740158</v>
                </pt>
                <pt idx="45">
                  <v>0.9720677151856515</v>
                </pt>
                <pt idx="46">
                  <v>0.9550068175664888</v>
                </pt>
                <pt idx="47">
                  <v>0.9292370449276303</v>
                </pt>
                <pt idx="48">
                  <v>0.9137680040776207</v>
                </pt>
                <pt idx="49">
                  <v>0.8961968957936522</v>
                </pt>
                <pt idx="50">
                  <v>0.8746274727592233</v>
                </pt>
                <pt idx="51">
                  <v>0.8478486047222208</v>
                </pt>
                <pt idx="52">
                  <v>0.8288615971208583</v>
                </pt>
                <pt idx="53">
                  <v>0.8003084884533394</v>
                </pt>
                <pt idx="54">
                  <v>0.7732435157230458</v>
                </pt>
                <pt idx="55">
                  <v>0.7466028901280283</v>
                </pt>
                <pt idx="56">
                  <v>0.7297856252639072</v>
                </pt>
                <pt idx="57">
                  <v>0.6997208153457078</v>
                </pt>
                <pt idx="58">
                  <v>0.6748294657899827</v>
                </pt>
                <pt idx="59">
                  <v>0.6544642587782997</v>
                </pt>
                <pt idx="60">
                  <v>0.6345964730000188</v>
                </pt>
                <pt idx="61">
                  <v>0.6052168462287432</v>
                </pt>
                <pt idx="62">
                  <v>0.5870793465590084</v>
                </pt>
                <pt idx="63">
                  <v>0.6272759756095188</v>
                </pt>
                <pt idx="64">
                  <v>0.7780086000423871</v>
                </pt>
                <pt idx="65">
                  <v>1.021534475353898</v>
                </pt>
                <pt idx="66">
                  <v>1.309966022078669</v>
                </pt>
                <pt idx="67">
                  <v>1.58878239076532</v>
                </pt>
                <pt idx="68">
                  <v>1.859979104553649</v>
                </pt>
                <pt idx="69">
                  <v>2.119720109263468</v>
                </pt>
                <pt idx="70">
                  <v>2.376954224864175</v>
                </pt>
                <pt idx="71">
                  <v>2.627053080835768</v>
                </pt>
                <pt idx="72">
                  <v>2.873369800759799</v>
                </pt>
                <pt idx="73">
                  <v>3.111262870073621</v>
                </pt>
                <pt idx="74">
                  <v>3.349986157782034</v>
                </pt>
                <pt idx="75">
                  <v>3.581838744883769</v>
                </pt>
                <pt idx="76">
                  <v>3.808831240149067</v>
                </pt>
                <pt idx="77">
                  <v>4.035398548976922</v>
                </pt>
                <pt idx="78">
                  <v>4.257117890184801</v>
                </pt>
                <pt idx="79">
                  <v>4.48335096628441</v>
                </pt>
                <pt idx="80">
                  <v>4.708120193575628</v>
                </pt>
                <pt idx="81">
                  <v>4.93061584896368</v>
                </pt>
                <pt idx="82">
                  <v>5.154445729171598</v>
                </pt>
                <pt idx="83">
                  <v>5.377275453287033</v>
                </pt>
                <pt idx="84">
                  <v>5.593281249085253</v>
                </pt>
                <pt idx="85">
                  <v>5.817894011059925</v>
                </pt>
                <pt idx="86">
                  <v>6.040470594134185</v>
                </pt>
                <pt idx="87">
                  <v>6.255589991264797</v>
                </pt>
                <pt idx="88">
                  <v>6.457254684496586</v>
                </pt>
                <pt idx="89">
                  <v>6.655355202100061</v>
                </pt>
                <pt idx="90">
                  <v>6.845849233396141</v>
                </pt>
                <pt idx="91">
                  <v>7.02530047291764</v>
                </pt>
                <pt idx="92">
                  <v>7.203045690519468</v>
                </pt>
                <pt idx="93">
                  <v>7.365590273783061</v>
                </pt>
                <pt idx="94">
                  <v>7.524650425003235</v>
                </pt>
                <pt idx="95">
                  <v>7.676898071335517</v>
                </pt>
                <pt idx="96">
                  <v>7.826801124231261</v>
                </pt>
                <pt idx="97">
                  <v>7.964259195834834</v>
                </pt>
                <pt idx="98">
                  <v>8.102709912597531</v>
                </pt>
                <pt idx="99">
                  <v>8.232709913128989</v>
                </pt>
                <pt idx="100">
                  <v>8.35590574088156</v>
                </pt>
                <pt idx="101">
                  <v>8.473781239956814</v>
                </pt>
                <pt idx="102">
                  <v>8.588990132689672</v>
                </pt>
                <pt idx="103">
                  <v>8.697518824320369</v>
                </pt>
                <pt idx="104">
                  <v>8.79746791923613</v>
                </pt>
                <pt idx="105">
                  <v>8.896951801391852</v>
                </pt>
                <pt idx="106">
                  <v>8.994175654690466</v>
                </pt>
                <pt idx="107">
                  <v>9.08064484526089</v>
                </pt>
                <pt idx="108">
                  <v>9.170064990448623</v>
                </pt>
                <pt idx="109">
                  <v>9.255230456465643</v>
                </pt>
                <pt idx="110">
                  <v>9.325375313969541</v>
                </pt>
                <pt idx="111">
                  <v>9.402802964575979</v>
                </pt>
                <pt idx="112">
                  <v>9.467887766188904</v>
                </pt>
                <pt idx="113">
                  <v>9.538098154964095</v>
                </pt>
                <pt idx="114">
                  <v>9.591280058784468</v>
                </pt>
                <pt idx="115">
                  <v>9.649405781669699</v>
                </pt>
                <pt idx="116">
                  <v>9.702837947991178</v>
                </pt>
                <pt idx="117">
                  <v>9.763354018397944</v>
                </pt>
                <pt idx="118">
                  <v>9.811726113060937</v>
                </pt>
                <pt idx="119">
                  <v>9.856593389876283</v>
                </pt>
                <pt idx="120">
                  <v>9.90045295243293</v>
                </pt>
                <pt idx="121">
                  <v>9.944049751001911</v>
                </pt>
                <pt idx="122">
                  <v>9.975125490159728</v>
                </pt>
                <pt idx="123">
                  <v>10.01204443099621</v>
                </pt>
                <pt idx="124">
                  <v>10.05455648177471</v>
                </pt>
                <pt idx="125">
                  <v>10.08080193668049</v>
                </pt>
                <pt idx="126">
                  <v>10.11343755918017</v>
                </pt>
                <pt idx="127">
                  <v>10.14924689076104</v>
                </pt>
                <pt idx="128">
                  <v>10.17448536426738</v>
                </pt>
                <pt idx="129">
                  <v>10.1993893912086</v>
                </pt>
                <pt idx="130">
                  <v>10.2206998806621</v>
                </pt>
                <pt idx="131">
                  <v>10.24837897105841</v>
                </pt>
                <pt idx="132">
                  <v>10.27054189266866</v>
                </pt>
                <pt idx="133">
                  <v>10.28265782509126</v>
                </pt>
                <pt idx="134">
                  <v>10.30921566984885</v>
                </pt>
                <pt idx="135">
                  <v>10.32047470287851</v>
                </pt>
                <pt idx="136">
                  <v>10.33503204245286</v>
                </pt>
                <pt idx="137">
                  <v>10.35686597588096</v>
                </pt>
                <pt idx="138">
                  <v>10.37001020656873</v>
                </pt>
                <pt idx="139">
                  <v>10.38716230348446</v>
                </pt>
                <pt idx="140">
                  <v>10.3939581861313</v>
                </pt>
                <pt idx="141">
                  <v>10.40324596507752</v>
                </pt>
                <pt idx="142">
                  <v>10.41750090620606</v>
                </pt>
                <pt idx="143">
                  <v>10.42773810874843</v>
                </pt>
                <pt idx="144">
                  <v>10.42948028559885</v>
                </pt>
                <pt idx="145">
                  <v>10.44576620896509</v>
                </pt>
                <pt idx="146">
                  <v>10.45332106609233</v>
                </pt>
                <pt idx="147">
                  <v>10.45186704504746</v>
                </pt>
                <pt idx="148">
                  <v>10.45766284481166</v>
                </pt>
                <pt idx="149">
                  <v>10.46796391294228</v>
                </pt>
                <pt idx="150">
                  <v>10.46856259444678</v>
                </pt>
                <pt idx="151">
                  <v>10.47420141426286</v>
                </pt>
                <pt idx="152">
                  <v>10.47349675977833</v>
                </pt>
                <pt idx="153">
                  <v>10.47691645982556</v>
                </pt>
                <pt idx="154">
                  <v>10.48478031791588</v>
                </pt>
                <pt idx="155">
                  <v>10.48320015380546</v>
                </pt>
                <pt idx="156">
                  <v>10.48194723777641</v>
                </pt>
                <pt idx="157">
                  <v>10.48267454128796</v>
                </pt>
                <pt idx="158">
                  <v>10.47793767016665</v>
                </pt>
                <pt idx="159">
                  <v>10.47576373427137</v>
                </pt>
                <pt idx="160">
                  <v>10.48289678336244</v>
                </pt>
                <pt idx="161">
                  <v>10.47268547848188</v>
                </pt>
                <pt idx="162">
                  <v>10.47783915163595</v>
                </pt>
                <pt idx="163">
                  <v>10.46872454122203</v>
                </pt>
                <pt idx="164">
                  <v>10.46824375152625</v>
                </pt>
                <pt idx="165">
                  <v>10.45946491546831</v>
                </pt>
                <pt idx="166">
                  <v>10.46147129425139</v>
                </pt>
                <pt idx="167">
                  <v>10.45057193610164</v>
                </pt>
                <pt idx="168">
                  <v>10.45459480267124</v>
                </pt>
                <pt idx="169">
                  <v>10.44195969530421</v>
                </pt>
                <pt idx="170">
                  <v>10.43984606147938</v>
                </pt>
                <pt idx="171">
                  <v>10.43450287023362</v>
                </pt>
                <pt idx="172">
                  <v>10.42546786134384</v>
                </pt>
                <pt idx="173">
                  <v>10.42044836494641</v>
                </pt>
                <pt idx="174">
                  <v>10.41755476827807</v>
                </pt>
                <pt idx="175">
                  <v>10.40545617974037</v>
                </pt>
                <pt idx="176">
                  <v>10.40107836692513</v>
                </pt>
                <pt idx="177">
                  <v>10.39754843342216</v>
                </pt>
                <pt idx="178">
                  <v>10.38806900819139</v>
                </pt>
                <pt idx="179">
                  <v>10.37808508267567</v>
                </pt>
                <pt idx="180">
                  <v>10.36905496564658</v>
                </pt>
                <pt idx="181">
                  <v>10.36145473863805</v>
                </pt>
                <pt idx="182">
                  <v>10.36078426115908</v>
                </pt>
                <pt idx="183">
                  <v>10.34974213658682</v>
                </pt>
                <pt idx="184">
                  <v>10.34039867274341</v>
                </pt>
                <pt idx="185">
                  <v>10.33034969220177</v>
                </pt>
                <pt idx="186">
                  <v>10.33061972160528</v>
                </pt>
                <pt idx="187">
                  <v>10.32338632860667</v>
                </pt>
                <pt idx="188">
                  <v>10.30817737875968</v>
                </pt>
                <pt idx="189">
                  <v>10.30152475921834</v>
                </pt>
                <pt idx="190">
                  <v>10.2982876460477</v>
                </pt>
                <pt idx="191">
                  <v>10.28766886172887</v>
                </pt>
                <pt idx="192">
                  <v>10.27505803911706</v>
                </pt>
                <pt idx="193">
                  <v>10.26855487363999</v>
                </pt>
                <pt idx="194">
                  <v>10.26360707664973</v>
                </pt>
                <pt idx="195">
                  <v>10.25282634469954</v>
                </pt>
                <pt idx="196">
                  <v>10.24291682064332</v>
                </pt>
                <pt idx="197">
                  <v>10.2331415242647</v>
                </pt>
                <pt idx="198">
                  <v>10.22561814055985</v>
                </pt>
                <pt idx="199">
                  <v>10.22152218373168</v>
                </pt>
                <pt idx="200">
                  <v>10.21053813270312</v>
                </pt>
                <pt idx="201">
                  <v>10.20829219986267</v>
                </pt>
                <pt idx="202">
                  <v>10.19678633378889</v>
                </pt>
                <pt idx="203">
                  <v>10.19626301401148</v>
                </pt>
                <pt idx="204">
                  <v>10.18368589538383</v>
                </pt>
                <pt idx="205">
                  <v>10.17393029967748</v>
                </pt>
                <pt idx="206">
                  <v>10.1674280590808</v>
                </pt>
                <pt idx="207">
                  <v>10.160936980743</v>
                </pt>
                <pt idx="208">
                  <v>10.15677393798157</v>
                </pt>
                <pt idx="209">
                  <v>10.14915439926311</v>
                </pt>
                <pt idx="210">
                  <v>10.13961277914714</v>
                </pt>
                <pt idx="211">
                  <v>10.13906242509303</v>
                </pt>
                <pt idx="212">
                  <v>10.13480651271382</v>
                </pt>
                <pt idx="213">
                  <v>10.12595196614924</v>
                </pt>
                <pt idx="214">
                  <v>10.11734357235342</v>
                </pt>
                <pt idx="215">
                  <v>10.10947635495987</v>
                </pt>
                <pt idx="216">
                  <v>10.11103096188313</v>
                </pt>
                <pt idx="217">
                  <v>10.09813066110611</v>
                </pt>
                <pt idx="218">
                  <v>10.0957953935426</v>
                </pt>
                <pt idx="219">
                  <v>10.09473227127216</v>
                </pt>
                <pt idx="220">
                  <v>10.08462810797824</v>
                </pt>
                <pt idx="221">
                  <v>10.0843899254727</v>
                </pt>
                <pt idx="222">
                  <v>10.07930273437471</v>
                </pt>
                <pt idx="223">
                  <v>10.07627627957569</v>
                </pt>
                <pt idx="224">
                  <v>10.06942229544688</v>
                </pt>
                <pt idx="225">
                  <v>10.05982027665591</v>
                </pt>
                <pt idx="226">
                  <v>10.05467107681937</v>
                </pt>
                <pt idx="227">
                  <v>10.05352947885692</v>
                </pt>
                <pt idx="228">
                  <v>10.05480943112467</v>
                </pt>
                <pt idx="229">
                  <v>10.04620695724994</v>
                </pt>
                <pt idx="230">
                  <v>10.03873221336233</v>
                </pt>
                <pt idx="231">
                  <v>10.04207143009502</v>
                </pt>
                <pt idx="232">
                  <v>10.03281641396699</v>
                </pt>
                <pt idx="233">
                  <v>10.03657294294355</v>
                </pt>
                <pt idx="234">
                  <v>10.03274138399166</v>
                </pt>
                <pt idx="235">
                  <v>10.02951594224191</v>
                </pt>
                <pt idx="236">
                  <v>10.02363753697051</v>
                </pt>
                <pt idx="237">
                  <v>10.01703103953457</v>
                </pt>
                <pt idx="238">
                  <v>10.01531119106597</v>
                </pt>
                <pt idx="239">
                  <v>10.01695943761114</v>
                </pt>
                <pt idx="240">
                  <v>10.01575502484214</v>
                </pt>
                <pt idx="241">
                  <v>10.00814970229359</v>
                </pt>
                <pt idx="242">
                  <v>10.00204988133505</v>
                </pt>
                <pt idx="243">
                  <v>10.00125610034188</v>
                </pt>
                <pt idx="244">
                  <v>9.999264410827191</v>
                </pt>
                <pt idx="245">
                  <v>10.00183067025272</v>
                </pt>
                <pt idx="246">
                  <v>9.999387433312771</v>
                </pt>
                <pt idx="247">
                  <v>9.995379055377144</v>
                </pt>
                <pt idx="248">
                  <v>9.999465747482189</v>
                </pt>
                <pt idx="249">
                  <v>9.995823611508245</v>
                </pt>
                <pt idx="250">
                  <v>9.994826526319502</v>
                </pt>
                <pt idx="251">
                  <v>9.995058453715203</v>
                </pt>
                <pt idx="252">
                  <v>9.993362434916456</v>
                </pt>
                <pt idx="253">
                  <v>9.990012805784225</v>
                </pt>
                <pt idx="254">
                  <v>9.982290598780297</v>
                </pt>
                <pt idx="255">
                  <v>9.989058882114399</v>
                </pt>
                <pt idx="256">
                  <v>9.98066247441318</v>
                </pt>
                <pt idx="257">
                  <v>9.981216659317878</v>
                </pt>
                <pt idx="258">
                  <v>9.984815004065851</v>
                </pt>
                <pt idx="259">
                  <v>9.982992428830086</v>
                </pt>
                <pt idx="260">
                  <v>9.979844231643371</v>
                </pt>
                <pt idx="261">
                  <v>9.975842346349886</v>
                </pt>
                <pt idx="262">
                  <v>9.978628360574371</v>
                </pt>
                <pt idx="263">
                  <v>9.977661937783916</v>
                </pt>
                <pt idx="264">
                  <v>9.972528938482611</v>
                </pt>
                <pt idx="265">
                  <v>9.972850616322948</v>
                </pt>
                <pt idx="266">
                  <v>9.973039036453871</v>
                </pt>
                <pt idx="267">
                  <v>9.976551415451738</v>
                </pt>
                <pt idx="268">
                  <v>9.979719336196171</v>
                </pt>
                <pt idx="269">
                  <v>9.976890250101489</v>
                </pt>
                <pt idx="270">
                  <v>9.972968738912042</v>
                </pt>
                <pt idx="271">
                  <v>9.975595160893899</v>
                </pt>
                <pt idx="272">
                  <v>9.976108597030583</v>
                </pt>
                <pt idx="273">
                  <v>9.978390451483781</v>
                </pt>
                <pt idx="274">
                  <v>9.979290791411508</v>
                </pt>
                <pt idx="275">
                  <v>9.976972773106482</v>
                </pt>
                <pt idx="276">
                  <v>9.975998466983485</v>
                </pt>
                <pt idx="277">
                  <v>9.974788986660535</v>
                </pt>
                <pt idx="278">
                  <v>9.971062493927766</v>
                </pt>
                <pt idx="279">
                  <v>9.978627520446043</v>
                </pt>
                <pt idx="280">
                  <v>9.977098221948175</v>
                </pt>
                <pt idx="281">
                  <v>9.971134338752725</v>
                </pt>
                <pt idx="282">
                  <v>9.977859015092548</v>
                </pt>
                <pt idx="283">
                  <v>9.969674573726071</v>
                </pt>
                <pt idx="284">
                  <v>9.972048346689039</v>
                </pt>
                <pt idx="285">
                  <v>9.97283123685723</v>
                </pt>
                <pt idx="286">
                  <v>9.977498518470824</v>
                </pt>
                <pt idx="287">
                  <v>9.974500717711303</v>
                </pt>
                <pt idx="288">
                  <v>9.976719421439116</v>
                </pt>
                <pt idx="289">
                  <v>9.973776305799882</v>
                </pt>
                <pt idx="290">
                  <v>9.977261644899613</v>
                </pt>
                <pt idx="291">
                  <v>9.980597440842086</v>
                </pt>
                <pt idx="292">
                  <v>9.979633906577554</v>
                </pt>
                <pt idx="293">
                  <v>9.977607619823345</v>
                </pt>
                <pt idx="294">
                  <v>9.974543387951986</v>
                </pt>
                <pt idx="295">
                  <v>9.982002354099807</v>
                </pt>
                <pt idx="296">
                  <v>9.981058647698845</v>
                </pt>
                <pt idx="297">
                  <v>9.982758174494705</v>
                </pt>
                <pt idx="298">
                  <v>9.984821740701143</v>
                </pt>
                <pt idx="299">
                  <v>9.984212317060157</v>
                </pt>
                <pt idx="300">
                  <v>9.977079635534936</v>
                </pt>
                <pt idx="301">
                  <v>9.978923564916643</v>
                </pt>
                <pt idx="302">
                  <v>9.977058882242504</v>
                </pt>
                <pt idx="303">
                  <v>9.986107662529372</v>
                </pt>
                <pt idx="304">
                  <v>9.982729936535859</v>
                </pt>
                <pt idx="305">
                  <v>9.979456358837471</v>
                </pt>
                <pt idx="306">
                  <v>9.984895759132872</v>
                </pt>
                <pt idx="307">
                  <v>9.981635231130797</v>
                </pt>
                <pt idx="308">
                  <v>9.988247109669315</v>
                </pt>
                <pt idx="309">
                  <v>9.984607474353941</v>
                </pt>
                <pt idx="310">
                  <v>9.98031463868281</v>
                </pt>
                <pt idx="311">
                  <v>9.987843273523596</v>
                </pt>
                <pt idx="312">
                  <v>9.982278755668473</v>
                </pt>
                <pt idx="313">
                  <v>9.983724473143312</v>
                </pt>
                <pt idx="314">
                  <v>9.990871305883186</v>
                </pt>
                <pt idx="315">
                  <v>9.983777917869167</v>
                </pt>
                <pt idx="316">
                  <v>9.991199267298891</v>
                </pt>
                <pt idx="317">
                  <v>9.983241349209873</v>
                </pt>
                <pt idx="318">
                  <v>9.989505229754094</v>
                </pt>
                <pt idx="319">
                  <v>9.990966761657221</v>
                </pt>
                <pt idx="320">
                  <v>9.993286975315245</v>
                </pt>
                <pt idx="321">
                  <v>9.993911983529038</v>
                </pt>
                <pt idx="322">
                  <v>10.02184937833042</v>
                </pt>
                <pt idx="323">
                  <v>10.06177957628019</v>
                </pt>
                <pt idx="324">
                  <v>10.1150046957874</v>
                </pt>
                <pt idx="325">
                  <v>10.16963777163906</v>
                </pt>
                <pt idx="326">
                  <v>10.24385294624734</v>
                </pt>
                <pt idx="327">
                  <v>10.31266894419329</v>
                </pt>
                <pt idx="328">
                  <v>10.40068051014296</v>
                </pt>
                <pt idx="329">
                  <v>10.48836249309498</v>
                </pt>
                <pt idx="330">
                  <v>10.57410584425375</v>
                </pt>
                <pt idx="331">
                  <v>10.66846989802587</v>
                </pt>
                <pt idx="332">
                  <v>10.76964154901398</v>
                </pt>
                <pt idx="333">
                  <v>10.86051442749202</v>
                </pt>
                <pt idx="334">
                  <v>10.95955628003053</v>
                </pt>
                <pt idx="335">
                  <v>11.06223435133381</v>
                </pt>
                <pt idx="336">
                  <v>11.15475813557057</v>
                </pt>
                <pt idx="337">
                  <v>11.25235852270884</v>
                </pt>
                <pt idx="338">
                  <v>11.35350456395213</v>
                </pt>
                <pt idx="339">
                  <v>11.44645216860932</v>
                </pt>
                <pt idx="340">
                  <v>11.54761379305388</v>
                </pt>
                <pt idx="341">
                  <v>11.63505807451801</v>
                </pt>
                <pt idx="342">
                  <v>11.72391415188484</v>
                </pt>
                <pt idx="343">
                  <v>11.78021062301276</v>
                </pt>
                <pt idx="344">
                  <v>11.83368852660593</v>
                </pt>
                <pt idx="345">
                  <v>11.87025520348848</v>
                </pt>
                <pt idx="346">
                  <v>11.88711935203642</v>
                </pt>
                <pt idx="347">
                  <v>11.8951670555997</v>
                </pt>
                <pt idx="348">
                  <v>11.88878998519888</v>
                </pt>
                <pt idx="349">
                  <v>11.88093794601514</v>
                </pt>
                <pt idx="350">
                  <v>11.8540499691589</v>
                </pt>
                <pt idx="351">
                  <v>11.82192094913946</v>
                </pt>
                <pt idx="352">
                  <v>11.78627657854526</v>
                </pt>
                <pt idx="353">
                  <v>11.73961846695532</v>
                </pt>
                <pt idx="354">
                  <v>11.67789987461398</v>
                </pt>
                <pt idx="355">
                  <v>11.6211968100783</v>
                </pt>
                <pt idx="356">
                  <v>11.5520266773332</v>
                </pt>
                <pt idx="357">
                  <v>11.48845327316545</v>
                </pt>
                <pt idx="358">
                  <v>11.40662172438335</v>
                </pt>
                <pt idx="359">
                  <v>11.33308535111057</v>
                </pt>
                <pt idx="360">
                  <v>11.25210273800229</v>
                </pt>
                <pt idx="361">
                  <v>11.15900754128772</v>
                </pt>
                <pt idx="362">
                  <v>11.07776732458755</v>
                </pt>
                <pt idx="363">
                  <v>10.98879675914817</v>
                </pt>
                <pt idx="364">
                  <v>10.89458912005083</v>
                </pt>
                <pt idx="365">
                  <v>10.79184733468704</v>
                </pt>
                <pt idx="366">
                  <v>10.70328426373771</v>
                </pt>
                <pt idx="367">
                  <v>10.60222563944188</v>
                </pt>
                <pt idx="368">
                  <v>10.50372418545335</v>
                </pt>
                <pt idx="369">
                  <v>10.40780131791126</v>
                </pt>
                <pt idx="370">
                  <v>10.32080520279907</v>
                </pt>
                <pt idx="371">
                  <v>10.22013049122495</v>
                </pt>
                <pt idx="372">
                  <v>10.135852045658</v>
                </pt>
                <pt idx="373">
                  <v>10.04555109912364</v>
                </pt>
                <pt idx="374">
                  <v>9.960967840173463</v>
                </pt>
                <pt idx="375">
                  <v>9.87442148813424</v>
                </pt>
                <pt idx="376">
                  <v>9.797516280498991</v>
                </pt>
                <pt idx="377">
                  <v>9.721301413827051</v>
                </pt>
                <pt idx="378">
                  <v>9.64352696468705</v>
                </pt>
                <pt idx="379">
                  <v>9.581916619062939</v>
                </pt>
                <pt idx="380">
                  <v>9.517315745427418</v>
                </pt>
                <pt idx="381">
                  <v>9.446260574979265</v>
                </pt>
                <pt idx="382">
                  <v>9.387948055947094</v>
                </pt>
                <pt idx="383">
                  <v>9.330490936522919</v>
                </pt>
                <pt idx="384">
                  <v>9.282247133281597</v>
                </pt>
                <pt idx="385">
                  <v>9.235762238435774</v>
                </pt>
                <pt idx="386">
                  <v>9.194769429804031</v>
                </pt>
                <pt idx="387">
                  <v>9.144217615074732</v>
                </pt>
                <pt idx="388">
                  <v>9.114406906145371</v>
                </pt>
                <pt idx="389">
                  <v>9.07700166153575</v>
                </pt>
                <pt idx="390">
                  <v>9.047139414186859</v>
                </pt>
                <pt idx="391">
                  <v>9.021454447350589</v>
                </pt>
                <pt idx="392">
                  <v>8.997833546243719</v>
                </pt>
                <pt idx="393">
                  <v>8.978217226269129</v>
                </pt>
                <pt idx="394">
                  <v>8.964131900196682</v>
                </pt>
                <pt idx="395">
                  <v>8.942688004531149</v>
                </pt>
                <pt idx="396">
                  <v>8.932062695968883</v>
                </pt>
                <pt idx="397">
                  <v>8.923860238415418</v>
                </pt>
                <pt idx="398">
                  <v>8.92278990977891</v>
                </pt>
                <pt idx="399">
                  <v>8.916792109883655</v>
                </pt>
                <pt idx="400">
                  <v>8.913958741176678</v>
                </pt>
                <pt idx="401">
                  <v>8.915507994732291</v>
                </pt>
                <pt idx="402">
                  <v>8.916842078992874</v>
                </pt>
                <pt idx="403">
                  <v>8.924397570928992</v>
                </pt>
                <pt idx="404">
                  <v>8.929839077120555</v>
                </pt>
                <pt idx="405">
                  <v>8.938262517946777</v>
                </pt>
                <pt idx="406">
                  <v>8.945705784987632</v>
                </pt>
                <pt idx="407">
                  <v>8.958200417183894</v>
                </pt>
                <pt idx="408">
                  <v>8.973073618579559</v>
                </pt>
                <pt idx="409">
                  <v>8.989702431315397</v>
                </pt>
                <pt idx="410">
                  <v>9.006769868214763</v>
                </pt>
                <pt idx="411">
                  <v>9.014134629800909</v>
                </pt>
                <pt idx="412">
                  <v>9.038617620187521</v>
                </pt>
                <pt idx="413">
                  <v>9.051676646594947</v>
                </pt>
                <pt idx="414">
                  <v>9.074584233386572</v>
                </pt>
                <pt idx="415">
                  <v>9.092369953343612</v>
                </pt>
                <pt idx="416">
                  <v>9.111075648526336</v>
                </pt>
                <pt idx="417">
                  <v>9.129845088762728</v>
                </pt>
                <pt idx="418">
                  <v>9.15416613392617</v>
                </pt>
                <pt idx="419">
                  <v>9.166939715005556</v>
                </pt>
                <pt idx="420">
                  <v>9.195879714192262</v>
                </pt>
                <pt idx="421">
                  <v>9.209942326210575</v>
                </pt>
                <pt idx="422">
                  <v>9.238093911620144</v>
                </pt>
                <pt idx="423">
                  <v>9.2531031849954</v>
                </pt>
                <pt idx="424">
                  <v>9.27784835512332</v>
                </pt>
                <pt idx="425">
                  <v>9.295117226081793</v>
                </pt>
                <pt idx="426">
                  <v>9.321490856267836</v>
                </pt>
                <pt idx="427">
                  <v>9.342617299445571</v>
                </pt>
                <pt idx="428">
                  <v>9.356723427932595</v>
                </pt>
                <pt idx="429">
                  <v>9.376598838978445</v>
                </pt>
                <pt idx="430">
                  <v>9.397071263220509</v>
                </pt>
                <pt idx="431">
                  <v>9.417648952473566</v>
                </pt>
                <pt idx="432">
                  <v>9.438768159256664</v>
                </pt>
                <pt idx="433">
                  <v>9.456324483529185</v>
                </pt>
                <pt idx="434">
                  <v>9.482672368697964</v>
                </pt>
                <pt idx="435">
                  <v>9.503009247527753</v>
                </pt>
                <pt idx="436">
                  <v>9.513389997790707</v>
                </pt>
                <pt idx="437">
                  <v>9.531113722242253</v>
                </pt>
                <pt idx="438">
                  <v>9.55138105488273</v>
                </pt>
                <pt idx="439">
                  <v>9.56883738518451</v>
                </pt>
                <pt idx="440">
                  <v>9.588210616754628</v>
                </pt>
                <pt idx="441">
                  <v>9.603449715077605</v>
                </pt>
                <pt idx="442">
                  <v>9.620457135865479</v>
                </pt>
                <pt idx="443">
                  <v>9.636644611688688</v>
                </pt>
                <pt idx="444">
                  <v>9.654637638871762</v>
                </pt>
                <pt idx="445">
                  <v>9.669048799454668</v>
                </pt>
                <pt idx="446">
                  <v>9.676808453830464</v>
                </pt>
                <pt idx="447">
                  <v>9.697620910486323</v>
                </pt>
                <pt idx="448">
                  <v>9.705292816850273</v>
                </pt>
                <pt idx="449">
                  <v>9.726556610632608</v>
                </pt>
                <pt idx="450">
                  <v>9.733169919724988</v>
                </pt>
                <pt idx="451">
                  <v>9.745050855841294</v>
                </pt>
                <pt idx="452">
                  <v>9.76263471979472</v>
                </pt>
                <pt idx="453">
                  <v>9.770406998261567</v>
                </pt>
                <pt idx="454">
                  <v>9.781739801397798</v>
                </pt>
                <pt idx="455">
                  <v>9.798229052359599</v>
                </pt>
                <pt idx="456">
                  <v>9.810481324191917</v>
                </pt>
                <pt idx="457">
                  <v>9.812998442414033</v>
                </pt>
                <pt idx="458">
                  <v>9.82875784869357</v>
                </pt>
                <pt idx="459">
                  <v>9.833345175151228</v>
                </pt>
                <pt idx="460">
                  <v>9.846307113557364</v>
                </pt>
                <pt idx="461">
                  <v>9.852082430889434</v>
                </pt>
                <pt idx="462">
                  <v>9.868104714066108</v>
                </pt>
                <pt idx="463">
                  <v>9.876902211167248</v>
                </pt>
                <pt idx="464">
                  <v>9.884155930494835</v>
                </pt>
                <pt idx="465">
                  <v>9.892401787563202</v>
                </pt>
                <pt idx="466">
                  <v>9.895963444550922</v>
                </pt>
                <pt idx="467">
                  <v>9.90243798480885</v>
                </pt>
                <pt idx="468">
                  <v>9.914515191698429</v>
                </pt>
                <pt idx="469">
                  <v>9.921543782795936</v>
                </pt>
                <pt idx="470">
                  <v>9.927742347488101</v>
                </pt>
                <pt idx="471">
                  <v>9.935342442045199</v>
                </pt>
                <pt idx="472">
                  <v>9.94475703138157</v>
                </pt>
                <pt idx="473">
                  <v>9.9485260569868</v>
                </pt>
                <pt idx="474">
                  <v>9.952533013742396</v>
                </pt>
                <pt idx="475">
                  <v>9.961329557971496</v>
                </pt>
                <pt idx="476">
                  <v>9.966247640848266</v>
                </pt>
                <pt idx="477">
                  <v>9.972584017713876</v>
                </pt>
                <pt idx="478">
                  <v>9.972993493282775</v>
                </pt>
                <pt idx="479">
                  <v>9.976439372104306</v>
                </pt>
                <pt idx="480">
                  <v>9.97903981066721</v>
                </pt>
                <pt idx="481">
                  <v>9.990415416071441</v>
                </pt>
                <pt idx="482">
                  <v>9.991907510766374</v>
                </pt>
                <pt idx="483">
                  <v>9.993166967434409</v>
                </pt>
                <pt idx="484">
                  <v>9.998627635313044</v>
                </pt>
                <pt idx="485">
                  <v>10.00239277988138</v>
                </pt>
                <pt idx="486">
                  <v>10.00983106659058</v>
                </pt>
                <pt idx="487">
                  <v>10.01088915453635</v>
                </pt>
                <pt idx="488">
                  <v>10.00894949848671</v>
                </pt>
                <pt idx="489">
                  <v>10.01524631667704</v>
                </pt>
                <pt idx="490">
                  <v>10.01401793156217</v>
                </pt>
                <pt idx="491">
                  <v>10.02632719711574</v>
                </pt>
                <pt idx="492">
                  <v>10.02666862257473</v>
                </pt>
                <pt idx="493">
                  <v>10.02788844890653</v>
                </pt>
                <pt idx="494">
                  <v>10.03079953936505</v>
                </pt>
                <pt idx="495">
                  <v>10.03321410342257</v>
                </pt>
                <pt idx="496">
                  <v>10.02941627011819</v>
                </pt>
                <pt idx="497">
                  <v>10.03279047610108</v>
                </pt>
                <pt idx="498">
                  <v>10.03148877859721</v>
                </pt>
                <pt idx="499">
                  <v>10.03591264103681</v>
                </pt>
                <pt idx="500">
                  <v>10.03872354922046</v>
                </pt>
                <pt idx="501">
                  <v>10.03921343165557</v>
                </pt>
                <pt idx="502">
                  <v>10.04607776977832</v>
                </pt>
                <pt idx="503">
                  <v>10.0383672208255</v>
                </pt>
                <pt idx="504">
                  <v>10.0433148917878</v>
                </pt>
                <pt idx="505">
                  <v>10.04415755143705</v>
                </pt>
                <pt idx="506">
                  <v>10.04906241709913</v>
                </pt>
                <pt idx="507">
                  <v>10.05081606704941</v>
                </pt>
                <pt idx="508">
                  <v>10.04463713308475</v>
                </pt>
                <pt idx="509">
                  <v>10.05174330388647</v>
                </pt>
                <pt idx="510">
                  <v>10.05223421593468</v>
                </pt>
                <pt idx="511">
                  <v>10.04690960227789</v>
                </pt>
                <pt idx="512">
                  <v>10.04688648570628</v>
                </pt>
                <pt idx="513">
                  <v>10.05297045161736</v>
                </pt>
                <pt idx="514">
                  <v>10.04787012057224</v>
                </pt>
                <pt idx="515">
                  <v>10.04723011716245</v>
                </pt>
                <pt idx="516">
                  <v>10.04759912406712</v>
                </pt>
                <pt idx="517">
                  <v>10.05017793395695</v>
                </pt>
                <pt idx="518">
                  <v>10.0451208631333</v>
                </pt>
                <pt idx="519">
                  <v>10.04511495373955</v>
                </pt>
                <pt idx="520">
                  <v>10.05189425126041</v>
                </pt>
                <pt idx="521">
                  <v>10.04601003461953</v>
                </pt>
                <pt idx="522">
                  <v>10.05231165500436</v>
                </pt>
                <pt idx="523">
                  <v>10.04878274965492</v>
                </pt>
                <pt idx="524">
                  <v>10.05114003245032</v>
                </pt>
                <pt idx="525">
                  <v>10.04232467702058</v>
                </pt>
                <pt idx="526">
                  <v>10.04428002576943</v>
                </pt>
                <pt idx="527">
                  <v>10.0422256804699</v>
                </pt>
                <pt idx="528">
                  <v>10.04216789999002</v>
                </pt>
                <pt idx="529">
                  <v>10.04139470798768</v>
                </pt>
                <pt idx="530">
                  <v>10.04752143394608</v>
                </pt>
                <pt idx="531">
                  <v>10.04636904632811</v>
                </pt>
                <pt idx="532">
                  <v>10.03779788667091</v>
                </pt>
                <pt idx="533">
                  <v>10.03901554665961</v>
                </pt>
                <pt idx="534">
                  <v>10.03875604123045</v>
                </pt>
                <pt idx="535">
                  <v>10.03832726870822</v>
                </pt>
                <pt idx="536">
                  <v>10.03409945268675</v>
                </pt>
                <pt idx="537">
                  <v>10.03909617664216</v>
                </pt>
                <pt idx="538">
                  <v>10.03762307747067</v>
                </pt>
                <pt idx="539">
                  <v>10.03760037709368</v>
                </pt>
                <pt idx="540">
                  <v>10.03270078753089</v>
                </pt>
                <pt idx="541">
                  <v>10.03743493312371</v>
                </pt>
                <pt idx="542">
                  <v>10.03417403607657</v>
                </pt>
                <pt idx="543">
                  <v>10.03499587931977</v>
                </pt>
                <pt idx="544">
                  <v>10.03747449063331</v>
                </pt>
                <pt idx="545">
                  <v>10.0271044086624</v>
                </pt>
                <pt idx="546">
                  <v>10.02812387416736</v>
                </pt>
                <pt idx="547">
                  <v>10.02649620317095</v>
                </pt>
                <pt idx="548">
                  <v>10.03156393226072</v>
                </pt>
                <pt idx="549">
                  <v>10.02798596854964</v>
                </pt>
                <pt idx="550">
                  <v>10.02684513815636</v>
                </pt>
                <pt idx="551">
                  <v>10.02997691821353</v>
                </pt>
                <pt idx="552">
                  <v>10.02686108778962</v>
                </pt>
                <pt idx="553">
                  <v>10.02051741760902</v>
                </pt>
                <pt idx="554">
                  <v>10.01976081361406</v>
                </pt>
                <pt idx="555">
                  <v>10.02533515682767</v>
                </pt>
                <pt idx="556">
                  <v>10.02415232443587</v>
                </pt>
                <pt idx="557">
                  <v>10.02261719694981</v>
                </pt>
                <pt idx="558">
                  <v>10.02473767287215</v>
                </pt>
                <pt idx="559">
                  <v>10.01705991036368</v>
                </pt>
                <pt idx="560">
                  <v>10.01915030846259</v>
                </pt>
                <pt idx="561">
                  <v>10.01776383177712</v>
                </pt>
                <pt idx="562">
                  <v>10.01468625448291</v>
                </pt>
                <pt idx="563">
                  <v>10.02022610492955</v>
                </pt>
                <pt idx="564">
                  <v>10.01979281304776</v>
                </pt>
                <pt idx="565">
                  <v>10.01608720760334</v>
                </pt>
                <pt idx="566">
                  <v>10.01477453894381</v>
                </pt>
                <pt idx="567">
                  <v>10.01162688825628</v>
                </pt>
                <pt idx="568">
                  <v>10.01222888587643</v>
                </pt>
                <pt idx="569">
                  <v>10.01669130109724</v>
                </pt>
                <pt idx="570">
                  <v>10.01452031922616</v>
                </pt>
                <pt idx="571">
                  <v>10.01560725383562</v>
                </pt>
                <pt idx="572">
                  <v>10.01335457789839</v>
                </pt>
                <pt idx="573">
                  <v>10.01666795195526</v>
                </pt>
                <pt idx="574">
                  <v>10.01360748145873</v>
                </pt>
                <pt idx="575">
                  <v>10.01304204278502</v>
                </pt>
                <pt idx="576">
                  <v>10.01310949550506</v>
                </pt>
                <pt idx="577">
                  <v>10.01407833473616</v>
                </pt>
                <pt idx="578">
                  <v>10.01057822490253</v>
                </pt>
                <pt idx="579">
                  <v>10.01258020373976</v>
                </pt>
                <pt idx="580">
                  <v>10.00889778506248</v>
                </pt>
                <pt idx="581">
                  <v>10.0053312474742</v>
                </pt>
                <pt idx="582">
                  <v>10.00952190244944</v>
                </pt>
                <pt idx="583">
                  <v>10.00945199906531</v>
                </pt>
                <pt idx="584">
                  <v>10.00309374899186</v>
                </pt>
                <pt idx="585">
                  <v>10.00051981995686</v>
                </pt>
                <pt idx="586">
                  <v>10.00288274191185</v>
                </pt>
                <pt idx="587">
                  <v>10.00628941647692</v>
                </pt>
                <pt idx="588">
                  <v>10.00084781190067</v>
                </pt>
                <pt idx="589">
                  <v>10.00509274583512</v>
                </pt>
                <pt idx="590">
                  <v>10.0001866674103</v>
                </pt>
                <pt idx="591">
                  <v>9.998817950859266</v>
                </pt>
                <pt idx="592">
                  <v>9.998848827935774</v>
                </pt>
                <pt idx="593">
                  <v>10.0033996198602</v>
                </pt>
                <pt idx="594">
                  <v>9.998351615249634</v>
                </pt>
                <pt idx="595">
                  <v>10.00435310469374</v>
                </pt>
                <pt idx="596">
                  <v>9.9990443744106</v>
                </pt>
                <pt idx="597">
                  <v>9.998409077285602</v>
                </pt>
                <pt idx="598">
                  <v>9.999949410241797</v>
                </pt>
                <pt idx="599">
                  <v>9.995537609817314</v>
                </pt>
                <pt idx="600">
                  <v>9.99514455976081</v>
                </pt>
                <pt idx="601">
                  <v>10.00232924616441</v>
                </pt>
                <pt idx="602">
                  <v>9.998960256902775</v>
                </pt>
                <pt idx="603">
                  <v>9.999615964804281</v>
                </pt>
                <pt idx="604">
                  <v>10.00277843602605</v>
                </pt>
                <pt idx="605">
                  <v>9.995638796756301</v>
                </pt>
                <pt idx="606">
                  <v>10.00232535524963</v>
                </pt>
                <pt idx="607">
                  <v>9.999539535128063</v>
                </pt>
                <pt idx="608">
                  <v>10.0006609439246</v>
                </pt>
                <pt idx="609">
                  <v>9.999211805441913</v>
                </pt>
                <pt idx="610">
                  <v>10.00097141864672</v>
                </pt>
                <pt idx="611">
                  <v>9.995939291795679</v>
                </pt>
                <pt idx="612">
                  <v>9.996448004763515</v>
                </pt>
                <pt idx="613">
                  <v>10.00203485709962</v>
                </pt>
                <pt idx="614">
                  <v>10.00102084753764</v>
                </pt>
                <pt idx="615">
                  <v>9.997851649213862</v>
                </pt>
                <pt idx="616">
                  <v>10.00285490678331</v>
                </pt>
                <pt idx="617">
                  <v>10.00193779478234</v>
                </pt>
                <pt idx="618">
                  <v>9.99545992748536</v>
                </pt>
                <pt idx="619">
                  <v>10.00047122419414</v>
                </pt>
                <pt idx="620">
                  <v>10.00052802941732</v>
                </pt>
                <pt idx="621">
                  <v>9.935112828753972</v>
                </pt>
                <pt idx="622">
                  <v>9.759850663056524</v>
                </pt>
                <pt idx="623">
                  <v>9.494468461529005</v>
                </pt>
                <pt idx="624">
                  <v>9.182986841317454</v>
                </pt>
                <pt idx="625">
                  <v>8.889388672986669</v>
                </pt>
                <pt idx="626">
                  <v>8.599999283924125</v>
                </pt>
                <pt idx="627">
                  <v>8.314105883931273</v>
                </pt>
                <pt idx="628">
                  <v>8.044821134083822</v>
                </pt>
                <pt idx="629">
                  <v>7.784619232051248</v>
                </pt>
                <pt idx="630">
                  <v>7.52252046381786</v>
                </pt>
                <pt idx="631">
                  <v>7.273466670890323</v>
                </pt>
                <pt idx="632">
                  <v>7.027230539687556</v>
                </pt>
                <pt idx="633">
                  <v>6.782911302085332</v>
                </pt>
                <pt idx="634">
                  <v>6.550243274173113</v>
                </pt>
                <pt idx="635">
                  <v>6.310092126855009</v>
                </pt>
                <pt idx="636">
                  <v>6.083581080666123</v>
                </pt>
                <pt idx="637">
                  <v>5.850588787855627</v>
                </pt>
                <pt idx="638">
                  <v>5.627020770570385</v>
                </pt>
                <pt idx="639">
                  <v>5.402126040907578</v>
                </pt>
                <pt idx="640">
                  <v>5.174026500264929</v>
                </pt>
                <pt idx="641">
                  <v>4.959257380667658</v>
                </pt>
                <pt idx="642">
                  <v>4.736167187602845</v>
                </pt>
                <pt idx="643">
                  <v>4.512773462341073</v>
                </pt>
                <pt idx="644">
                  <v>4.296901013186694</v>
                </pt>
                <pt idx="645">
                  <v>4.090188809777256</v>
                </pt>
                <pt idx="646">
                  <v>3.885961385971694</v>
                </pt>
                <pt idx="647">
                  <v>3.693878293623957</v>
                </pt>
                <pt idx="648">
                  <v>3.509173392363402</v>
                </pt>
                <pt idx="649">
                  <v>3.33243908108217</v>
                </pt>
                <pt idx="650">
                  <v>3.170367001963112</v>
                </pt>
                <pt idx="651">
                  <v>3.019542224080866</v>
                </pt>
                <pt idx="652">
                  <v>2.865010393002037</v>
                </pt>
                <pt idx="653">
                  <v>2.724919835544136</v>
                </pt>
                <pt idx="654">
                  <v>2.585713048095599</v>
                </pt>
                <pt idx="655">
                  <v>2.458919081810321</v>
                </pt>
                <pt idx="656">
                  <v>2.333863923206599</v>
                </pt>
                <pt idx="657">
                  <v>2.219202010347324</v>
                </pt>
                <pt idx="658">
                  <v>2.106972870996399</v>
                </pt>
                <pt idx="659">
                  <v>1.999454716547524</v>
                </pt>
                <pt idx="660">
                  <v>1.902021302085863</v>
                </pt>
                <pt idx="661">
                  <v>1.797095567088975</v>
                </pt>
                <pt idx="662">
                  <v>1.707127142282432</v>
                </pt>
                <pt idx="663">
                  <v>1.626600233591255</v>
                </pt>
                <pt idx="664">
                  <v>1.537145375676645</v>
                </pt>
                <pt idx="665">
                  <v>1.467202052031029</v>
                </pt>
                <pt idx="666">
                  <v>1.387481078892802</v>
                </pt>
                <pt idx="667">
                  <v>1.321857170007236</v>
                </pt>
                <pt idx="668">
                  <v>1.258869076290365</v>
                </pt>
                <pt idx="669">
                  <v>1.195515516103476</v>
                </pt>
                <pt idx="670">
                  <v>1.146258036336135</v>
                </pt>
                <pt idx="671">
                  <v>1.092999007240755</v>
                </pt>
                <pt idx="672">
                  <v>1.041842181880973</v>
                </pt>
                <pt idx="673">
                  <v>0.9976861013826603</v>
                </pt>
                <pt idx="674">
                  <v>0.9601036484913442</v>
                </pt>
                <pt idx="675">
                  <v>0.9234359305661145</v>
                </pt>
                <pt idx="676">
                  <v>0.8871291919473802</v>
                </pt>
                <pt idx="677">
                  <v>0.8453246612179782</v>
                </pt>
                <pt idx="678">
                  <v>0.8169847272422099</v>
                </pt>
                <pt idx="679">
                  <v>0.782051549072509</v>
                </pt>
                <pt idx="680">
                  <v>0.7589883488191846</v>
                </pt>
                <pt idx="681">
                  <v>0.7339618632775511</v>
                </pt>
                <pt idx="682">
                  <v>0.7078479317267455</v>
                </pt>
                <pt idx="683">
                  <v>0.690812096545533</v>
                </pt>
                <pt idx="684">
                  <v>0.6620880003326105</v>
                </pt>
                <pt idx="685">
                  <v>0.6507428640311651</v>
                </pt>
                <pt idx="686">
                  <v>0.6320069831108116</v>
                </pt>
                <pt idx="687">
                  <v>0.6094652581228913</v>
                </pt>
                <pt idx="688">
                  <v>0.5935027834992066</v>
                </pt>
                <pt idx="689">
                  <v>0.5808333818857209</v>
                </pt>
                <pt idx="690">
                  <v>0.5675126119511394</v>
                </pt>
                <pt idx="691">
                  <v>0.5586158855325727</v>
                </pt>
                <pt idx="692">
                  <v>0.5529782584048472</v>
                </pt>
                <pt idx="693">
                  <v>0.5450518733280439</v>
                </pt>
                <pt idx="694">
                  <v>0.5311070034166006</v>
                </pt>
                <pt idx="695">
                  <v>0.5232869547802559</v>
                </pt>
                <pt idx="696">
                  <v>0.5190389117982575</v>
                </pt>
                <pt idx="697">
                  <v>0.5165487042573234</v>
                </pt>
                <pt idx="698">
                  <v>0.505995487561171</v>
                </pt>
                <pt idx="699">
                  <v>0.5027109909572046</v>
                </pt>
                <pt idx="700">
                  <v>0.5005399245006333</v>
                </pt>
                <pt idx="701">
                  <v>0.4987741436120512</v>
                </pt>
                <pt idx="702">
                  <v>0.4961540827429181</v>
                </pt>
                <pt idx="703">
                  <v>0.4930318230781803</v>
                </pt>
                <pt idx="704">
                  <v>0.4935635768810165</v>
                </pt>
                <pt idx="705">
                  <v>0.4918607337466466</v>
                </pt>
                <pt idx="706">
                  <v>0.4888896919234068</v>
                </pt>
                <pt idx="707">
                  <v>0.4906257780129701</v>
                </pt>
                <pt idx="708">
                  <v>0.4907667962604667</v>
                </pt>
                <pt idx="709">
                  <v>0.4914974209858894</v>
                </pt>
                <pt idx="710">
                  <v>0.4892454741584985</v>
                </pt>
                <pt idx="711">
                  <v>0.4903565606389472</v>
                </pt>
                <pt idx="712">
                  <v>0.4967183587933685</v>
                </pt>
                <pt idx="713">
                  <v>0.5045661658489582</v>
                </pt>
                <pt idx="714">
                  <v>0.5077916048082894</v>
                </pt>
                <pt idx="715">
                  <v>0.5044881687062754</v>
                </pt>
                <pt idx="716">
                  <v>0.5053523587236024</v>
                </pt>
                <pt idx="717">
                  <v>0.5129206948622083</v>
                </pt>
                <pt idx="718">
                  <v>0.5182539664738115</v>
                </pt>
                <pt idx="719">
                  <v>0.5198935272931217</v>
                </pt>
                <pt idx="720">
                  <v>0.524103209614509</v>
                </pt>
                <pt idx="721">
                  <v>0.5321371048518428</v>
                </pt>
                <pt idx="722">
                  <v>0.5387861080814079</v>
                </pt>
                <pt idx="723">
                  <v>0.5461760366831792</v>
                </pt>
                <pt idx="724">
                  <v>0.550565792284319</v>
                </pt>
                <pt idx="725">
                  <v>0.5563160621981247</v>
                </pt>
                <pt idx="726">
                  <v>0.5659651994124709</v>
                </pt>
                <pt idx="727">
                  <v>0.5708377891980034</v>
                </pt>
                <pt idx="728">
                  <v>0.5768557809929075</v>
                </pt>
                <pt idx="729">
                  <v>0.5822154516420313</v>
                </pt>
                <pt idx="730">
                  <v>0.5914482588964968</v>
                </pt>
                <pt idx="731">
                  <v>0.6053326794375713</v>
                </pt>
                <pt idx="732">
                  <v>0.6047442875624913</v>
                </pt>
                <pt idx="733">
                  <v>0.6138619035987448</v>
                </pt>
                <pt idx="734">
                  <v>0.6214921744006437</v>
                </pt>
                <pt idx="735">
                  <v>0.6381844289828483</v>
                </pt>
                <pt idx="736">
                  <v>0.6400031954055262</v>
                </pt>
                <pt idx="737">
                  <v>0.6457385183029792</v>
                </pt>
                <pt idx="738">
                  <v>0.6579553889784736</v>
                </pt>
                <pt idx="739">
                  <v>0.6665183677361191</v>
                </pt>
                <pt idx="740">
                  <v>0.674170531866083</v>
                </pt>
                <pt idx="741">
                  <v>0.6783982480534529</v>
                </pt>
                <pt idx="742">
                  <v>0.6871443090029966</v>
                </pt>
                <pt idx="743">
                  <v>0.7045498212700352</v>
                </pt>
                <pt idx="744">
                  <v>0.7037985732734794</v>
                </pt>
                <pt idx="745">
                  <v>0.7161770033478073</v>
                </pt>
                <pt idx="746">
                  <v>0.7215802903419025</v>
                </pt>
                <pt idx="747">
                  <v>0.7350777578493997</v>
                </pt>
                <pt idx="748">
                  <v>0.7464889832317191</v>
                </pt>
                <pt idx="749">
                  <v>0.7465334024307938</v>
                </pt>
                <pt idx="750">
                  <v>0.7631911982933883</v>
                </pt>
                <pt idx="751">
                  <v>0.7642095893681983</v>
                </pt>
                <pt idx="752">
                  <v>0.7706897672589501</v>
                </pt>
                <pt idx="753">
                  <v>0.7863585286832435</v>
                </pt>
                <pt idx="754">
                  <v>0.7936300398417574</v>
                </pt>
                <pt idx="755">
                  <v>0.7979545974470169</v>
                </pt>
                <pt idx="756">
                  <v>0.8103628476840227</v>
                </pt>
                <pt idx="757">
                  <v>0.816190195661775</v>
                </pt>
                <pt idx="758">
                  <v>0.8248350732266382</v>
                </pt>
                <pt idx="759">
                  <v>0.8314009924705004</v>
                </pt>
                <pt idx="760">
                  <v>0.8361743490826496</v>
                </pt>
                <pt idx="761">
                  <v>0.8401315964205028</v>
                </pt>
                <pt idx="762">
                  <v>0.8444562761568019</v>
                </pt>
                <pt idx="763">
                  <v>0.8589393363712733</v>
                </pt>
                <pt idx="764">
                  <v>0.8631563737839545</v>
                </pt>
                <pt idx="765">
                  <v>0.8704270397864807</v>
                </pt>
                <pt idx="766">
                  <v>0.8731660596238239</v>
                </pt>
                <pt idx="767">
                  <v>0.8826794880402856</v>
                </pt>
                <pt idx="768">
                  <v>0.8889517443018935</v>
                </pt>
                <pt idx="769">
                  <v>0.8983654799232148</v>
                </pt>
                <pt idx="770">
                  <v>0.8955993322374746</v>
                </pt>
                <pt idx="771">
                  <v>0.9077911141025713</v>
                </pt>
                <pt idx="772">
                  <v>0.9118098579378628</v>
                </pt>
                <pt idx="773">
                  <v>0.9172842733524029</v>
                </pt>
                <pt idx="774">
                  <v>0.9235167288272865</v>
                </pt>
                <pt idx="775">
                  <v>0.9256960365911774</v>
                </pt>
                <pt idx="776">
                  <v>0.9313326582354494</v>
                </pt>
                <pt idx="777">
                  <v>0.9344456861784315</v>
                </pt>
                <pt idx="778">
                  <v>0.9401605868520891</v>
                </pt>
                <pt idx="779">
                  <v>0.9439161618908765</v>
                </pt>
                <pt idx="780">
                  <v>0.9467850725567662</v>
                </pt>
                <pt idx="781">
                  <v>0.9531661220073527</v>
                </pt>
                <pt idx="782">
                  <v>0.9526167598606419</v>
                </pt>
                <pt idx="783">
                  <v>0.9629799846512609</v>
                </pt>
                <pt idx="784">
                  <v>0.9648130879035427</v>
                </pt>
                <pt idx="785">
                  <v>0.9675298070121557</v>
                </pt>
                <pt idx="786">
                  <v>0.9721296017969298</v>
                </pt>
                <pt idx="787">
                  <v>0.978999956246642</v>
                </pt>
                <pt idx="788">
                  <v>0.9801500605915676</v>
                </pt>
                <pt idx="789">
                  <v>0.9778604887724502</v>
                </pt>
                <pt idx="790">
                  <v>0.982311569797227</v>
                </pt>
                <pt idx="791">
                  <v>0.9872848149832686</v>
                </pt>
                <pt idx="792">
                  <v>0.9904165944973004</v>
                </pt>
                <pt idx="793">
                  <v>0.9878088719352156</v>
                </pt>
                <pt idx="794">
                  <v>0.9980039841688096</v>
                </pt>
                <pt idx="795">
                  <v>0.9992109463252762</v>
                </pt>
                <pt idx="796">
                  <v>0.9957047803289656</v>
                </pt>
                <pt idx="797">
                  <v>0.9988252904526771</v>
                </pt>
                <pt idx="798">
                  <v>0.997160073182195</v>
                </pt>
                <pt idx="799">
                  <v>1.002197594947587</v>
                </pt>
                <pt idx="800">
                  <v>1.003326016780485</v>
                </pt>
                <pt idx="801">
                  <v>1.003749714482957</v>
                </pt>
                <pt idx="802">
                  <v>1.005896258916317</v>
                </pt>
                <pt idx="803">
                  <v>1.013524376545236</v>
                </pt>
                <pt idx="804">
                  <v>1.00901697571123</v>
                </pt>
                <pt idx="805">
                  <v>1.008116411750424</v>
                </pt>
                <pt idx="806">
                  <v>1.015154182676012</v>
                </pt>
                <pt idx="807">
                  <v>1.014315856807029</v>
                </pt>
                <pt idx="808">
                  <v>1.016067749776318</v>
                </pt>
                <pt idx="809">
                  <v>1.021466064198115</v>
                </pt>
                <pt idx="810">
                  <v>1.018827235829333</v>
                </pt>
                <pt idx="811">
                  <v>1.016550679872085</v>
                </pt>
                <pt idx="812">
                  <v>1.01937832813566</v>
                </pt>
                <pt idx="813">
                  <v>1.019036035486922</v>
                </pt>
                <pt idx="814">
                  <v>1.023411347713111</v>
                </pt>
                <pt idx="815">
                  <v>1.017375832837362</v>
                </pt>
                <pt idx="816">
                  <v>1.019397041671259</v>
                </pt>
                <pt idx="817">
                  <v>1.027032491699808</v>
                </pt>
                <pt idx="818">
                  <v>1.025445618148711</v>
                </pt>
                <pt idx="819">
                  <v>1.026413158930418</v>
                </pt>
                <pt idx="820">
                  <v>1.023169658458901</v>
                </pt>
                <pt idx="821">
                  <v>1.021741517754449</v>
                </pt>
                <pt idx="822">
                  <v>1.026565029757101</v>
                </pt>
                <pt idx="823">
                  <v>1.028781162853866</v>
                </pt>
                <pt idx="824">
                  <v>1.021465338891099</v>
                </pt>
                <pt idx="825">
                  <v>1.022312878150158</v>
                </pt>
                <pt idx="826">
                  <v>1.024337189852684</v>
                </pt>
                <pt idx="827">
                  <v>1.022175819822709</v>
                </pt>
                <pt idx="828">
                  <v>1.022348076046943</v>
                </pt>
                <pt idx="829">
                  <v>1.022678845576323</v>
                </pt>
                <pt idx="830">
                  <v>1.022591996038186</v>
                </pt>
                <pt idx="831">
                  <v>1.027358536418838</v>
                </pt>
                <pt idx="832">
                  <v>1.02340554146047</v>
                </pt>
                <pt idx="833">
                  <v>1.024952845631838</v>
                </pt>
                <pt idx="834">
                  <v>1.02190453809686</v>
                </pt>
                <pt idx="835">
                  <v>1.025523519886574</v>
                </pt>
                <pt idx="836">
                  <v>1.026023298075121</v>
                </pt>
                <pt idx="837">
                  <v>1.022340711972296</v>
                </pt>
                <pt idx="838">
                  <v>1.024980235051979</v>
                </pt>
                <pt idx="839">
                  <v>1.020945936107945</v>
                </pt>
                <pt idx="840">
                  <v>1.025010471881819</v>
                </pt>
                <pt idx="841">
                  <v>1.028895783563537</v>
                </pt>
                <pt idx="842">
                  <v>1.023595646278382</v>
                </pt>
                <pt idx="843">
                  <v>1.020741106106467</v>
                </pt>
                <pt idx="844">
                  <v>1.026063857160778</v>
                </pt>
                <pt idx="845">
                  <v>1.017389807775543</v>
                </pt>
                <pt idx="846">
                  <v>1.017087762201688</v>
                </pt>
                <pt idx="847">
                  <v>1.01849624132229</v>
                </pt>
                <pt idx="848">
                  <v>1.020889105517983</v>
                </pt>
                <pt idx="849">
                  <v>1.020541126611364</v>
                </pt>
                <pt idx="850">
                  <v>1.023426611878852</v>
                </pt>
                <pt idx="851">
                  <v>1.024063971448311</v>
                </pt>
                <pt idx="852">
                  <v>1.01600309367884</v>
                </pt>
                <pt idx="853">
                  <v>1.017245885163261</v>
                </pt>
                <pt idx="854">
                  <v>1.01827526494385</v>
                </pt>
                <pt idx="855">
                  <v>1.023375653925634</v>
                </pt>
                <pt idx="856">
                  <v>1.021702118545919</v>
                </pt>
                <pt idx="857">
                  <v>1.013182132571627</v>
                </pt>
                <pt idx="858">
                  <v>1.01298990408422</v>
                </pt>
                <pt idx="859">
                  <v>1.015123028837306</v>
                </pt>
                <pt idx="860">
                  <v>1.014856086432641</v>
                </pt>
                <pt idx="861">
                  <v>1.019252955439741</v>
                </pt>
                <pt idx="862">
                  <v>1.018587536872948</v>
                </pt>
                <pt idx="863">
                  <v>1.014858993817006</v>
                </pt>
                <pt idx="864">
                  <v>1.015212135265004</v>
                </pt>
                <pt idx="865">
                  <v>1.012852387595045</v>
                </pt>
                <pt idx="866">
                  <v>1.013638324496971</v>
                </pt>
                <pt idx="867">
                  <v>1.018723127488203</v>
                </pt>
                <pt idx="868">
                  <v>1.017971513624461</v>
                </pt>
                <pt idx="869">
                  <v>1.009416868719574</v>
                </pt>
                <pt idx="870">
                  <v>1.012578770095543</v>
                </pt>
                <pt idx="871">
                  <v>1.013377048206234</v>
                </pt>
                <pt idx="872">
                  <v>1.007548970593763</v>
                </pt>
                <pt idx="873">
                  <v>1.008836236283853</v>
                </pt>
                <pt idx="874">
                  <v>1.010298347250612</v>
                </pt>
                <pt idx="875">
                  <v>1.012369356421436</v>
                </pt>
                <pt idx="876">
                  <v>1.011198696846284</v>
                </pt>
                <pt idx="877">
                  <v>1.008286709467128</v>
                </pt>
                <pt idx="878">
                  <v>1.009259913795328</v>
                </pt>
                <pt idx="879">
                  <v>1.013302962311303</v>
                </pt>
                <pt idx="880">
                  <v>1.006049066878919</v>
                </pt>
                <pt idx="881">
                  <v>1.010091863306352</v>
                </pt>
                <pt idx="882">
                  <v>1.012151887534335</v>
                </pt>
                <pt idx="883">
                  <v>1.004690289208404</v>
                </pt>
                <pt idx="884">
                  <v>1.010293972684704</v>
                </pt>
                <pt idx="885">
                  <v>1.003639249111423</v>
                </pt>
                <pt idx="886">
                  <v>1.002999540624593</v>
                </pt>
                <pt idx="887">
                  <v>1.002768724858851</v>
                </pt>
                <pt idx="888">
                  <v>1.003106598076434</v>
                </pt>
                <pt idx="889">
                  <v>1.00952442862632</v>
                </pt>
                <pt idx="890">
                  <v>1.00329964591857</v>
                </pt>
                <pt idx="891">
                  <v>1.006018435285655</v>
                </pt>
                <pt idx="892">
                  <v>1.003056690571273</v>
                </pt>
                <pt idx="893">
                  <v>1.000352228673113</v>
                </pt>
                <pt idx="894">
                  <v>1.001196979360494</v>
                </pt>
                <pt idx="895">
                  <v>1.004246534038296</v>
                </pt>
                <pt idx="896">
                  <v>1.006467786949634</v>
                </pt>
                <pt idx="897">
                  <v>1.002689638691286</v>
                </pt>
                <pt idx="898">
                  <v>1.005775442913664</v>
                </pt>
                <pt idx="899">
                  <v>1.001437477842958</v>
                </pt>
                <pt idx="900">
                  <v>1.004339350153524</v>
                </pt>
                <pt idx="901">
                  <v>1.0056157516252</v>
                </pt>
                <pt idx="902">
                  <v>1.001381858749927</v>
                </pt>
                <pt idx="903">
                  <v>1.006794667530632</v>
                </pt>
                <pt idx="904">
                  <v>0.9982255140798547</v>
                </pt>
                <pt idx="905">
                  <v>1.002770161486792</v>
                </pt>
                <pt idx="906">
                  <v>1.003349635969953</v>
                </pt>
                <pt idx="907">
                  <v>1.003201461759823</v>
                </pt>
                <pt idx="908">
                  <v>0.9961721710030806</v>
                </pt>
                <pt idx="909">
                  <v>0.9978431455207352</v>
                </pt>
                <pt idx="910">
                  <v>1.002309518937981</v>
                </pt>
                <pt idx="911">
                  <v>0.9963697537506816</v>
                </pt>
                <pt idx="912">
                  <v>1.002696452192707</v>
                </pt>
                <pt idx="913">
                  <v>1.004978166552676</v>
                </pt>
                <pt idx="914">
                  <v>0.9983841573513106</v>
                </pt>
                <pt idx="915">
                  <v>0.9984292710729273</v>
                </pt>
                <pt idx="916">
                  <v>0.9999580823354575</v>
                </pt>
                <pt idx="917">
                  <v>1.002747438569442</v>
                </pt>
                <pt idx="918">
                  <v>0.9958923549683174</v>
                </pt>
                <pt idx="919">
                  <v>1.003311835984726</v>
                </pt>
                <pt idx="920">
                  <v>0.999649994752846</v>
                </pt>
                <pt idx="921">
                  <v>0.9968978502765741</v>
                </pt>
                <pt idx="922">
                  <v>1.003515440018673</v>
                </pt>
                <pt idx="923">
                  <v>1.00465028073631</v>
                </pt>
                <pt idx="924">
                  <v>1.004143281397341</v>
                </pt>
                <pt idx="925">
                  <v>1.001223950062238</v>
                </pt>
                <pt idx="926">
                  <v>0.9996295450267776</v>
                </pt>
                <pt idx="927">
                  <v>1.002811208534224</v>
                </pt>
                <pt idx="928">
                  <v>0.9939142474168069</v>
                </pt>
                <pt idx="929">
                  <v>0.9960898808253889</v>
                </pt>
                <pt idx="930">
                  <v>1.003645306732172</v>
                </pt>
                <pt idx="931">
                  <v>1.002091122292744</v>
                </pt>
                <pt idx="932">
                  <v>0.996913087244734</v>
                </pt>
                <pt idx="933">
                  <v>0.9950574899428689</v>
                </pt>
                <pt idx="934">
                  <v>0.995410258713798</v>
                </pt>
                <pt idx="935">
                  <v>0.9982798512556652</v>
                </pt>
                <pt idx="936">
                  <v>0.9976217764449743</v>
                </pt>
                <pt idx="937">
                  <v>1.001665123255263</v>
                </pt>
                <pt idx="938">
                  <v>0.9988724227328022</v>
                </pt>
                <pt idx="939">
                  <v>0.995798989139507</v>
                </pt>
                <pt idx="940">
                  <v>0.9946554523136056</v>
                </pt>
                <pt idx="941">
                  <v>1.003481444429587</v>
                </pt>
                <pt idx="942">
                  <v>0.9954861991677174</v>
                </pt>
                <pt idx="943">
                  <v>1.002377430829259</v>
                </pt>
                <pt idx="944">
                  <v>0.9944771098192917</v>
                </pt>
                <pt idx="945">
                  <v>0.9963043832667333</v>
                </pt>
                <pt idx="946">
                  <v>1.002769042556344</v>
                </pt>
                <pt idx="947">
                  <v>1.001410303044567</v>
                </pt>
                <pt idx="948">
                  <v>0.9988859941452898</v>
                </pt>
                <pt idx="949">
                  <v>1.003079379670886</v>
                </pt>
                <pt idx="950">
                  <v>1.002504837782052</v>
                </pt>
                <pt idx="951">
                  <v>1.00145224048682</v>
                </pt>
                <pt idx="952">
                  <v>0.9999825395330674</v>
                </pt>
                <pt idx="953">
                  <v>0.9935731913617786</v>
                </pt>
                <pt idx="954">
                  <v>0.994994392247696</v>
                </pt>
                <pt idx="955">
                  <v>0.9985483876024123</v>
                </pt>
                <pt idx="956">
                  <v>0.998195954086567</v>
                </pt>
                <pt idx="957">
                  <v>0.9963893306325713</v>
                </pt>
                <pt idx="958">
                  <v>0.9998343005176967</v>
                </pt>
                <pt idx="959">
                  <v>1.002881976927855</v>
                </pt>
                <pt idx="960">
                  <v>1.002128206644867</v>
                </pt>
                <pt idx="961">
                  <v>0.9963994737936662</v>
                </pt>
                <pt idx="962">
                  <v>0.995196631662668</v>
                </pt>
                <pt idx="963">
                  <v>0.9946742806886388</v>
                </pt>
                <pt idx="964">
                  <v>0.9982205275707907</v>
                </pt>
                <pt idx="965">
                  <v>1.000475919485047</v>
                </pt>
                <pt idx="966">
                  <v>1.000154240276264</v>
                </pt>
                <pt idx="967">
                  <v>1.003937438493808</v>
                </pt>
                <pt idx="968">
                  <v>1.001139006314191</v>
                </pt>
                <pt idx="969">
                  <v>1.002966714266176</v>
                </pt>
                <pt idx="970">
                  <v>1.002743715053344</v>
                </pt>
                <pt idx="971">
                  <v>0.9947590520889537</v>
                </pt>
                <pt idx="972">
                  <v>0.9988275917720744</v>
                </pt>
                <pt idx="973">
                  <v>0.9950117281921917</v>
                </pt>
                <pt idx="974">
                  <v>1.001631808690769</v>
                </pt>
                <pt idx="975">
                  <v>0.9977632500852006</v>
                </pt>
                <pt idx="976">
                  <v>1.002299822405612</v>
                </pt>
                <pt idx="977">
                  <v>1.004147002276476</v>
                </pt>
                <pt idx="978">
                  <v>1.002911033743849</v>
                </pt>
                <pt idx="979">
                  <v>0.9960583352252851</v>
                </pt>
                <pt idx="980">
                  <v>1.004493440131508</v>
                </pt>
                <pt idx="981">
                  <v>1.001258641465633</v>
                </pt>
                <pt idx="982">
                  <v>0.9963103067030799</v>
                </pt>
                <pt idx="983">
                  <v>0.9972288598958399</v>
                </pt>
                <pt idx="984">
                  <v>0.9971178177420623</v>
                </pt>
                <pt idx="985">
                  <v>1.00181729917469</v>
                </pt>
                <pt idx="986">
                  <v>0.9957762777837906</v>
                </pt>
                <pt idx="987">
                  <v>0.99923871599673</v>
                </pt>
                <pt idx="988">
                  <v>1.005067914496084</v>
                </pt>
                <pt idx="989">
                  <v>0.9976769692632983</v>
                </pt>
                <pt idx="990">
                  <v>0.9965045944788047</v>
                </pt>
                <pt idx="991">
                  <v>0.9956581639174539</v>
                </pt>
                <pt idx="992">
                  <v>0.9975625535215246</v>
                </pt>
                <pt idx="993">
                  <v>0.999832212054843</v>
                </pt>
                <pt idx="994">
                  <v>0.9957099691173014</v>
                </pt>
                <pt idx="995">
                  <v>1.000164393627466</v>
                </pt>
                <pt idx="996">
                  <v>1.001729733439554</v>
                </pt>
                <pt idx="997">
                  <v>1.001127080370871</v>
                </pt>
                <pt idx="998">
                  <v>0.9988361424007123</v>
                </pt>
                <pt idx="999">
                  <v>1.002622078460586</v>
                </pt>
                <pt idx="1000">
                  <v>1.0009303072365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27574879"/>
        <axId val="1527573215"/>
      </lineChart>
      <catAx>
        <axId val="1527574879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27573215"/>
        <crosses val="autoZero"/>
        <auto val="1"/>
        <lblAlgn val="ctr"/>
        <lblOffset val="100"/>
        <noMultiLvlLbl val="0"/>
      </catAx>
      <valAx>
        <axId val="152757321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275748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Лист3!$V$1</f>
              <strCache>
                <ptCount val="1"/>
                <pt idx="0">
                  <v>y(nT0)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Лист3!$V$2:$V$1002</f>
              <numCache>
                <formatCode>0.000</formatCode>
                <ptCount val="1001"/>
                <pt idx="0">
                  <v>1.003184519010406</v>
                </pt>
                <pt idx="1">
                  <v>1.005505747395918</v>
                </pt>
                <pt idx="2">
                  <v>1.006026542979764</v>
                </pt>
                <pt idx="3">
                  <v>1.005884330022587</v>
                </pt>
                <pt idx="4">
                  <v>1.000889134826346</v>
                </pt>
                <pt idx="5">
                  <v>1.001486322144392</v>
                </pt>
                <pt idx="6">
                  <v>1.00535654951943</v>
                </pt>
                <pt idx="7">
                  <v>1.001812867122193</v>
                </pt>
                <pt idx="8">
                  <v>1.00682119396674</v>
                </pt>
                <pt idx="9">
                  <v>1.002604491310801</v>
                </pt>
                <pt idx="10">
                  <v>1.008586096812176</v>
                </pt>
                <pt idx="11">
                  <v>1.00121367746061</v>
                </pt>
                <pt idx="12">
                  <v>1.003911835375221</v>
                </pt>
                <pt idx="13">
                  <v>1.008734782461248</v>
                </pt>
                <pt idx="14">
                  <v>1.007030322450919</v>
                </pt>
                <pt idx="15">
                  <v>1.005194382976087</v>
                </pt>
                <pt idx="16">
                  <v>1.003785920563104</v>
                </pt>
                <pt idx="17">
                  <v>1.008787495318984</v>
                </pt>
                <pt idx="18">
                  <v>1.00930680078671</v>
                </pt>
                <pt idx="19">
                  <v>1.006212085719735</v>
                </pt>
                <pt idx="20">
                  <v>1.002648519585526</v>
                </pt>
                <pt idx="21">
                  <v>1.001246413449116</v>
                </pt>
                <pt idx="22">
                  <v>1.004824391800171</v>
                </pt>
                <pt idx="23">
                  <v>1.003888482461657</v>
                </pt>
                <pt idx="24">
                  <v>1.006438676502192</v>
                </pt>
                <pt idx="25">
                  <v>1.008237921867575</v>
                </pt>
                <pt idx="26">
                  <v>1.001879130723392</v>
                </pt>
                <pt idx="27">
                  <v>1.000122912460967</v>
                </pt>
                <pt idx="28">
                  <v>1.003871974769019</v>
                </pt>
                <pt idx="29">
                  <v>1.004518475617403</v>
                </pt>
                <pt idx="30">
                  <v>1.000364707084458</v>
                </pt>
                <pt idx="31">
                  <v>1.009225961987215</v>
                </pt>
                <pt idx="32">
                  <v>1.004877849715966</v>
                </pt>
                <pt idx="33">
                  <v>1.006663986716108</v>
                </pt>
                <pt idx="34">
                  <v>1.006238418865539</v>
                </pt>
                <pt idx="35">
                  <v>1.00128937070288</v>
                </pt>
                <pt idx="36">
                  <v>1.001883042278207</v>
                </pt>
                <pt idx="37">
                  <v>1.003373437794711</v>
                </pt>
                <pt idx="38">
                  <v>1.006635651226769</v>
                </pt>
                <pt idx="39">
                  <v>1.008593011882294</v>
                </pt>
                <pt idx="40">
                  <v>1.000578142935545</v>
                </pt>
                <pt idx="41">
                  <v>1.006143540378228</v>
                </pt>
                <pt idx="42">
                  <v>1.001614053035531</v>
                </pt>
                <pt idx="43">
                  <v>0.990684447109393</v>
                </pt>
                <pt idx="44">
                  <v>0.9814948777159431</v>
                </pt>
                <pt idx="45">
                  <v>0.9720677046505891</v>
                </pt>
                <pt idx="46">
                  <v>0.9550068064022359</v>
                </pt>
                <pt idx="47">
                  <v>0.9292370409074326</v>
                </pt>
                <pt idx="48">
                  <v>0.9137679824870472</v>
                </pt>
                <pt idx="49">
                  <v>0.8961968824491363</v>
                </pt>
                <pt idx="50">
                  <v>0.8746274516160198</v>
                </pt>
                <pt idx="51">
                  <v>0.8478485981113856</v>
                </pt>
                <pt idx="52">
                  <v>0.8288615850798928</v>
                </pt>
                <pt idx="53">
                  <v>0.8003084689379457</v>
                </pt>
                <pt idx="54">
                  <v>0.773243513138323</v>
                </pt>
                <pt idx="55">
                  <v>0.7466028679037939</v>
                </pt>
                <pt idx="56">
                  <v>0.7297856036410167</v>
                </pt>
                <pt idx="57">
                  <v>0.6997208112617305</v>
                </pt>
                <pt idx="58">
                  <v>0.6748294459364446</v>
                </pt>
                <pt idx="59">
                  <v>0.6544642384756506</v>
                </pt>
                <pt idx="60">
                  <v>0.6345964504020746</v>
                </pt>
                <pt idx="61">
                  <v>0.6052168320410924</v>
                </pt>
                <pt idx="62">
                  <v>0.587079324896233</v>
                </pt>
                <pt idx="63">
                  <v>0.6272759755671201</v>
                </pt>
                <pt idx="64">
                  <v>0.7780085785263238</v>
                </pt>
                <pt idx="65">
                  <v>1.021534460834585</v>
                </pt>
                <pt idx="66">
                  <v>1.309966016865793</v>
                </pt>
                <pt idx="67">
                  <v>1.588782389086853</v>
                </pt>
                <pt idx="68">
                  <v>1.859979099095794</v>
                </pt>
                <pt idx="69">
                  <v>2.119720099056075</v>
                </pt>
                <pt idx="70">
                  <v>2.37695421147555</v>
                </pt>
                <pt idx="71">
                  <v>2.62705306583714</v>
                </pt>
                <pt idx="72">
                  <v>2.873369795939273</v>
                </pt>
                <pt idx="73">
                  <v>3.111262853050433</v>
                </pt>
                <pt idx="74">
                  <v>3.349986137670927</v>
                </pt>
                <pt idx="75">
                  <v>3.581838729693983</v>
                </pt>
                <pt idx="76">
                  <v>3.80883123814334</v>
                </pt>
                <pt idx="77">
                  <v>4.035398527988092</v>
                </pt>
                <pt idx="78">
                  <v>4.257117888018749</v>
                </pt>
                <pt idx="79">
                  <v>4.48335094947446</v>
                </pt>
                <pt idx="80">
                  <v>4.708120181390112</v>
                </pt>
                <pt idx="81">
                  <v>4.93061584535302</v>
                </pt>
                <pt idx="82">
                  <v>5.154445722036633</v>
                </pt>
                <pt idx="83">
                  <v>5.377275451407133</v>
                </pt>
                <pt idx="84">
                  <v>5.593281240573451</v>
                </pt>
                <pt idx="85">
                  <v>5.817894010296532</v>
                </pt>
                <pt idx="86">
                  <v>6.040470582908129</v>
                </pt>
                <pt idx="87">
                  <v>6.255589985813851</v>
                </pt>
                <pt idx="88">
                  <v>6.457254664613227</v>
                </pt>
                <pt idx="89">
                  <v>6.655355195201783</v>
                </pt>
                <pt idx="90">
                  <v>6.84584921850959</v>
                </pt>
                <pt idx="91">
                  <v>7.025300456915354</v>
                </pt>
                <pt idx="92">
                  <v>7.203045675345475</v>
                </pt>
                <pt idx="93">
                  <v>7.36559026580434</v>
                </pt>
                <pt idx="94">
                  <v>7.524650405981729</v>
                </pt>
                <pt idx="95">
                  <v>7.676898061222606</v>
                </pt>
                <pt idx="96">
                  <v>7.826801111881341</v>
                </pt>
                <pt idx="97">
                  <v>7.964259178369367</v>
                </pt>
                <pt idx="98">
                  <v>8.102709895023775</v>
                </pt>
                <pt idx="99">
                  <v>8.232709907049479</v>
                </pt>
                <pt idx="100">
                  <v>8.355905722909585</v>
                </pt>
                <pt idx="101">
                  <v>8.473781218862577</v>
                </pt>
                <pt idx="102">
                  <v>8.588990128736242</v>
                </pt>
                <pt idx="103">
                  <v>8.697518801479024</v>
                </pt>
                <pt idx="104">
                  <v>8.797467897831805</v>
                </pt>
                <pt idx="105">
                  <v>8.896951798558456</v>
                </pt>
                <pt idx="106">
                  <v>8.994175635509698</v>
                </pt>
                <pt idx="107">
                  <v>9.080644838763551</v>
                </pt>
                <pt idx="108">
                  <v>9.170064984161888</v>
                </pt>
                <pt idx="109">
                  <v>9.255230452226296</v>
                </pt>
                <pt idx="110">
                  <v>9.325375293690099</v>
                </pt>
                <pt idx="111">
                  <v>9.402802961273773</v>
                </pt>
                <pt idx="112">
                  <v>9.467887764207061</v>
                </pt>
                <pt idx="113">
                  <v>9.538098147497069</v>
                </pt>
                <pt idx="114">
                  <v>9.591280042564328</v>
                </pt>
                <pt idx="115">
                  <v>9.649405770387828</v>
                </pt>
                <pt idx="116">
                  <v>9.702837935114008</v>
                </pt>
                <pt idx="117">
                  <v>9.763353995458072</v>
                </pt>
                <pt idx="118">
                  <v>9.811726098370674</v>
                </pt>
                <pt idx="119">
                  <v>9.856593378320474</v>
                </pt>
                <pt idx="120">
                  <v>9.900452943961241</v>
                </pt>
                <pt idx="121">
                  <v>9.94404973693752</v>
                </pt>
                <pt idx="122">
                  <v>9.975125479971785</v>
                </pt>
                <pt idx="123">
                  <v>10.01204441068974</v>
                </pt>
                <pt idx="124">
                  <v>10.05455646898005</v>
                </pt>
                <pt idx="125">
                  <v>10.08080193076301</v>
                </pt>
                <pt idx="126">
                  <v>10.11343754597787</v>
                </pt>
                <pt idx="127">
                  <v>10.14924687569711</v>
                </pt>
                <pt idx="128">
                  <v>10.17448534494603</v>
                </pt>
                <pt idx="129">
                  <v>10.19938937625834</v>
                </pt>
                <pt idx="130">
                  <v>10.22069987613258</v>
                </pt>
                <pt idx="131">
                  <v>10.24837896932112</v>
                </pt>
                <pt idx="132">
                  <v>10.27054188546504</v>
                </pt>
                <pt idx="133">
                  <v>10.282657810087</v>
                </pt>
                <pt idx="134">
                  <v>10.30921566074463</v>
                </pt>
                <pt idx="135">
                  <v>10.32047469874855</v>
                </pt>
                <pt idx="136">
                  <v>10.3350320389343</v>
                </pt>
                <pt idx="137">
                  <v>10.35686596537867</v>
                </pt>
                <pt idx="138">
                  <v>10.37001018653857</v>
                </pt>
                <pt idx="139">
                  <v>10.38716228455006</v>
                </pt>
                <pt idx="140">
                  <v>10.39395816866168</v>
                </pt>
                <pt idx="141">
                  <v>10.40324594602064</v>
                </pt>
                <pt idx="142">
                  <v>10.41750088576635</v>
                </pt>
                <pt idx="143">
                  <v>10.42773809992423</v>
                </pt>
                <pt idx="144">
                  <v>10.42948027849884</v>
                </pt>
                <pt idx="145">
                  <v>10.44576619994961</v>
                </pt>
                <pt idx="146">
                  <v>10.45332106539358</v>
                </pt>
                <pt idx="147">
                  <v>10.45186703802363</v>
                </pt>
                <pt idx="148">
                  <v>10.45766284467132</v>
                </pt>
                <pt idx="149">
                  <v>10.46796390099171</v>
                </pt>
                <pt idx="150">
                  <v>10.46856257842587</v>
                </pt>
                <pt idx="151">
                  <v>10.47420141065358</v>
                </pt>
                <pt idx="152">
                  <v>10.4734967487104</v>
                </pt>
                <pt idx="153">
                  <v>10.47691644878986</v>
                </pt>
                <pt idx="154">
                  <v>10.4847803037811</v>
                </pt>
                <pt idx="155">
                  <v>10.48320015205145</v>
                </pt>
                <pt idx="156">
                  <v>10.48194722050846</v>
                </pt>
                <pt idx="157">
                  <v>10.48267453687328</v>
                </pt>
                <pt idx="158">
                  <v>10.47793766727623</v>
                </pt>
                <pt idx="159">
                  <v>10.47576372755593</v>
                </pt>
                <pt idx="160">
                  <v>10.4828967737227</v>
                </pt>
                <pt idx="161">
                  <v>10.47268547361546</v>
                </pt>
                <pt idx="162">
                  <v>10.47783913334781</v>
                </pt>
                <pt idx="163">
                  <v>10.46872453542164</v>
                </pt>
                <pt idx="164">
                  <v>10.46824374014238</v>
                </pt>
                <pt idx="165">
                  <v>10.4594649072875</v>
                </pt>
                <pt idx="166">
                  <v>10.46147127879352</v>
                </pt>
                <pt idx="167">
                  <v>10.450571917568</v>
                </pt>
                <pt idx="168">
                  <v>10.45459478871305</v>
                </pt>
                <pt idx="169">
                  <v>10.44195967503869</v>
                </pt>
                <pt idx="170">
                  <v>10.43984603845511</v>
                </pt>
                <pt idx="171">
                  <v>10.43450285457878</v>
                </pt>
                <pt idx="172">
                  <v>10.42546783816662</v>
                </pt>
                <pt idx="173">
                  <v>10.42044835873424</v>
                </pt>
                <pt idx="174">
                  <v>10.4175547627773</v>
                </pt>
                <pt idx="175">
                  <v>10.40545616075524</v>
                </pt>
                <pt idx="176">
                  <v>10.40107836257691</v>
                </pt>
                <pt idx="177">
                  <v>10.39754841718766</v>
                </pt>
                <pt idx="178">
                  <v>10.38806899692585</v>
                </pt>
                <pt idx="179">
                  <v>10.37808507922527</v>
                </pt>
                <pt idx="180">
                  <v>10.36905495225663</v>
                </pt>
                <pt idx="181">
                  <v>10.36145473140326</v>
                </pt>
                <pt idx="182">
                  <v>10.36078424899857</v>
                </pt>
                <pt idx="183">
                  <v>10.34974211602233</v>
                </pt>
                <pt idx="184">
                  <v>10.34039866885645</v>
                </pt>
                <pt idx="185">
                  <v>10.33034967499095</v>
                </pt>
                <pt idx="186">
                  <v>10.33061971197152</v>
                </pt>
                <pt idx="187">
                  <v>10.32338631579731</v>
                </pt>
                <pt idx="188">
                  <v>10.30817737577208</v>
                </pt>
                <pt idx="189">
                  <v>10.30152475235553</v>
                </pt>
                <pt idx="190">
                  <v>10.29828763806687</v>
                </pt>
                <pt idx="191">
                  <v>10.28766886105008</v>
                </pt>
                <pt idx="192">
                  <v>10.27505803161186</v>
                </pt>
                <pt idx="193">
                  <v>10.26855486218551</v>
                </pt>
                <pt idx="194">
                  <v>10.26360707130833</v>
                </pt>
                <pt idx="195">
                  <v>10.25282633729578</v>
                </pt>
                <pt idx="196">
                  <v>10.24291680898585</v>
                </pt>
                <pt idx="197">
                  <v>10.23314150754203</v>
                </pt>
                <pt idx="198">
                  <v>10.22561812080108</v>
                </pt>
                <pt idx="199">
                  <v>10.22152216411697</v>
                </pt>
                <pt idx="200">
                  <v>10.21053812238633</v>
                </pt>
                <pt idx="201">
                  <v>10.20829219143099</v>
                </pt>
                <pt idx="202">
                  <v>10.19678632966168</v>
                </pt>
                <pt idx="203">
                  <v>10.19626299622382</v>
                </pt>
                <pt idx="204">
                  <v>10.1836858806628</v>
                </pt>
                <pt idx="205">
                  <v>10.17393027669143</v>
                </pt>
                <pt idx="206">
                  <v>10.16742803858766</v>
                </pt>
                <pt idx="207">
                  <v>10.16093697635479</v>
                </pt>
                <pt idx="208">
                  <v>10.15677391787916</v>
                </pt>
                <pt idx="209">
                  <v>10.14915439536543</v>
                </pt>
                <pt idx="210">
                  <v>10.13961276275563</v>
                </pt>
                <pt idx="211">
                  <v>10.13906242096309</v>
                </pt>
                <pt idx="212">
                  <v>10.13480650962675</v>
                </pt>
                <pt idx="213">
                  <v>10.12595196024653</v>
                </pt>
                <pt idx="214">
                  <v>10.11734355942284</v>
                </pt>
                <pt idx="215">
                  <v>10.10947635167033</v>
                </pt>
                <pt idx="216">
                  <v>10.11103096187837</v>
                </pt>
                <pt idx="217">
                  <v>10.09813065410082</v>
                </pt>
                <pt idx="218">
                  <v>10.0957953860275</v>
                </pt>
                <pt idx="219">
                  <v>10.09473225802526</v>
                </pt>
                <pt idx="220">
                  <v>10.08462810658026</v>
                </pt>
                <pt idx="221">
                  <v>10.08438992083175</v>
                </pt>
                <pt idx="222">
                  <v>10.07930273424818</v>
                </pt>
                <pt idx="223">
                  <v>10.07627626184287</v>
                </pt>
                <pt idx="224">
                  <v>10.06942228648565</v>
                </pt>
                <pt idx="225">
                  <v>10.05982025760687</v>
                </pt>
                <pt idx="226">
                  <v>10.05467106822288</v>
                </pt>
                <pt idx="227">
                  <v>10.05352947629372</v>
                </pt>
                <pt idx="228">
                  <v>10.05480941619138</v>
                </pt>
                <pt idx="229">
                  <v>10.0462069525491</v>
                </pt>
                <pt idx="230">
                  <v>10.03873220412962</v>
                </pt>
                <pt idx="231">
                  <v>10.04207141465556</v>
                </pt>
                <pt idx="232">
                  <v>10.03281639656816</v>
                </pt>
                <pt idx="233">
                  <v>10.03657293273988</v>
                </pt>
                <pt idx="234">
                  <v>10.03274137853476</v>
                </pt>
                <pt idx="235">
                  <v>10.02951592906134</v>
                </pt>
                <pt idx="236">
                  <v>10.02363751410126</v>
                </pt>
                <pt idx="237">
                  <v>10.0170310377183</v>
                </pt>
                <pt idx="238">
                  <v>10.01531118760242</v>
                </pt>
                <pt idx="239">
                  <v>10.01695941901229</v>
                </pt>
                <pt idx="240">
                  <v>10.01575500937546</v>
                </pt>
                <pt idx="241">
                  <v>10.00814968953099</v>
                </pt>
                <pt idx="242">
                  <v>10.0020498759118</v>
                </pt>
                <pt idx="243">
                  <v>10.00125608639821</v>
                </pt>
                <pt idx="244">
                  <v>9.9992644065058</v>
                </pt>
                <pt idx="245">
                  <v>10.00183066586075</v>
                </pt>
                <pt idx="246">
                  <v>9.999387410934872</v>
                </pt>
                <pt idx="247">
                  <v>9.995379045138922</v>
                </pt>
                <pt idx="248">
                  <v>9.999465735163415</v>
                </pt>
                <pt idx="249">
                  <v>9.995823588686955</v>
                </pt>
                <pt idx="250">
                  <v>9.994826514738339</v>
                </pt>
                <pt idx="251">
                  <v>9.995058437342538</v>
                </pt>
                <pt idx="252">
                  <v>9.993362429084574</v>
                </pt>
                <pt idx="253">
                  <v>9.990012787745803</v>
                </pt>
                <pt idx="254">
                  <v>9.982290586918193</v>
                </pt>
                <pt idx="255">
                  <v>9.989058880598531</v>
                </pt>
                <pt idx="256">
                  <v>9.980662472075936</v>
                </pt>
                <pt idx="257">
                  <v>9.981216655574091</v>
                </pt>
                <pt idx="258">
                  <v>9.984814983323407</v>
                </pt>
                <pt idx="259">
                  <v>9.982992408327524</v>
                </pt>
                <pt idx="260">
                  <v>9.979844212061689</v>
                </pt>
                <pt idx="261">
                  <v>9.9758423422407</v>
                </pt>
                <pt idx="262">
                  <v>9.978628347157182</v>
                </pt>
                <pt idx="263">
                  <v>9.977661937004342</v>
                </pt>
                <pt idx="264">
                  <v>9.972528929350091</v>
                </pt>
                <pt idx="265">
                  <v>9.972850608167438</v>
                </pt>
                <pt idx="266">
                  <v>9.973039014724325</v>
                </pt>
                <pt idx="267">
                  <v>9.976551404683049</v>
                </pt>
                <pt idx="268">
                  <v>9.979719321704405</v>
                </pt>
                <pt idx="269">
                  <v>9.976890243118836</v>
                </pt>
                <pt idx="270">
                  <v>9.97296872315299</v>
                </pt>
                <pt idx="271">
                  <v>9.975595145946274</v>
                </pt>
                <pt idx="272">
                  <v>9.976108584081778</v>
                </pt>
                <pt idx="273">
                  <v>9.978390440805441</v>
                </pt>
                <pt idx="274">
                  <v>9.979290773621594</v>
                </pt>
                <pt idx="275">
                  <v>9.976972758298967</v>
                </pt>
                <pt idx="276">
                  <v>9.975998455187305</v>
                </pt>
                <pt idx="277">
                  <v>9.974788969842436</v>
                </pt>
                <pt idx="278">
                  <v>9.971062492106823</v>
                </pt>
                <pt idx="279">
                  <v>9.978627508966865</v>
                </pt>
                <pt idx="280">
                  <v>9.977098207449796</v>
                </pt>
                <pt idx="281">
                  <v>9.971134320360408</v>
                </pt>
                <pt idx="282">
                  <v>9.977859004861177</v>
                </pt>
                <pt idx="283">
                  <v>9.969674565356614</v>
                </pt>
                <pt idx="284">
                  <v>9.972048343618411</v>
                </pt>
                <pt idx="285">
                  <v>9.97283123665788</v>
                </pt>
                <pt idx="286">
                  <v>9.977498513175522</v>
                </pt>
                <pt idx="287">
                  <v>9.974500702222461</v>
                </pt>
                <pt idx="288">
                  <v>9.976719415275548</v>
                </pt>
                <pt idx="289">
                  <v>9.973776296240692</v>
                </pt>
                <pt idx="290">
                  <v>9.977261631278616</v>
                </pt>
                <pt idx="291">
                  <v>9.980597419194085</v>
                </pt>
                <pt idx="292">
                  <v>9.979633896141229</v>
                </pt>
                <pt idx="293">
                  <v>9.977607617615165</v>
                </pt>
                <pt idx="294">
                  <v>9.974543380079453</v>
                </pt>
                <pt idx="295">
                  <v>9.982002342581284</v>
                </pt>
                <pt idx="296">
                  <v>9.981058633416207</v>
                </pt>
                <pt idx="297">
                  <v>9.982758157416889</v>
                </pt>
                <pt idx="298">
                  <v>9.984821735412073</v>
                </pt>
                <pt idx="299">
                  <v>9.984212301202168</v>
                </pt>
                <pt idx="300">
                  <v>9.977079627564429</v>
                </pt>
                <pt idx="301">
                  <v>9.97892355313034</v>
                </pt>
                <pt idx="302">
                  <v>9.977058859071009</v>
                </pt>
                <pt idx="303">
                  <v>9.986107659057273</v>
                </pt>
                <pt idx="304">
                  <v>9.982729915059807</v>
                </pt>
                <pt idx="305">
                  <v>9.979456339492335</v>
                </pt>
                <pt idx="306">
                  <v>9.98489575227371</v>
                </pt>
                <pt idx="307">
                  <v>9.981635215222285</v>
                </pt>
                <pt idx="308">
                  <v>9.988247093276179</v>
                </pt>
                <pt idx="309">
                  <v>9.984607461370668</v>
                </pt>
                <pt idx="310">
                  <v>9.980314623094237</v>
                </pt>
                <pt idx="311">
                  <v>9.987843271807732</v>
                </pt>
                <pt idx="312">
                  <v>9.982278735838429</v>
                </pt>
                <pt idx="313">
                  <v>9.983724451154407</v>
                </pt>
                <pt idx="314">
                  <v>9.990871304178347</v>
                </pt>
                <pt idx="315">
                  <v>9.983777909070202</v>
                </pt>
                <pt idx="316">
                  <v>9.99119924614001</v>
                </pt>
                <pt idx="317">
                  <v>9.983241327568711</v>
                </pt>
                <pt idx="318">
                  <v>9.98950521694252</v>
                </pt>
                <pt idx="319">
                  <v>9.990966741459204</v>
                </pt>
                <pt idx="320">
                  <v>9.993286968672948</v>
                </pt>
                <pt idx="321">
                  <v>9.993911979252918</v>
                </pt>
                <pt idx="322">
                  <v>10.02184937475758</v>
                </pt>
                <pt idx="323">
                  <v>10.06177957403981</v>
                </pt>
                <pt idx="324">
                  <v>10.11500468247454</v>
                </pt>
                <pt idx="325">
                  <v>10.1696377643779</v>
                </pt>
                <pt idx="326">
                  <v>10.24385292787195</v>
                </pt>
                <pt idx="327">
                  <v>10.31266893500291</v>
                </pt>
                <pt idx="328">
                  <v>10.40068050157295</v>
                </pt>
                <pt idx="329">
                  <v>10.48836247308374</v>
                </pt>
                <pt idx="330">
                  <v>10.57410582680584</v>
                </pt>
                <pt idx="331">
                  <v>10.66846987480961</v>
                </pt>
                <pt idx="332">
                  <v>10.76964154158943</v>
                </pt>
                <pt idx="333">
                  <v>10.86051441050612</v>
                </pt>
                <pt idx="334">
                  <v>10.95955625897263</v>
                </pt>
                <pt idx="335">
                  <v>11.06223434001725</v>
                </pt>
                <pt idx="336">
                  <v>11.15475811789622</v>
                </pt>
                <pt idx="337">
                  <v>11.25235851184753</v>
                </pt>
                <pt idx="338">
                  <v>11.35350454397348</v>
                </pt>
                <pt idx="339">
                  <v>11.44645216675625</v>
                </pt>
                <pt idx="340">
                  <v>11.54761377525227</v>
                </pt>
                <pt idx="341">
                  <v>11.63505807324198</v>
                </pt>
                <pt idx="342">
                  <v>11.7239141398398</v>
                </pt>
                <pt idx="343">
                  <v>11.78021061042794</v>
                </pt>
                <pt idx="344">
                  <v>11.83368852637561</v>
                </pt>
                <pt idx="345">
                  <v>11.87025518432964</v>
                </pt>
                <pt idx="346">
                  <v>11.88711934068406</v>
                </pt>
                <pt idx="347">
                  <v>11.89516703875157</v>
                </pt>
                <pt idx="348">
                  <v>11.88878997040186</v>
                </pt>
                <pt idx="349">
                  <v>11.88093794320732</v>
                </pt>
                <pt idx="350">
                  <v>11.85404996197998</v>
                </pt>
                <pt idx="351">
                  <v>11.82192093967971</v>
                </pt>
                <pt idx="352">
                  <v>11.78627657047153</v>
                </pt>
                <pt idx="353">
                  <v>11.73961845034259</v>
                </pt>
                <pt idx="354">
                  <v>11.6778998662899</v>
                </pt>
                <pt idx="355">
                  <v>11.62119680354865</v>
                </pt>
                <pt idx="356">
                  <v>11.5520266610086</v>
                </pt>
                <pt idx="357">
                  <v>11.48845325491588</v>
                </pt>
                <pt idx="358">
                  <v>11.40662171212179</v>
                </pt>
                <pt idx="359">
                  <v>11.33308534308641</v>
                </pt>
                <pt idx="360">
                  <v>11.25210272410235</v>
                </pt>
                <pt idx="361">
                  <v>11.1590075332576</v>
                </pt>
                <pt idx="362">
                  <v>11.07776731044933</v>
                </pt>
                <pt idx="363">
                  <v>10.98879673774093</v>
                </pt>
                <pt idx="364">
                  <v>10.89458910536361</v>
                </pt>
                <pt idx="365">
                  <v>10.79184732185487</v>
                </pt>
                <pt idx="366">
                  <v>10.70328424933909</v>
                </pt>
                <pt idx="367">
                  <v>10.60222562183678</v>
                </pt>
                <pt idx="368">
                  <v>10.50372417329432</v>
                </pt>
                <pt idx="369">
                  <v>10.40780130084786</v>
                </pt>
                <pt idx="370">
                  <v>10.32080520184729</v>
                </pt>
                <pt idx="371">
                  <v>10.2201304887934</v>
                </pt>
                <pt idx="372">
                  <v>10.13585203563232</v>
                </pt>
                <pt idx="373">
                  <v>10.04555109190884</v>
                </pt>
                <pt idx="374">
                  <v>9.960967840152087</v>
                </pt>
                <pt idx="375">
                  <v>9.87442147682291</v>
                </pt>
                <pt idx="376">
                  <v>9.797516257920655</v>
                </pt>
                <pt idx="377">
                  <v>9.721301405160061</v>
                </pt>
                <pt idx="378">
                  <v>9.643526959615649</v>
                </pt>
                <pt idx="379">
                  <v>9.581916618529222</v>
                </pt>
                <pt idx="380">
                  <v>9.517315730805816</v>
                </pt>
                <pt idx="381">
                  <v>9.446260568091242</v>
                </pt>
                <pt idx="382">
                  <v>9.387948040242295</v>
                </pt>
                <pt idx="383">
                  <v>9.330490932178332</v>
                </pt>
                <pt idx="384">
                  <v>9.282247118950414</v>
                </pt>
                <pt idx="385">
                  <v>9.235762224820387</v>
                </pt>
                <pt idx="386">
                  <v>9.194769409763341</v>
                </pt>
                <pt idx="387">
                  <v>9.144217592930472</v>
                </pt>
                <pt idx="388">
                  <v>9.114406888632665</v>
                </pt>
                <pt idx="389">
                  <v>9.077001644549194</v>
                </pt>
                <pt idx="390">
                  <v>9.047139391546869</v>
                </pt>
                <pt idx="391">
                  <v>9.021454446255568</v>
                </pt>
                <pt idx="392">
                  <v>8.99783354462074</v>
                </pt>
                <pt idx="393">
                  <v>8.978217213642369</v>
                </pt>
                <pt idx="394">
                  <v>8.964131891020605</v>
                </pt>
                <pt idx="395">
                  <v>8.942688002470575</v>
                </pt>
                <pt idx="396">
                  <v>8.932062682912699</v>
                </pt>
                <pt idx="397">
                  <v>8.923860222316314</v>
                </pt>
                <pt idx="398">
                  <v>8.922789899847189</v>
                </pt>
                <pt idx="399">
                  <v>8.916792089333009</v>
                </pt>
                <pt idx="400">
                  <v>8.913958726663598</v>
                </pt>
                <pt idx="401">
                  <v>8.915507981766831</v>
                </pt>
                <pt idx="402">
                  <v>8.916842078072214</v>
                </pt>
                <pt idx="403">
                  <v>8.924397548875863</v>
                </pt>
                <pt idx="404">
                  <v>8.92983905713303</v>
                </pt>
                <pt idx="405">
                  <v>8.938262497293358</v>
                </pt>
                <pt idx="406">
                  <v>8.945705767009803</v>
                </pt>
                <pt idx="407">
                  <v>8.958200413956821</v>
                </pt>
                <pt idx="408">
                  <v>8.973073612193827</v>
                </pt>
                <pt idx="409">
                  <v>8.989702423333586</v>
                </pt>
                <pt idx="410">
                  <v>9.006769864123028</v>
                </pt>
                <pt idx="411">
                  <v>9.014134623346417</v>
                </pt>
                <pt idx="412">
                  <v>9.038617603722637</v>
                </pt>
                <pt idx="413">
                  <v>9.05167663215</v>
                </pt>
                <pt idx="414">
                  <v>9.074584210541701</v>
                </pt>
                <pt idx="415">
                  <v>9.092369933866982</v>
                </pt>
                <pt idx="416">
                  <v>9.111075640914747</v>
                </pt>
                <pt idx="417">
                  <v>9.129845073709694</v>
                </pt>
                <pt idx="418">
                  <v>9.154166120373217</v>
                </pt>
                <pt idx="419">
                  <v>9.166939698431394</v>
                </pt>
                <pt idx="420">
                  <v>9.195879709253992</v>
                </pt>
                <pt idx="421">
                  <v>9.20994230760493</v>
                </pt>
                <pt idx="422">
                  <v>9.238093907301801</v>
                </pt>
                <pt idx="423">
                  <v>9.253103171766993</v>
                </pt>
                <pt idx="424">
                  <v>9.277848342731094</v>
                </pt>
                <pt idx="425">
                  <v>9.295117205310408</v>
                </pt>
                <pt idx="426">
                  <v>9.321490840362733</v>
                </pt>
                <pt idx="427">
                  <v>9.342617287613129</v>
                </pt>
                <pt idx="428">
                  <v>9.356723425294442</v>
                </pt>
                <pt idx="429">
                  <v>9.376598826930065</v>
                </pt>
                <pt idx="430">
                  <v>9.397071252902288</v>
                </pt>
                <pt idx="431">
                  <v>9.41764894160853</v>
                </pt>
                <pt idx="432">
                  <v>9.438768147825909</v>
                </pt>
                <pt idx="433">
                  <v>9.456324463117943</v>
                </pt>
                <pt idx="434">
                  <v>9.482672347101072</v>
                </pt>
                <pt idx="435">
                  <v>9.503009242355592</v>
                </pt>
                <pt idx="436">
                  <v>9.513389996605317</v>
                </pt>
                <pt idx="437">
                  <v>9.531113717130179</v>
                </pt>
                <pt idx="438">
                  <v>9.551381042588359</v>
                </pt>
                <pt idx="439">
                  <v>9.568837380401986</v>
                </pt>
                <pt idx="440">
                  <v>9.588210612905261</v>
                </pt>
                <pt idx="441">
                  <v>9.603449704498857</v>
                </pt>
                <pt idx="442">
                  <v>9.62045712154835</v>
                </pt>
                <pt idx="443">
                  <v>9.636644602202962</v>
                </pt>
                <pt idx="444">
                  <v>9.654637637933398</v>
                </pt>
                <pt idx="445">
                  <v>9.669048783757967</v>
                </pt>
                <pt idx="446">
                  <v>9.67680844703615</v>
                </pt>
                <pt idx="447">
                  <v>9.697620898880443</v>
                </pt>
                <pt idx="448">
                  <v>9.705292808289009</v>
                </pt>
                <pt idx="449">
                  <v>9.72655660233613</v>
                </pt>
                <pt idx="450">
                  <v>9.73316990065695</v>
                </pt>
                <pt idx="451">
                  <v>9.745050852593279</v>
                </pt>
                <pt idx="452">
                  <v>9.762634711750465</v>
                </pt>
                <pt idx="453">
                  <v>9.770406994449536</v>
                </pt>
                <pt idx="454">
                  <v>9.781739793201382</v>
                </pt>
                <pt idx="455">
                  <v>9.798229045653303</v>
                </pt>
                <pt idx="456">
                  <v>9.810481315900219</v>
                </pt>
                <pt idx="457">
                  <v>9.812998424706281</v>
                </pt>
                <pt idx="458">
                  <v>9.828757846222436</v>
                </pt>
                <pt idx="459">
                  <v>9.833345168697031</v>
                </pt>
                <pt idx="460">
                  <v>9.846307106745966</v>
                </pt>
                <pt idx="461">
                  <v>9.852082424297016</v>
                </pt>
                <pt idx="462">
                  <v>9.868104711609917</v>
                </pt>
                <pt idx="463">
                  <v>9.876902194199362</v>
                </pt>
                <pt idx="464">
                  <v>9.884155916488766</v>
                </pt>
                <pt idx="465">
                  <v>9.892401776717138</v>
                </pt>
                <pt idx="466">
                  <v>9.89596343364007</v>
                </pt>
                <pt idx="467">
                  <v>9.902437964897238</v>
                </pt>
                <pt idx="468">
                  <v>9.914515169783151</v>
                </pt>
                <pt idx="469">
                  <v>9.921543768123152</v>
                </pt>
                <pt idx="470">
                  <v>9.927742325218334</v>
                </pt>
                <pt idx="471">
                  <v>9.935342429656382</v>
                </pt>
                <pt idx="472">
                  <v>9.944757029866976</v>
                </pt>
                <pt idx="473">
                  <v>9.948526045761193</v>
                </pt>
                <pt idx="474">
                  <v>9.952532991290216</v>
                </pt>
                <pt idx="475">
                  <v>9.961329542557088</v>
                </pt>
                <pt idx="476">
                  <v>9.966247624244133</v>
                </pt>
                <pt idx="477">
                  <v>9.972584017080392</v>
                </pt>
                <pt idx="478">
                  <v>9.972993473050416</v>
                </pt>
                <pt idx="479">
                  <v>9.976439366577296</v>
                </pt>
                <pt idx="480">
                  <v>9.979039805470743</v>
                </pt>
                <pt idx="481">
                  <v>9.990415398494903</v>
                </pt>
                <pt idx="482">
                  <v>9.991907493675106</v>
                </pt>
                <pt idx="483">
                  <v>9.993166944476116</v>
                </pt>
                <pt idx="484">
                  <v>9.998627614695259</v>
                </pt>
                <pt idx="485">
                  <v>10.00239276560079</v>
                </pt>
                <pt idx="486">
                  <v>10.00983105274146</v>
                </pt>
                <pt idx="487">
                  <v>10.01088915160179</v>
                </pt>
                <pt idx="488">
                  <v>10.00894948607519</v>
                </pt>
                <pt idx="489">
                  <v>10.01524629770202</v>
                </pt>
                <pt idx="490">
                  <v>10.01401792979194</v>
                </pt>
                <pt idx="491">
                  <v>10.02632719698044</v>
                </pt>
                <pt idx="492">
                  <v>10.02666861983637</v>
                </pt>
                <pt idx="493">
                  <v>10.02788844286182</v>
                </pt>
                <pt idx="494">
                  <v>10.0307995244001</v>
                </pt>
                <pt idx="495">
                  <v>10.03321409459068</v>
                </pt>
                <pt idx="496">
                  <v>10.02941625426277</v>
                </pt>
                <pt idx="497">
                  <v>10.03279045923445</v>
                </pt>
                <pt idx="498">
                  <v>10.03148877295467</v>
                </pt>
                <pt idx="499">
                  <v>10.03591262503432</v>
                </pt>
                <pt idx="500">
                  <v>10.03872354282968</v>
                </pt>
                <pt idx="501">
                  <v>10.03921341850404</v>
                </pt>
                <pt idx="502">
                  <v>10.04607775482491</v>
                </pt>
                <pt idx="503">
                  <v>10.03836721881255</v>
                </pt>
                <pt idx="504">
                  <v>10.04331486999135</v>
                </pt>
                <pt idx="505">
                  <v>10.04415753065705</v>
                </pt>
                <pt idx="506">
                  <v>10.0490624108466</v>
                </pt>
                <pt idx="507">
                  <v>10.05081604468888</v>
                </pt>
                <pt idx="508">
                  <v>10.04463711521696</v>
                </pt>
                <pt idx="509">
                  <v>10.05174329272745</v>
                </pt>
                <pt idx="510">
                  <v>10.05223419285664</v>
                </pt>
                <pt idx="511">
                  <v>10.04690958886568</v>
                </pt>
                <pt idx="512">
                  <v>10.04688646878276</v>
                </pt>
                <pt idx="513">
                  <v>10.05297044991818</v>
                </pt>
                <pt idx="514">
                  <v>10.04787010840324</v>
                </pt>
                <pt idx="515">
                  <v>10.04723010352981</v>
                </pt>
                <pt idx="516">
                  <v>10.04759911681702</v>
                </pt>
                <pt idx="517">
                  <v>10.05017792574367</v>
                </pt>
                <pt idx="518">
                  <v>10.04512084416233</v>
                </pt>
                <pt idx="519">
                  <v>10.04511495354705</v>
                </pt>
                <pt idx="520">
                  <v>10.05189423683376</v>
                </pt>
                <pt idx="521">
                  <v>10.04601002439065</v>
                </pt>
                <pt idx="522">
                  <v>10.05231163232874</v>
                </pt>
                <pt idx="523">
                  <v>10.04878273467738</v>
                </pt>
                <pt idx="524">
                  <v>10.0511400285296</v>
                </pt>
                <pt idx="525">
                  <v>10.04232466454672</v>
                </pt>
                <pt idx="526">
                  <v>10.04428002285871</v>
                </pt>
                <pt idx="527">
                  <v>10.04222566495701</v>
                </pt>
                <pt idx="528">
                  <v>10.04216789967431</v>
                </pt>
                <pt idx="529">
                  <v>10.04139469238962</v>
                </pt>
                <pt idx="530">
                  <v>10.04752142123122</v>
                </pt>
                <pt idx="531">
                  <v>10.04636902596019</v>
                </pt>
                <pt idx="532">
                  <v>10.03779787803949</v>
                </pt>
                <pt idx="533">
                  <v>10.03901553573995</v>
                </pt>
                <pt idx="534">
                  <v>10.03875602270448</v>
                </pt>
                <pt idx="535">
                  <v>10.03832726507409</v>
                </pt>
                <pt idx="536">
                  <v>10.03409943311338</v>
                </pt>
                <pt idx="537">
                  <v>10.03909616499187</v>
                </pt>
                <pt idx="538">
                  <v>10.03762306879219</v>
                </pt>
                <pt idx="539">
                  <v>10.03760036780443</v>
                </pt>
                <pt idx="540">
                  <v>10.03270077287049</v>
                </pt>
                <pt idx="541">
                  <v>10.03743491834901</v>
                </pt>
                <pt idx="542">
                  <v>10.03417403205162</v>
                </pt>
                <pt idx="543">
                  <v>10.03499587765778</v>
                </pt>
                <pt idx="544">
                  <v>10.03747447627538</v>
                </pt>
                <pt idx="545">
                  <v>10.02710438566914</v>
                </pt>
                <pt idx="546">
                  <v>10.02812385792567</v>
                </pt>
                <pt idx="547">
                  <v>10.02649618546164</v>
                </pt>
                <pt idx="548">
                  <v>10.03156393068646</v>
                </pt>
                <pt idx="549">
                  <v>10.02798595233541</v>
                </pt>
                <pt idx="550">
                  <v>10.02684512874736</v>
                </pt>
                <pt idx="551">
                  <v>10.02997691045282</v>
                </pt>
                <pt idx="552">
                  <v>10.02686107764646</v>
                </pt>
                <pt idx="553">
                  <v>10.02051739721105</v>
                </pt>
                <pt idx="554">
                  <v>10.01976079075126</v>
                </pt>
                <pt idx="555">
                  <v>10.02533515217373</v>
                </pt>
                <pt idx="556">
                  <v>10.0241523026545</v>
                </pt>
                <pt idx="557">
                  <v>10.02261718037133</v>
                </pt>
                <pt idx="558">
                  <v>10.02473766217584</v>
                </pt>
                <pt idx="559">
                  <v>10.01705990871812</v>
                </pt>
                <pt idx="560">
                  <v>10.01915028552039</v>
                </pt>
                <pt idx="561">
                  <v>10.01776382560324</v>
                </pt>
                <pt idx="562">
                  <v>10.01468624687164</v>
                </pt>
                <pt idx="563">
                  <v>10.02022610279271</v>
                </pt>
                <pt idx="564">
                  <v>10.01979280496477</v>
                </pt>
                <pt idx="565">
                  <v>10.01608718885483</v>
                </pt>
                <pt idx="566">
                  <v>10.01477453625174</v>
                </pt>
                <pt idx="567">
                  <v>10.01162687549638</v>
                </pt>
                <pt idx="568">
                  <v>10.01222888240875</v>
                </pt>
                <pt idx="569">
                  <v>10.016691291243</v>
                </pt>
                <pt idx="570">
                  <v>10.01452030847187</v>
                </pt>
                <pt idx="571">
                  <v>10.01560723176589</v>
                </pt>
                <pt idx="572">
                  <v>10.01335457200495</v>
                </pt>
                <pt idx="573">
                  <v>10.01666793832944</v>
                </pt>
                <pt idx="574">
                  <v>10.01360747265015</v>
                </pt>
                <pt idx="575">
                  <v>10.01304202014884</v>
                </pt>
                <pt idx="576">
                  <v>10.01310949446939</v>
                </pt>
                <pt idx="577">
                  <v>10.01407832606092</v>
                </pt>
                <pt idx="578">
                  <v>10.01057820627712</v>
                </pt>
                <pt idx="579">
                  <v>10.01258020056705</v>
                </pt>
                <pt idx="580">
                  <v>10.00889777438922</v>
                </pt>
                <pt idx="581">
                  <v>10.00533122802277</v>
                </pt>
                <pt idx="582">
                  <v>10.00952190021275</v>
                </pt>
                <pt idx="583">
                  <v>10.00945198117044</v>
                </pt>
                <pt idx="584">
                  <v>10.0030937488198</v>
                </pt>
                <pt idx="585">
                  <v>10.00051980605361</v>
                </pt>
                <pt idx="586">
                  <v>10.00288273440741</v>
                </pt>
                <pt idx="587">
                  <v>10.00628939597083</v>
                </pt>
                <pt idx="588">
                  <v>10.0008477945814</v>
                </pt>
                <pt idx="589">
                  <v>10.00509273959442</v>
                </pt>
                <pt idx="590">
                  <v>10.00018664868553</v>
                </pt>
                <pt idx="591">
                  <v>9.998817930463426</v>
                </pt>
                <pt idx="592">
                  <v>9.998848827089846</v>
                </pt>
                <pt idx="593">
                  <v>10.00339961843644</v>
                </pt>
                <pt idx="594">
                  <v>9.998351593967143</v>
                </pt>
                <pt idx="595">
                  <v>10.00435308320549</v>
                </pt>
                <pt idx="596">
                  <v>9.999044358264433</v>
                </pt>
                <pt idx="597">
                  <v>9.998409056570011</v>
                </pt>
                <pt idx="598">
                  <v>9.999949394259589</v>
                </pt>
                <pt idx="599">
                  <v>9.995537602807287</v>
                </pt>
                <pt idx="600">
                  <v>9.99514453811458</v>
                </pt>
                <pt idx="601">
                  <v>10.00232922611812</v>
                </pt>
                <pt idx="602">
                  <v>9.998960236552861</v>
                </pt>
                <pt idx="603">
                  <v>9.999615957494736</v>
                </pt>
                <pt idx="604">
                  <v>10.00277842627903</v>
                </pt>
                <pt idx="605">
                  <v>9.995638791005042</v>
                </pt>
                <pt idx="606">
                  <v>10.00232533784637</v>
                </pt>
                <pt idx="607">
                  <v>9.999539519194405</v>
                </pt>
                <pt idx="608">
                  <v>10.00066092470676</v>
                </pt>
                <pt idx="609">
                  <v>9.999211786780322</v>
                </pt>
                <pt idx="610">
                  <v>10.00097140437015</v>
                </pt>
                <pt idx="611">
                  <v>9.995939282233813</v>
                </pt>
                <pt idx="612">
                  <v>9.996447993907251</v>
                </pt>
                <pt idx="613">
                  <v>10.00203483505222</v>
                </pt>
                <pt idx="614">
                  <v>10.00102083431581</v>
                </pt>
                <pt idx="615">
                  <v>9.997851636725908</v>
                </pt>
                <pt idx="616">
                  <v>10.00285488786242</v>
                </pt>
                <pt idx="617">
                  <v>10.00193779123992</v>
                </pt>
                <pt idx="618">
                  <v>9.995459907221482</v>
                </pt>
                <pt idx="619">
                  <v>10.00047121429827</v>
                </pt>
                <pt idx="620">
                  <v>10.00052802497533</v>
                </pt>
                <pt idx="621">
                  <v>9.935112812075557</v>
                </pt>
                <pt idx="622">
                  <v>9.75985066261139</v>
                </pt>
                <pt idx="623">
                  <v>9.494468455550836</v>
                </pt>
                <pt idx="624">
                  <v>9.182986828773979</v>
                </pt>
                <pt idx="625">
                  <v>8.88938866762663</v>
                </pt>
                <pt idx="626">
                  <v>8.599999269610271</v>
                </pt>
                <pt idx="627">
                  <v>8.314105870275318</v>
                </pt>
                <pt idx="628">
                  <v>8.044821118946379</v>
                </pt>
                <pt idx="629">
                  <v>7.784619230726878</v>
                </pt>
                <pt idx="630">
                  <v>7.522520447970024</v>
                </pt>
                <pt idx="631">
                  <v>7.273466653952716</v>
                </pt>
                <pt idx="632">
                  <v>7.027230529819437</v>
                </pt>
                <pt idx="633">
                  <v>6.782911300375805</v>
                </pt>
                <pt idx="634">
                  <v>6.550243265589289</v>
                </pt>
                <pt idx="635">
                  <v>6.310092123763192</v>
                </pt>
                <pt idx="636">
                  <v>6.083581062518894</v>
                </pt>
                <pt idx="637">
                  <v>5.850588787777952</v>
                </pt>
                <pt idx="638">
                  <v>5.627020752436254</v>
                </pt>
                <pt idx="639">
                  <v>5.402126024803642</v>
                </pt>
                <pt idx="640">
                  <v>5.17402649977571</v>
                </pt>
                <pt idx="641">
                  <v>4.959257367290384</v>
                </pt>
                <pt idx="642">
                  <v>4.736167170278767</v>
                </pt>
                <pt idx="643">
                  <v>4.512773455240013</v>
                </pt>
                <pt idx="644">
                  <v>4.296901008183347</v>
                </pt>
                <pt idx="645">
                  <v>4.090188793859023</v>
                </pt>
                <pt idx="646">
                  <v>3.885961371447416</v>
                </pt>
                <pt idx="647">
                  <v>3.693878278996301</v>
                </pt>
                <pt idx="648">
                  <v>3.509173380096716</v>
                </pt>
                <pt idx="649">
                  <v>3.332439065755447</v>
                </pt>
                <pt idx="650">
                  <v>3.170366981804922</v>
                </pt>
                <pt idx="651">
                  <v>3.019542201193874</v>
                </pt>
                <pt idx="652">
                  <v>2.865010384205964</v>
                </pt>
                <pt idx="653">
                  <v>2.724919818044854</v>
                </pt>
                <pt idx="654">
                  <v>2.585713030441132</v>
                </pt>
                <pt idx="655">
                  <v>2.458919073096225</v>
                </pt>
                <pt idx="656">
                  <v>2.333863918281594</v>
                </pt>
                <pt idx="657">
                  <v>2.219201997439191</v>
                </pt>
                <pt idx="658">
                  <v>2.106972854143701</v>
                </pt>
                <pt idx="659">
                  <v>1.999454712960742</v>
                </pt>
                <pt idx="660">
                  <v>1.902021281864033</v>
                </pt>
                <pt idx="661">
                  <v>1.797095546917314</v>
                </pt>
                <pt idx="662">
                  <v>1.707127131919173</v>
                </pt>
                <pt idx="663">
                  <v>1.626600232354039</v>
                </pt>
                <pt idx="664">
                  <v>1.537145371906726</v>
                </pt>
                <pt idx="665">
                  <v>1.467202045365051</v>
                </pt>
                <pt idx="666">
                  <v>1.387481065790048</v>
                </pt>
                <pt idx="667">
                  <v>1.321857166784317</v>
                </pt>
                <pt idx="668">
                  <v>1.258869073646811</v>
                </pt>
                <pt idx="669">
                  <v>1.195515506247877</v>
                </pt>
                <pt idx="670">
                  <v>1.146258018246446</v>
                </pt>
                <pt idx="671">
                  <v>1.092998986386926</v>
                </pt>
                <pt idx="672">
                  <v>1.041842159126383</v>
                </pt>
                <pt idx="673">
                  <v>0.9976860836608537</v>
                </pt>
                <pt idx="674">
                  <v>0.9601036321744564</v>
                </pt>
                <pt idx="675">
                  <v>0.9234359257210596</v>
                </pt>
                <pt idx="676">
                  <v>0.8871291766146033</v>
                </pt>
                <pt idx="677">
                  <v>0.845324644084397</v>
                </pt>
                <pt idx="678">
                  <v>0.8169847076798288</v>
                </pt>
                <pt idx="679">
                  <v>0.7820515429559284</v>
                </pt>
                <pt idx="680">
                  <v>0.758988340561974</v>
                </pt>
                <pt idx="681">
                  <v>0.7339618403310799</v>
                </pt>
                <pt idx="682">
                  <v>0.7078479278618116</v>
                </pt>
                <pt idx="683">
                  <v>0.6908120821907213</v>
                </pt>
                <pt idx="684">
                  <v>0.6620879985070992</v>
                </pt>
                <pt idx="685">
                  <v>0.6507428597311357</v>
                </pt>
                <pt idx="686">
                  <v>0.6320069778319465</v>
                </pt>
                <pt idx="687">
                  <v>0.609465246230705</v>
                </pt>
                <pt idx="688">
                  <v>0.5935027731101734</v>
                </pt>
                <pt idx="689">
                  <v>0.5808333634819913</v>
                </pt>
                <pt idx="690">
                  <v>0.5675126101280359</v>
                </pt>
                <pt idx="691">
                  <v>0.5586158718351777</v>
                </pt>
                <pt idx="692">
                  <v>0.5529782503268166</v>
                </pt>
                <pt idx="693">
                  <v>0.5450518570246761</v>
                </pt>
                <pt idx="694">
                  <v>0.5311070011302612</v>
                </pt>
                <pt idx="695">
                  <v>0.5232869415831023</v>
                </pt>
                <pt idx="696">
                  <v>0.5190388999225196</v>
                </pt>
                <pt idx="697">
                  <v>0.5165486830558043</v>
                </pt>
                <pt idx="698">
                  <v>0.5059954711482849</v>
                </pt>
                <pt idx="699">
                  <v>0.5027109758236239</v>
                </pt>
                <pt idx="700">
                  <v>0.5005399232033035</v>
                </pt>
                <pt idx="701">
                  <v>0.4987741356014214</v>
                </pt>
                <pt idx="702">
                  <v>0.4961540690847099</v>
                </pt>
                <pt idx="703">
                  <v>0.4930318101525846</v>
                </pt>
                <pt idx="704">
                  <v>0.4935635720597495</v>
                </pt>
                <pt idx="705">
                  <v>0.4918607185808618</v>
                </pt>
                <pt idx="706">
                  <v>0.4888896831518248</v>
                </pt>
                <pt idx="707">
                  <v>0.4906257615635697</v>
                </pt>
                <pt idx="708">
                  <v>0.4907667870844637</v>
                </pt>
                <pt idx="709">
                  <v>0.4914974096444196</v>
                </pt>
                <pt idx="710">
                  <v>0.4892454716584751</v>
                </pt>
                <pt idx="711">
                  <v>0.4903565394902501</v>
                </pt>
                <pt idx="712">
                  <v>0.4967183574328009</v>
                </pt>
                <pt idx="713">
                  <v>0.5045661471096254</v>
                </pt>
                <pt idx="714">
                  <v>0.5077915965830422</v>
                </pt>
                <pt idx="715">
                  <v>0.5044881488439832</v>
                </pt>
                <pt idx="716">
                  <v>0.5053523463442345</v>
                </pt>
                <pt idx="717">
                  <v>0.5129206926824806</v>
                </pt>
                <pt idx="718">
                  <v>0.5182539579733866</v>
                </pt>
                <pt idx="719">
                  <v>0.5198935048002502</v>
                </pt>
                <pt idx="720">
                  <v>0.5241031992538141</v>
                </pt>
                <pt idx="721">
                  <v>0.5321370904641546</v>
                </pt>
                <pt idx="722">
                  <v>0.5387861050057192</v>
                </pt>
                <pt idx="723">
                  <v>0.5461760332216918</v>
                </pt>
                <pt idx="724">
                  <v>0.5505657756120352</v>
                </pt>
                <pt idx="725">
                  <v>0.5563160405858225</v>
                </pt>
                <pt idx="726">
                  <v>0.5659651943868876</v>
                </pt>
                <pt idx="727">
                  <v>0.5708377809661529</v>
                </pt>
                <pt idx="728">
                  <v>0.5768557778971399</v>
                </pt>
                <pt idx="729">
                  <v>0.5822154461830426</v>
                </pt>
                <pt idx="730">
                  <v>0.5914482522270289</v>
                </pt>
                <pt idx="731">
                  <v>0.6053326652863372</v>
                </pt>
                <pt idx="732">
                  <v>0.6047442789666225</v>
                </pt>
                <pt idx="733">
                  <v>0.6138618804081022</v>
                </pt>
                <pt idx="734">
                  <v>0.6214921596975745</v>
                </pt>
                <pt idx="735">
                  <v>0.6381844171877449</v>
                </pt>
                <pt idx="736">
                  <v>0.6400031737610705</v>
                </pt>
                <pt idx="737">
                  <v>0.645738514290596</v>
                </pt>
                <pt idx="738">
                  <v>0.6579553709966027</v>
                </pt>
                <pt idx="739">
                  <v>0.6665183465617054</v>
                </pt>
                <pt idx="740">
                  <v>0.6741705119316863</v>
                </pt>
                <pt idx="741">
                  <v>0.6783982274770732</v>
                </pt>
                <pt idx="742">
                  <v>0.6871443010603879</v>
                </pt>
                <pt idx="743">
                  <v>0.7045498119444935</v>
                </pt>
                <pt idx="744">
                  <v>0.7037985605895051</v>
                </pt>
                <pt idx="745">
                  <v>0.7161770017622451</v>
                </pt>
                <pt idx="746">
                  <v>0.7215802792277141</v>
                </pt>
                <pt idx="747">
                  <v>0.735077751040244</v>
                </pt>
                <pt idx="748">
                  <v>0.7464889671528919</v>
                </pt>
                <pt idx="749">
                  <v>0.7465333912397114</v>
                </pt>
                <pt idx="750">
                  <v>0.7631911897946129</v>
                </pt>
                <pt idx="751">
                  <v>0.7642095677471276</v>
                </pt>
                <pt idx="752">
                  <v>0.7706897567889397</v>
                </pt>
                <pt idx="753">
                  <v>0.7863585140524336</v>
                </pt>
                <pt idx="754">
                  <v>0.7936300246030161</v>
                </pt>
                <pt idx="755">
                  <v>0.7979545744131215</v>
                </pt>
                <pt idx="756">
                  <v>0.8103628411913205</v>
                </pt>
                <pt idx="757">
                  <v>0.816190173108175</v>
                </pt>
                <pt idx="758">
                  <v>0.8248350584937342</v>
                </pt>
                <pt idx="759">
                  <v>0.8314009757785595</v>
                </pt>
                <pt idx="760">
                  <v>0.8361743299374762</v>
                </pt>
                <pt idx="761">
                  <v>0.840131589407132</v>
                </pt>
                <pt idx="762">
                  <v>0.8444562556325589</v>
                </pt>
                <pt idx="763">
                  <v>0.8589393228429695</v>
                </pt>
                <pt idx="764">
                  <v>0.8631563514618101</v>
                </pt>
                <pt idx="765">
                  <v>0.8704270238220754</v>
                </pt>
                <pt idx="766">
                  <v>0.8731660435146573</v>
                </pt>
                <pt idx="767">
                  <v>0.882679480333505</v>
                </pt>
                <pt idx="768">
                  <v>0.8889517283274214</v>
                </pt>
                <pt idx="769">
                  <v>0.8983654670646334</v>
                </pt>
                <pt idx="770">
                  <v>0.8955993226020595</v>
                </pt>
                <pt idx="771">
                  <v>0.9077911034477389</v>
                </pt>
                <pt idx="772">
                  <v>0.9118098534903977</v>
                </pt>
                <pt idx="773">
                  <v>0.9172842607175196</v>
                </pt>
                <pt idx="774">
                  <v>0.9235167179544262</v>
                </pt>
                <pt idx="775">
                  <v>0.9256960360625982</v>
                </pt>
                <pt idx="776">
                  <v>0.9313326563991916</v>
                </pt>
                <pt idx="777">
                  <v>0.9344456719547617</v>
                </pt>
                <pt idx="778">
                  <v>0.9401605699537695</v>
                </pt>
                <pt idx="779">
                  <v>0.9439161515198453</v>
                </pt>
                <pt idx="780">
                  <v>0.9467850674285518</v>
                </pt>
                <pt idx="781">
                  <v>0.953166117182273</v>
                </pt>
                <pt idx="782">
                  <v>0.9526167532784439</v>
                </pt>
                <pt idx="783">
                  <v>0.9629799753806974</v>
                </pt>
                <pt idx="784">
                  <v>0.9648130743216753</v>
                </pt>
                <pt idx="785">
                  <v>0.9675297888385901</v>
                </pt>
                <pt idx="786">
                  <v>0.9721295910356867</v>
                </pt>
                <pt idx="787">
                  <v>0.9789999343871604</v>
                </pt>
                <pt idx="788">
                  <v>0.9801500479178852</v>
                </pt>
                <pt idx="789">
                  <v>0.9778604844999175</v>
                </pt>
                <pt idx="790">
                  <v>0.9823115544818135</v>
                </pt>
                <pt idx="791">
                  <v>0.9872847937483538</v>
                </pt>
                <pt idx="792">
                  <v>0.9904165754538069</v>
                </pt>
                <pt idx="793">
                  <v>0.987808848961212</v>
                </pt>
                <pt idx="794">
                  <v>0.9980039673387082</v>
                </pt>
                <pt idx="795">
                  <v>0.9992109381126265</v>
                </pt>
                <pt idx="796">
                  <v>0.9957047647320909</v>
                </pt>
                <pt idx="797">
                  <v>0.9988252774343885</v>
                </pt>
                <pt idx="798">
                  <v>0.9971600726705884</v>
                </pt>
                <pt idx="799">
                  <v>1.002197573194792</v>
                </pt>
                <pt idx="800">
                  <v>1.003326010192587</v>
                </pt>
                <pt idx="801">
                  <v>1.003749692114943</v>
                </pt>
                <pt idx="802">
                  <v>1.005896250951545</v>
                </pt>
                <pt idx="803">
                  <v>1.013524364916031</v>
                </pt>
                <pt idx="804">
                  <v>1.009016973201422</v>
                </pt>
                <pt idx="805">
                  <v>1.008116407554624</v>
                </pt>
                <pt idx="806">
                  <v>1.015154179421988</v>
                </pt>
                <pt idx="807">
                  <v>1.014315849406253</v>
                </pt>
                <pt idx="808">
                  <v>1.016067737018705</v>
                </pt>
                <pt idx="809">
                  <v>1.021466055191463</v>
                </pt>
                <pt idx="810">
                  <v>1.018827222524869</v>
                </pt>
                <pt idx="811">
                  <v>1.016550674339884</v>
                </pt>
                <pt idx="812">
                  <v>1.019378309375462</v>
                </pt>
                <pt idx="813">
                  <v>1.019036025046147</v>
                </pt>
                <pt idx="814">
                  <v>1.02341133193658</v>
                </pt>
                <pt idx="815">
                  <v>1.017375826141186</v>
                </pt>
                <pt idx="816">
                  <v>1.019397028959216</v>
                </pt>
                <pt idx="817">
                  <v>1.027032477088979</v>
                </pt>
                <pt idx="818">
                  <v>1.025445596553722</v>
                </pt>
                <pt idx="819">
                  <v>1.026413147576715</v>
                </pt>
                <pt idx="820">
                  <v>1.023169653728411</v>
                </pt>
                <pt idx="821">
                  <v>1.021741517126034</v>
                </pt>
                <pt idx="822">
                  <v>1.026565023005606</v>
                </pt>
                <pt idx="823">
                  <v>1.028781151638548</v>
                </pt>
                <pt idx="824">
                  <v>1.021465333416468</v>
                </pt>
                <pt idx="825">
                  <v>1.02231286024263</v>
                </pt>
                <pt idx="826">
                  <v>1.024337182991285</v>
                </pt>
                <pt idx="827">
                  <v>1.022175816125743</v>
                </pt>
                <pt idx="828">
                  <v>1.022348064235958</v>
                </pt>
                <pt idx="829">
                  <v>1.02267882344841</v>
                </pt>
                <pt idx="830">
                  <v>1.022591977618307</v>
                </pt>
                <pt idx="831">
                  <v>1.027358533122427</v>
                </pt>
                <pt idx="832">
                  <v>1.023405534453552</v>
                </pt>
                <pt idx="833">
                  <v>1.024952833779378</v>
                </pt>
                <pt idx="834">
                  <v>1.021904521859694</v>
                </pt>
                <pt idx="835">
                  <v>1.025523501687106</v>
                </pt>
                <pt idx="836">
                  <v>1.02602329594689</v>
                </pt>
                <pt idx="837">
                  <v>1.022340706787617</v>
                </pt>
                <pt idx="838">
                  <v>1.024980214663078</v>
                </pt>
                <pt idx="839">
                  <v>1.020945934816484</v>
                </pt>
                <pt idx="840">
                  <v>1.025010459363696</v>
                </pt>
                <pt idx="841">
                  <v>1.028895774164446</v>
                </pt>
                <pt idx="842">
                  <v>1.023595640674139</v>
                </pt>
                <pt idx="843">
                  <v>1.02074109041615</v>
                </pt>
                <pt idx="844">
                  <v>1.026063855045024</v>
                </pt>
                <pt idx="845">
                  <v>1.017389795979808</v>
                </pt>
                <pt idx="846">
                  <v>1.017087744785726</v>
                </pt>
                <pt idx="847">
                  <v>1.018496230481774</v>
                </pt>
                <pt idx="848">
                  <v>1.020889100856355</v>
                </pt>
                <pt idx="849">
                  <v>1.020541112176269</v>
                </pt>
                <pt idx="850">
                  <v>1.023426605626807</v>
                </pt>
                <pt idx="851">
                  <v>1.024063956230894</v>
                </pt>
                <pt idx="852">
                  <v>1.016003079948947</v>
                </pt>
                <pt idx="853">
                  <v>1.017245883358932</v>
                </pt>
                <pt idx="854">
                  <v>1.01827525091783</v>
                </pt>
                <pt idx="855">
                  <v>1.0233756389989</v>
                </pt>
                <pt idx="856">
                  <v>1.021702098898055</v>
                </pt>
                <pt idx="857">
                  <v>1.013182127152845</v>
                </pt>
                <pt idx="858">
                  <v>1.012989902173399</v>
                </pt>
                <pt idx="859">
                  <v>1.01512302668186</v>
                </pt>
                <pt idx="860">
                  <v>1.014856086348848</v>
                </pt>
                <pt idx="861">
                  <v>1.019252953356889</v>
                </pt>
                <pt idx="862">
                  <v>1.018587523377172</v>
                </pt>
                <pt idx="863">
                  <v>1.01485897344883</v>
                </pt>
                <pt idx="864">
                  <v>1.015212130969207</v>
                </pt>
                <pt idx="865">
                  <v>1.012852369112161</v>
                </pt>
                <pt idx="866">
                  <v>1.013638312233062</v>
                </pt>
                <pt idx="867">
                  <v>1.018723123944067</v>
                </pt>
                <pt idx="868">
                  <v>1.017971500060049</v>
                </pt>
                <pt idx="869">
                  <v>1.009416859831991</v>
                </pt>
                <pt idx="870">
                  <v>1.01257876982274</v>
                </pt>
                <pt idx="871">
                  <v>1.013377029684693</v>
                </pt>
                <pt idx="872">
                  <v>1.007548952709778</v>
                </pt>
                <pt idx="873">
                  <v>1.008836226772712</v>
                </pt>
                <pt idx="874">
                  <v>1.010298333366005</v>
                </pt>
                <pt idx="875">
                  <v>1.012369338658724</v>
                </pt>
                <pt idx="876">
                  <v>1.011198689465225</v>
                </pt>
                <pt idx="877">
                  <v>1.008286699887432</v>
                </pt>
                <pt idx="878">
                  <v>1.009259908695067</v>
                </pt>
                <pt idx="879">
                  <v>1.013302942973865</v>
                </pt>
                <pt idx="880">
                  <v>1.006049057703011</v>
                </pt>
                <pt idx="881">
                  <v>1.010091859151165</v>
                </pt>
                <pt idx="882">
                  <v>1.012151874837501</v>
                </pt>
                <pt idx="883">
                  <v>1.004690281349395</v>
                </pt>
                <pt idx="884">
                  <v>1.010293956149904</v>
                </pt>
                <pt idx="885">
                  <v>1.003639237257568</v>
                </pt>
                <pt idx="886">
                  <v>1.00299953506398</v>
                </pt>
                <pt idx="887">
                  <v>1.002768706763808</v>
                </pt>
                <pt idx="888">
                  <v>1.003106590593957</v>
                </pt>
                <pt idx="889">
                  <v>1.009524427589384</v>
                </pt>
                <pt idx="890">
                  <v>1.003299630480655</v>
                </pt>
                <pt idx="891">
                  <v>1.006018417190299</v>
                </pt>
                <pt idx="892">
                  <v>1.003056671703946</v>
                </pt>
                <pt idx="893">
                  <v>1.000352227361955</v>
                </pt>
                <pt idx="894">
                  <v>1.001196960220392</v>
                </pt>
                <pt idx="895">
                  <v>1.004246529425552</v>
                </pt>
                <pt idx="896">
                  <v>1.006467780332656</v>
                </pt>
                <pt idx="897">
                  <v>1.002689637477205</v>
                </pt>
                <pt idx="898">
                  <v>1.005775435130525</v>
                </pt>
                <pt idx="899">
                  <v>1.001437474275343</v>
                </pt>
                <pt idx="900">
                  <v>1.004339335720134</v>
                </pt>
                <pt idx="901">
                  <v>1.005615736592006</v>
                </pt>
                <pt idx="902">
                  <v>1.001381851034561</v>
                </pt>
                <pt idx="903">
                  <v>1.006794651273357</v>
                </pt>
                <pt idx="904">
                  <v>0.9982255056961965</v>
                </pt>
                <pt idx="905">
                  <v>1.002770150313799</v>
                </pt>
                <pt idx="906">
                  <v>1.003349619219859</v>
                </pt>
                <pt idx="907">
                  <v>1.003201445798204</v>
                </pt>
                <pt idx="908">
                  <v>0.9961721489662706</v>
                </pt>
                <pt idx="909">
                  <v>0.9978431279300346</v>
                </pt>
                <pt idx="910">
                  <v>1.002309518168287</v>
                </pt>
                <pt idx="911">
                  <v>0.9963697523335856</v>
                </pt>
                <pt idx="912">
                  <v>1.002696436132001</v>
                </pt>
                <pt idx="913">
                  <v>1.004978153157276</v>
                </pt>
                <pt idx="914">
                  <v>0.9983841564968192</v>
                </pt>
                <pt idx="915">
                  <v>0.9984292557925054</v>
                </pt>
                <pt idx="916">
                  <v>0.9999580683652214</v>
                </pt>
                <pt idx="917">
                  <v>1.002747426042973</v>
                </pt>
                <pt idx="918">
                  <v>0.9958923330986622</v>
                </pt>
                <pt idx="919">
                  <v>1.003311830806386</v>
                </pt>
                <pt idx="920">
                  <v>0.999649986857467</v>
                </pt>
                <pt idx="921">
                  <v>0.99689783551658</v>
                </pt>
                <pt idx="922">
                  <v>1.003515417921244</v>
                </pt>
                <pt idx="923">
                  <v>1.004650257761742</v>
                </pt>
                <pt idx="924">
                  <v>1.004143269035067</v>
                </pt>
                <pt idx="925">
                  <v>1.001223945291998</v>
                </pt>
                <pt idx="926">
                  <v>0.9996295443269493</v>
                </pt>
                <pt idx="927">
                  <v>1.002811198356284</v>
                </pt>
                <pt idx="928">
                  <v>0.9939142272327827</v>
                </pt>
                <pt idx="929">
                  <v>0.9960898666167841</v>
                </pt>
                <pt idx="930">
                  <v>1.003645290854304</v>
                </pt>
                <pt idx="931">
                  <v>1.002091099741424</v>
                </pt>
                <pt idx="932">
                  <v>0.9969130859237427</v>
                </pt>
                <pt idx="933">
                  <v>0.9950574722595182</v>
                </pt>
                <pt idx="934">
                  <v>0.9954102572508646</v>
                </pt>
                <pt idx="935">
                  <v>0.998279848368438</v>
                </pt>
                <pt idx="936">
                  <v>0.9976217758370614</v>
                </pt>
                <pt idx="937">
                  <v>1.001665112795696</v>
                </pt>
                <pt idx="938">
                  <v>0.9988724023566751</v>
                </pt>
                <pt idx="939">
                  <v>0.9957989680105352</v>
                </pt>
                <pt idx="940">
                  <v>0.9946554435870274</v>
                </pt>
                <pt idx="941">
                  <v>1.003481424647263</v>
                </pt>
                <pt idx="942">
                  <v>0.9954861833237778</v>
                </pt>
                <pt idx="943">
                  <v>1.002377411583992</v>
                </pt>
                <pt idx="944">
                  <v>0.994477095313947</v>
                </pt>
                <pt idx="945">
                  <v>0.9963043734888324</v>
                </pt>
                <pt idx="946">
                  <v>1.002769032726709</v>
                </pt>
                <pt idx="947">
                  <v>1.001410302939222</v>
                </pt>
                <pt idx="948">
                  <v>0.9988859763832032</v>
                </pt>
                <pt idx="949">
                  <v>1.003079372691708</v>
                </pt>
                <pt idx="950">
                  <v>1.002504816512229</v>
                </pt>
                <pt idx="951">
                  <v>1.001452235738153</v>
                </pt>
                <pt idx="952">
                  <v>0.9999825388658752</v>
                </pt>
                <pt idx="953">
                  <v>0.993573176905879</v>
                </pt>
                <pt idx="954">
                  <v>0.9949943751550733</v>
                </pt>
                <pt idx="955">
                  <v>0.9985483719498265</v>
                </pt>
                <pt idx="956">
                  <v>0.9981959362044456</v>
                </pt>
                <pt idx="957">
                  <v>0.9963893101076571</v>
                </pt>
                <pt idx="958">
                  <v>0.9998342955950262</v>
                </pt>
                <pt idx="959">
                  <v>1.002881955588907</v>
                </pt>
                <pt idx="960">
                  <v>1.002128189662967</v>
                </pt>
                <pt idx="961">
                  <v>0.9963994615237228</v>
                </pt>
                <pt idx="962">
                  <v>0.995196611852198</v>
                </pt>
                <pt idx="963">
                  <v>0.9946742795861033</v>
                </pt>
                <pt idx="964">
                  <v>0.9982205231204211</v>
                </pt>
                <pt idx="965">
                  <v>1.000475906999893</v>
                </pt>
                <pt idx="966">
                  <v>1.000154228182546</v>
                </pt>
                <pt idx="967">
                  <v>1.003937423462965</v>
                </pt>
                <pt idx="968">
                  <v>1.001138985390109</v>
                </pt>
                <pt idx="969">
                  <v>1.002966705943217</v>
                </pt>
                <pt idx="970">
                  <v>1.002743700752674</v>
                </pt>
                <pt idx="971">
                  <v>0.9947590299404131</v>
                </pt>
                <pt idx="972">
                  <v>0.9988275824577613</v>
                </pt>
                <pt idx="973">
                  <v>0.9950117210380295</v>
                </pt>
                <pt idx="974">
                  <v>1.001631794730581</v>
                </pt>
                <pt idx="975">
                  <v>0.9977632437361784</v>
                </pt>
                <pt idx="976">
                  <v>1.002299809130444</v>
                </pt>
                <pt idx="977">
                  <v>1.004146994325366</v>
                </pt>
                <pt idx="978">
                  <v>1.002911012853242</v>
                </pt>
                <pt idx="979">
                  <v>0.9960583180645617</v>
                </pt>
                <pt idx="980">
                  <v>1.00449342304014</v>
                </pt>
                <pt idx="981">
                  <v>1.00125863705791</v>
                </pt>
                <pt idx="982">
                  <v>0.9963102873871825</v>
                </pt>
                <pt idx="983">
                  <v>0.9972288508427397</v>
                </pt>
                <pt idx="984">
                  <v>0.9971178139087553</v>
                </pt>
                <pt idx="985">
                  <v>1.001817290904423</v>
                </pt>
                <pt idx="986">
                  <v>0.9957762670227737</v>
                </pt>
                <pt idx="987">
                  <v>0.999238714808421</v>
                </pt>
                <pt idx="988">
                  <v>1.005067909370425</v>
                </pt>
                <pt idx="989">
                  <v>0.9976769566996202</v>
                </pt>
                <pt idx="990">
                  <v>0.996504584559357</v>
                </pt>
                <pt idx="991">
                  <v>0.9956581520372206</v>
                </pt>
                <pt idx="992">
                  <v>0.9975625437213022</v>
                </pt>
                <pt idx="993">
                  <v>0.9998322001192328</v>
                </pt>
                <pt idx="994">
                  <v>0.9957099568554456</v>
                </pt>
                <pt idx="995">
                  <v>1.000164379598611</v>
                </pt>
                <pt idx="996">
                  <v>1.001729723299325</v>
                </pt>
                <pt idx="997">
                  <v>1.001127064461151</v>
                </pt>
                <pt idx="998">
                  <v>0.9988361273423852</v>
                </pt>
                <pt idx="999">
                  <v>1.002622070024401</v>
                </pt>
                <pt idx="1000">
                  <v>1.000930299284153</v>
                </pt>
              </numCache>
            </numRef>
          </val>
          <smooth val="0"/>
        </ser>
        <ser>
          <idx val="1"/>
          <order val="1"/>
          <tx>
            <strRef>
              <f>Лист3!$M$1</f>
              <strCache>
                <ptCount val="1"/>
                <pt idx="0">
                  <v>g(nT0)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Лист3!$M$2:$M$1002</f>
              <numCache>
                <formatCode>0.000</formatCode>
                <ptCount val="100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1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10</v>
                </pt>
                <pt idx="41">
                  <v>10</v>
                </pt>
                <pt idx="42">
                  <v>10</v>
                </pt>
                <pt idx="43">
                  <v>10</v>
                </pt>
                <pt idx="44">
                  <v>10</v>
                </pt>
                <pt idx="45">
                  <v>10</v>
                </pt>
                <pt idx="46">
                  <v>10</v>
                </pt>
                <pt idx="47">
                  <v>10</v>
                </pt>
                <pt idx="48">
                  <v>10</v>
                </pt>
                <pt idx="49">
                  <v>10</v>
                </pt>
                <pt idx="50">
                  <v>10</v>
                </pt>
                <pt idx="51">
                  <v>10</v>
                </pt>
                <pt idx="52">
                  <v>10</v>
                </pt>
                <pt idx="53">
                  <v>10</v>
                </pt>
                <pt idx="54">
                  <v>10</v>
                </pt>
                <pt idx="55">
                  <v>10</v>
                </pt>
                <pt idx="56">
                  <v>10</v>
                </pt>
                <pt idx="57">
                  <v>10</v>
                </pt>
                <pt idx="58">
                  <v>10</v>
                </pt>
                <pt idx="59">
                  <v>10</v>
                </pt>
                <pt idx="60">
                  <v>10</v>
                </pt>
                <pt idx="61">
                  <v>10</v>
                </pt>
                <pt idx="62">
                  <v>10</v>
                </pt>
                <pt idx="63">
                  <v>10</v>
                </pt>
                <pt idx="64">
                  <v>10</v>
                </pt>
                <pt idx="65">
                  <v>10</v>
                </pt>
                <pt idx="66">
                  <v>10</v>
                </pt>
                <pt idx="67">
                  <v>10</v>
                </pt>
                <pt idx="68">
                  <v>10</v>
                </pt>
                <pt idx="69">
                  <v>10</v>
                </pt>
                <pt idx="70">
                  <v>10</v>
                </pt>
                <pt idx="71">
                  <v>10</v>
                </pt>
                <pt idx="72">
                  <v>10</v>
                </pt>
                <pt idx="73">
                  <v>10</v>
                </pt>
                <pt idx="74">
                  <v>10</v>
                </pt>
                <pt idx="75">
                  <v>10</v>
                </pt>
                <pt idx="76">
                  <v>10</v>
                </pt>
                <pt idx="77">
                  <v>10</v>
                </pt>
                <pt idx="78">
                  <v>10</v>
                </pt>
                <pt idx="79">
                  <v>10</v>
                </pt>
                <pt idx="80">
                  <v>10</v>
                </pt>
                <pt idx="81">
                  <v>10</v>
                </pt>
                <pt idx="82">
                  <v>10</v>
                </pt>
                <pt idx="83">
                  <v>10</v>
                </pt>
                <pt idx="84">
                  <v>10</v>
                </pt>
                <pt idx="85">
                  <v>10</v>
                </pt>
                <pt idx="86">
                  <v>10</v>
                </pt>
                <pt idx="87">
                  <v>10</v>
                </pt>
                <pt idx="88">
                  <v>10</v>
                </pt>
                <pt idx="89">
                  <v>10</v>
                </pt>
                <pt idx="90">
                  <v>10</v>
                </pt>
                <pt idx="91">
                  <v>10</v>
                </pt>
                <pt idx="92">
                  <v>10</v>
                </pt>
                <pt idx="93">
                  <v>10</v>
                </pt>
                <pt idx="94">
                  <v>10</v>
                </pt>
                <pt idx="95">
                  <v>10</v>
                </pt>
                <pt idx="96">
                  <v>10</v>
                </pt>
                <pt idx="97">
                  <v>10</v>
                </pt>
                <pt idx="98">
                  <v>10</v>
                </pt>
                <pt idx="99">
                  <v>10</v>
                </pt>
                <pt idx="100">
                  <v>10</v>
                </pt>
                <pt idx="101">
                  <v>10</v>
                </pt>
                <pt idx="102">
                  <v>10</v>
                </pt>
                <pt idx="103">
                  <v>10</v>
                </pt>
                <pt idx="104">
                  <v>10</v>
                </pt>
                <pt idx="105">
                  <v>10</v>
                </pt>
                <pt idx="106">
                  <v>10</v>
                </pt>
                <pt idx="107">
                  <v>10</v>
                </pt>
                <pt idx="108">
                  <v>10</v>
                </pt>
                <pt idx="109">
                  <v>10</v>
                </pt>
                <pt idx="110">
                  <v>10</v>
                </pt>
                <pt idx="111">
                  <v>10</v>
                </pt>
                <pt idx="112">
                  <v>10</v>
                </pt>
                <pt idx="113">
                  <v>10</v>
                </pt>
                <pt idx="114">
                  <v>10</v>
                </pt>
                <pt idx="115">
                  <v>10</v>
                </pt>
                <pt idx="116">
                  <v>10</v>
                </pt>
                <pt idx="117">
                  <v>10</v>
                </pt>
                <pt idx="118">
                  <v>10</v>
                </pt>
                <pt idx="119">
                  <v>10</v>
                </pt>
                <pt idx="120">
                  <v>10</v>
                </pt>
                <pt idx="121">
                  <v>10</v>
                </pt>
                <pt idx="122">
                  <v>10</v>
                </pt>
                <pt idx="123">
                  <v>10</v>
                </pt>
                <pt idx="124">
                  <v>10</v>
                </pt>
                <pt idx="125">
                  <v>10</v>
                </pt>
                <pt idx="126">
                  <v>10</v>
                </pt>
                <pt idx="127">
                  <v>10</v>
                </pt>
                <pt idx="128">
                  <v>10</v>
                </pt>
                <pt idx="129">
                  <v>10</v>
                </pt>
                <pt idx="130">
                  <v>10</v>
                </pt>
                <pt idx="131">
                  <v>10</v>
                </pt>
                <pt idx="132">
                  <v>10</v>
                </pt>
                <pt idx="133">
                  <v>10</v>
                </pt>
                <pt idx="134">
                  <v>10</v>
                </pt>
                <pt idx="135">
                  <v>10</v>
                </pt>
                <pt idx="136">
                  <v>10</v>
                </pt>
                <pt idx="137">
                  <v>10</v>
                </pt>
                <pt idx="138">
                  <v>10</v>
                </pt>
                <pt idx="139">
                  <v>10</v>
                </pt>
                <pt idx="140">
                  <v>10</v>
                </pt>
                <pt idx="141">
                  <v>10</v>
                </pt>
                <pt idx="142">
                  <v>10</v>
                </pt>
                <pt idx="143">
                  <v>10</v>
                </pt>
                <pt idx="144">
                  <v>10</v>
                </pt>
                <pt idx="145">
                  <v>10</v>
                </pt>
                <pt idx="146">
                  <v>10</v>
                </pt>
                <pt idx="147">
                  <v>10</v>
                </pt>
                <pt idx="148">
                  <v>10</v>
                </pt>
                <pt idx="149">
                  <v>10</v>
                </pt>
                <pt idx="150">
                  <v>10</v>
                </pt>
                <pt idx="151">
                  <v>10</v>
                </pt>
                <pt idx="152">
                  <v>10</v>
                </pt>
                <pt idx="153">
                  <v>10</v>
                </pt>
                <pt idx="154">
                  <v>10</v>
                </pt>
                <pt idx="155">
                  <v>10</v>
                </pt>
                <pt idx="156">
                  <v>10</v>
                </pt>
                <pt idx="157">
                  <v>10</v>
                </pt>
                <pt idx="158">
                  <v>10</v>
                </pt>
                <pt idx="159">
                  <v>10</v>
                </pt>
                <pt idx="160">
                  <v>10</v>
                </pt>
                <pt idx="161">
                  <v>10</v>
                </pt>
                <pt idx="162">
                  <v>10</v>
                </pt>
                <pt idx="163">
                  <v>10</v>
                </pt>
                <pt idx="164">
                  <v>10</v>
                </pt>
                <pt idx="165">
                  <v>10</v>
                </pt>
                <pt idx="166">
                  <v>10</v>
                </pt>
                <pt idx="167">
                  <v>10</v>
                </pt>
                <pt idx="168">
                  <v>10</v>
                </pt>
                <pt idx="169">
                  <v>10</v>
                </pt>
                <pt idx="170">
                  <v>10</v>
                </pt>
                <pt idx="171">
                  <v>10</v>
                </pt>
                <pt idx="172">
                  <v>10</v>
                </pt>
                <pt idx="173">
                  <v>10</v>
                </pt>
                <pt idx="174">
                  <v>10</v>
                </pt>
                <pt idx="175">
                  <v>10</v>
                </pt>
                <pt idx="176">
                  <v>10</v>
                </pt>
                <pt idx="177">
                  <v>10</v>
                </pt>
                <pt idx="178">
                  <v>10</v>
                </pt>
                <pt idx="179">
                  <v>10</v>
                </pt>
                <pt idx="180">
                  <v>10</v>
                </pt>
                <pt idx="181">
                  <v>10</v>
                </pt>
                <pt idx="182">
                  <v>10</v>
                </pt>
                <pt idx="183">
                  <v>10</v>
                </pt>
                <pt idx="184">
                  <v>10</v>
                </pt>
                <pt idx="185">
                  <v>10</v>
                </pt>
                <pt idx="186">
                  <v>10</v>
                </pt>
                <pt idx="187">
                  <v>10</v>
                </pt>
                <pt idx="188">
                  <v>10</v>
                </pt>
                <pt idx="189">
                  <v>10</v>
                </pt>
                <pt idx="190">
                  <v>10</v>
                </pt>
                <pt idx="191">
                  <v>10</v>
                </pt>
                <pt idx="192">
                  <v>10</v>
                </pt>
                <pt idx="193">
                  <v>10</v>
                </pt>
                <pt idx="194">
                  <v>10</v>
                </pt>
                <pt idx="195">
                  <v>10</v>
                </pt>
                <pt idx="196">
                  <v>10</v>
                </pt>
                <pt idx="197">
                  <v>10</v>
                </pt>
                <pt idx="198">
                  <v>10</v>
                </pt>
                <pt idx="199">
                  <v>10</v>
                </pt>
                <pt idx="200">
                  <v>10</v>
                </pt>
                <pt idx="201">
                  <v>10</v>
                </pt>
                <pt idx="202">
                  <v>10</v>
                </pt>
                <pt idx="203">
                  <v>10</v>
                </pt>
                <pt idx="204">
                  <v>10</v>
                </pt>
                <pt idx="205">
                  <v>10</v>
                </pt>
                <pt idx="206">
                  <v>10</v>
                </pt>
                <pt idx="207">
                  <v>10</v>
                </pt>
                <pt idx="208">
                  <v>10</v>
                </pt>
                <pt idx="209">
                  <v>10</v>
                </pt>
                <pt idx="210">
                  <v>10</v>
                </pt>
                <pt idx="211">
                  <v>10</v>
                </pt>
                <pt idx="212">
                  <v>10</v>
                </pt>
                <pt idx="213">
                  <v>10</v>
                </pt>
                <pt idx="214">
                  <v>10</v>
                </pt>
                <pt idx="215">
                  <v>10</v>
                </pt>
                <pt idx="216">
                  <v>10</v>
                </pt>
                <pt idx="217">
                  <v>10</v>
                </pt>
                <pt idx="218">
                  <v>10</v>
                </pt>
                <pt idx="219">
                  <v>10</v>
                </pt>
                <pt idx="220">
                  <v>10</v>
                </pt>
                <pt idx="221">
                  <v>10</v>
                </pt>
                <pt idx="222">
                  <v>10</v>
                </pt>
                <pt idx="223">
                  <v>10</v>
                </pt>
                <pt idx="224">
                  <v>10</v>
                </pt>
                <pt idx="225">
                  <v>10</v>
                </pt>
                <pt idx="226">
                  <v>10</v>
                </pt>
                <pt idx="227">
                  <v>10</v>
                </pt>
                <pt idx="228">
                  <v>10</v>
                </pt>
                <pt idx="229">
                  <v>10</v>
                </pt>
                <pt idx="230">
                  <v>10</v>
                </pt>
                <pt idx="231">
                  <v>10</v>
                </pt>
                <pt idx="232">
                  <v>10</v>
                </pt>
                <pt idx="233">
                  <v>10</v>
                </pt>
                <pt idx="234">
                  <v>10</v>
                </pt>
                <pt idx="235">
                  <v>10</v>
                </pt>
                <pt idx="236">
                  <v>10</v>
                </pt>
                <pt idx="237">
                  <v>10</v>
                </pt>
                <pt idx="238">
                  <v>10</v>
                </pt>
                <pt idx="239">
                  <v>10</v>
                </pt>
                <pt idx="240">
                  <v>10</v>
                </pt>
                <pt idx="241">
                  <v>10</v>
                </pt>
                <pt idx="242">
                  <v>10</v>
                </pt>
                <pt idx="243">
                  <v>10</v>
                </pt>
                <pt idx="244">
                  <v>10</v>
                </pt>
                <pt idx="245">
                  <v>10</v>
                </pt>
                <pt idx="246">
                  <v>10</v>
                </pt>
                <pt idx="247">
                  <v>10</v>
                </pt>
                <pt idx="248">
                  <v>10</v>
                </pt>
                <pt idx="249">
                  <v>10</v>
                </pt>
                <pt idx="250">
                  <v>10</v>
                </pt>
                <pt idx="251">
                  <v>10</v>
                </pt>
                <pt idx="252">
                  <v>10</v>
                </pt>
                <pt idx="253">
                  <v>10</v>
                </pt>
                <pt idx="254">
                  <v>10</v>
                </pt>
                <pt idx="255">
                  <v>10</v>
                </pt>
                <pt idx="256">
                  <v>10</v>
                </pt>
                <pt idx="257">
                  <v>10</v>
                </pt>
                <pt idx="258">
                  <v>10</v>
                </pt>
                <pt idx="259">
                  <v>10</v>
                </pt>
                <pt idx="260">
                  <v>10</v>
                </pt>
                <pt idx="261">
                  <v>10</v>
                </pt>
                <pt idx="262">
                  <v>10</v>
                </pt>
                <pt idx="263">
                  <v>10</v>
                </pt>
                <pt idx="264">
                  <v>10</v>
                </pt>
                <pt idx="265">
                  <v>10</v>
                </pt>
                <pt idx="266">
                  <v>10</v>
                </pt>
                <pt idx="267">
                  <v>10</v>
                </pt>
                <pt idx="268">
                  <v>10</v>
                </pt>
                <pt idx="269">
                  <v>10</v>
                </pt>
                <pt idx="270">
                  <v>10</v>
                </pt>
                <pt idx="271">
                  <v>10</v>
                </pt>
                <pt idx="272">
                  <v>10</v>
                </pt>
                <pt idx="273">
                  <v>10</v>
                </pt>
                <pt idx="274">
                  <v>10</v>
                </pt>
                <pt idx="275">
                  <v>10</v>
                </pt>
                <pt idx="276">
                  <v>10</v>
                </pt>
                <pt idx="277">
                  <v>10</v>
                </pt>
                <pt idx="278">
                  <v>10</v>
                </pt>
                <pt idx="279">
                  <v>10</v>
                </pt>
                <pt idx="280">
                  <v>10</v>
                </pt>
                <pt idx="281">
                  <v>10</v>
                </pt>
                <pt idx="282">
                  <v>10</v>
                </pt>
                <pt idx="283">
                  <v>10</v>
                </pt>
                <pt idx="284">
                  <v>10</v>
                </pt>
                <pt idx="285">
                  <v>10</v>
                </pt>
                <pt idx="286">
                  <v>10</v>
                </pt>
                <pt idx="287">
                  <v>10</v>
                </pt>
                <pt idx="288">
                  <v>10</v>
                </pt>
                <pt idx="289">
                  <v>10</v>
                </pt>
                <pt idx="290">
                  <v>10</v>
                </pt>
                <pt idx="291">
                  <v>10</v>
                </pt>
                <pt idx="292">
                  <v>10</v>
                </pt>
                <pt idx="293">
                  <v>10</v>
                </pt>
                <pt idx="294">
                  <v>10</v>
                </pt>
                <pt idx="295">
                  <v>10</v>
                </pt>
                <pt idx="296">
                  <v>10</v>
                </pt>
                <pt idx="297">
                  <v>10</v>
                </pt>
                <pt idx="298">
                  <v>10</v>
                </pt>
                <pt idx="299">
                  <v>10</v>
                </pt>
                <pt idx="300">
                  <v>10</v>
                </pt>
                <pt idx="301">
                  <v>10</v>
                </pt>
                <pt idx="302">
                  <v>10</v>
                </pt>
                <pt idx="303">
                  <v>10</v>
                </pt>
                <pt idx="304">
                  <v>10</v>
                </pt>
                <pt idx="305">
                  <v>10</v>
                </pt>
                <pt idx="306">
                  <v>10</v>
                </pt>
                <pt idx="307">
                  <v>10</v>
                </pt>
                <pt idx="308">
                  <v>10</v>
                </pt>
                <pt idx="309">
                  <v>10</v>
                </pt>
                <pt idx="310">
                  <v>10</v>
                </pt>
                <pt idx="311">
                  <v>10</v>
                </pt>
                <pt idx="312">
                  <v>10</v>
                </pt>
                <pt idx="313">
                  <v>10</v>
                </pt>
                <pt idx="314">
                  <v>10</v>
                </pt>
                <pt idx="315">
                  <v>10</v>
                </pt>
                <pt idx="316">
                  <v>10</v>
                </pt>
                <pt idx="317">
                  <v>10</v>
                </pt>
                <pt idx="318">
                  <v>10</v>
                </pt>
                <pt idx="319">
                  <v>10</v>
                </pt>
                <pt idx="320">
                  <v>10</v>
                </pt>
                <pt idx="321">
                  <v>10</v>
                </pt>
                <pt idx="322">
                  <v>10</v>
                </pt>
                <pt idx="323">
                  <v>10</v>
                </pt>
                <pt idx="324">
                  <v>10</v>
                </pt>
                <pt idx="325">
                  <v>10</v>
                </pt>
                <pt idx="326">
                  <v>10</v>
                </pt>
                <pt idx="327">
                  <v>10</v>
                </pt>
                <pt idx="328">
                  <v>10</v>
                </pt>
                <pt idx="329">
                  <v>10</v>
                </pt>
                <pt idx="330">
                  <v>10</v>
                </pt>
                <pt idx="331">
                  <v>10</v>
                </pt>
                <pt idx="332">
                  <v>10</v>
                </pt>
                <pt idx="333">
                  <v>10</v>
                </pt>
                <pt idx="334">
                  <v>10</v>
                </pt>
                <pt idx="335">
                  <v>10</v>
                </pt>
                <pt idx="336">
                  <v>10</v>
                </pt>
                <pt idx="337">
                  <v>10</v>
                </pt>
                <pt idx="338">
                  <v>10</v>
                </pt>
                <pt idx="339">
                  <v>10</v>
                </pt>
                <pt idx="340">
                  <v>10</v>
                </pt>
                <pt idx="341">
                  <v>10</v>
                </pt>
                <pt idx="342">
                  <v>10</v>
                </pt>
                <pt idx="343">
                  <v>10</v>
                </pt>
                <pt idx="344">
                  <v>10</v>
                </pt>
                <pt idx="345">
                  <v>10</v>
                </pt>
                <pt idx="346">
                  <v>10</v>
                </pt>
                <pt idx="347">
                  <v>10</v>
                </pt>
                <pt idx="348">
                  <v>10</v>
                </pt>
                <pt idx="349">
                  <v>10</v>
                </pt>
                <pt idx="350">
                  <v>10</v>
                </pt>
                <pt idx="351">
                  <v>10</v>
                </pt>
                <pt idx="352">
                  <v>10</v>
                </pt>
                <pt idx="353">
                  <v>10</v>
                </pt>
                <pt idx="354">
                  <v>10</v>
                </pt>
                <pt idx="355">
                  <v>10</v>
                </pt>
                <pt idx="356">
                  <v>10</v>
                </pt>
                <pt idx="357">
                  <v>10</v>
                </pt>
                <pt idx="358">
                  <v>10</v>
                </pt>
                <pt idx="359">
                  <v>10</v>
                </pt>
                <pt idx="360">
                  <v>10</v>
                </pt>
                <pt idx="361">
                  <v>10</v>
                </pt>
                <pt idx="362">
                  <v>10</v>
                </pt>
                <pt idx="363">
                  <v>10</v>
                </pt>
                <pt idx="364">
                  <v>10</v>
                </pt>
                <pt idx="365">
                  <v>10</v>
                </pt>
                <pt idx="366">
                  <v>10</v>
                </pt>
                <pt idx="367">
                  <v>10</v>
                </pt>
                <pt idx="368">
                  <v>10</v>
                </pt>
                <pt idx="369">
                  <v>10</v>
                </pt>
                <pt idx="370">
                  <v>10</v>
                </pt>
                <pt idx="371">
                  <v>10</v>
                </pt>
                <pt idx="372">
                  <v>10</v>
                </pt>
                <pt idx="373">
                  <v>10</v>
                </pt>
                <pt idx="374">
                  <v>10</v>
                </pt>
                <pt idx="375">
                  <v>10</v>
                </pt>
                <pt idx="376">
                  <v>10</v>
                </pt>
                <pt idx="377">
                  <v>10</v>
                </pt>
                <pt idx="378">
                  <v>10</v>
                </pt>
                <pt idx="379">
                  <v>10</v>
                </pt>
                <pt idx="380">
                  <v>10</v>
                </pt>
                <pt idx="381">
                  <v>10</v>
                </pt>
                <pt idx="382">
                  <v>10</v>
                </pt>
                <pt idx="383">
                  <v>10</v>
                </pt>
                <pt idx="384">
                  <v>10</v>
                </pt>
                <pt idx="385">
                  <v>10</v>
                </pt>
                <pt idx="386">
                  <v>10</v>
                </pt>
                <pt idx="387">
                  <v>10</v>
                </pt>
                <pt idx="388">
                  <v>10</v>
                </pt>
                <pt idx="389">
                  <v>10</v>
                </pt>
                <pt idx="390">
                  <v>10</v>
                </pt>
                <pt idx="391">
                  <v>10</v>
                </pt>
                <pt idx="392">
                  <v>10</v>
                </pt>
                <pt idx="393">
                  <v>10</v>
                </pt>
                <pt idx="394">
                  <v>10</v>
                </pt>
                <pt idx="395">
                  <v>10</v>
                </pt>
                <pt idx="396">
                  <v>10</v>
                </pt>
                <pt idx="397">
                  <v>10</v>
                </pt>
                <pt idx="398">
                  <v>10</v>
                </pt>
                <pt idx="399">
                  <v>10</v>
                </pt>
                <pt idx="400">
                  <v>10</v>
                </pt>
                <pt idx="401">
                  <v>10</v>
                </pt>
                <pt idx="402">
                  <v>10</v>
                </pt>
                <pt idx="403">
                  <v>10</v>
                </pt>
                <pt idx="404">
                  <v>10</v>
                </pt>
                <pt idx="405">
                  <v>10</v>
                </pt>
                <pt idx="406">
                  <v>10</v>
                </pt>
                <pt idx="407">
                  <v>10</v>
                </pt>
                <pt idx="408">
                  <v>10</v>
                </pt>
                <pt idx="409">
                  <v>10</v>
                </pt>
                <pt idx="410">
                  <v>10</v>
                </pt>
                <pt idx="411">
                  <v>10</v>
                </pt>
                <pt idx="412">
                  <v>10</v>
                </pt>
                <pt idx="413">
                  <v>10</v>
                </pt>
                <pt idx="414">
                  <v>10</v>
                </pt>
                <pt idx="415">
                  <v>10</v>
                </pt>
                <pt idx="416">
                  <v>10</v>
                </pt>
                <pt idx="417">
                  <v>10</v>
                </pt>
                <pt idx="418">
                  <v>10</v>
                </pt>
                <pt idx="419">
                  <v>10</v>
                </pt>
                <pt idx="420">
                  <v>10</v>
                </pt>
                <pt idx="421">
                  <v>10</v>
                </pt>
                <pt idx="422">
                  <v>10</v>
                </pt>
                <pt idx="423">
                  <v>10</v>
                </pt>
                <pt idx="424">
                  <v>10</v>
                </pt>
                <pt idx="425">
                  <v>10</v>
                </pt>
                <pt idx="426">
                  <v>10</v>
                </pt>
                <pt idx="427">
                  <v>10</v>
                </pt>
                <pt idx="428">
                  <v>10</v>
                </pt>
                <pt idx="429">
                  <v>10</v>
                </pt>
                <pt idx="430">
                  <v>10</v>
                </pt>
                <pt idx="431">
                  <v>10</v>
                </pt>
                <pt idx="432">
                  <v>10</v>
                </pt>
                <pt idx="433">
                  <v>10</v>
                </pt>
                <pt idx="434">
                  <v>10</v>
                </pt>
                <pt idx="435">
                  <v>10</v>
                </pt>
                <pt idx="436">
                  <v>10</v>
                </pt>
                <pt idx="437">
                  <v>10</v>
                </pt>
                <pt idx="438">
                  <v>10</v>
                </pt>
                <pt idx="439">
                  <v>10</v>
                </pt>
                <pt idx="440">
                  <v>10</v>
                </pt>
                <pt idx="441">
                  <v>10</v>
                </pt>
                <pt idx="442">
                  <v>10</v>
                </pt>
                <pt idx="443">
                  <v>10</v>
                </pt>
                <pt idx="444">
                  <v>10</v>
                </pt>
                <pt idx="445">
                  <v>10</v>
                </pt>
                <pt idx="446">
                  <v>10</v>
                </pt>
                <pt idx="447">
                  <v>10</v>
                </pt>
                <pt idx="448">
                  <v>10</v>
                </pt>
                <pt idx="449">
                  <v>10</v>
                </pt>
                <pt idx="450">
                  <v>10</v>
                </pt>
                <pt idx="451">
                  <v>10</v>
                </pt>
                <pt idx="452">
                  <v>10</v>
                </pt>
                <pt idx="453">
                  <v>10</v>
                </pt>
                <pt idx="454">
                  <v>10</v>
                </pt>
                <pt idx="455">
                  <v>10</v>
                </pt>
                <pt idx="456">
                  <v>10</v>
                </pt>
                <pt idx="457">
                  <v>10</v>
                </pt>
                <pt idx="458">
                  <v>10</v>
                </pt>
                <pt idx="459">
                  <v>10</v>
                </pt>
                <pt idx="460">
                  <v>10</v>
                </pt>
                <pt idx="461">
                  <v>10</v>
                </pt>
                <pt idx="462">
                  <v>10</v>
                </pt>
                <pt idx="463">
                  <v>10</v>
                </pt>
                <pt idx="464">
                  <v>10</v>
                </pt>
                <pt idx="465">
                  <v>10</v>
                </pt>
                <pt idx="466">
                  <v>10</v>
                </pt>
                <pt idx="467">
                  <v>10</v>
                </pt>
                <pt idx="468">
                  <v>10</v>
                </pt>
                <pt idx="469">
                  <v>10</v>
                </pt>
                <pt idx="470">
                  <v>10</v>
                </pt>
                <pt idx="471">
                  <v>10</v>
                </pt>
                <pt idx="472">
                  <v>10</v>
                </pt>
                <pt idx="473">
                  <v>10</v>
                </pt>
                <pt idx="474">
                  <v>10</v>
                </pt>
                <pt idx="475">
                  <v>10</v>
                </pt>
                <pt idx="476">
                  <v>10</v>
                </pt>
                <pt idx="477">
                  <v>10</v>
                </pt>
                <pt idx="478">
                  <v>10</v>
                </pt>
                <pt idx="479">
                  <v>10</v>
                </pt>
                <pt idx="480">
                  <v>10</v>
                </pt>
                <pt idx="481">
                  <v>10</v>
                </pt>
                <pt idx="482">
                  <v>10</v>
                </pt>
                <pt idx="483">
                  <v>10</v>
                </pt>
                <pt idx="484">
                  <v>10</v>
                </pt>
                <pt idx="485">
                  <v>10</v>
                </pt>
                <pt idx="486">
                  <v>10</v>
                </pt>
                <pt idx="487">
                  <v>10</v>
                </pt>
                <pt idx="488">
                  <v>10</v>
                </pt>
                <pt idx="489">
                  <v>10</v>
                </pt>
                <pt idx="490">
                  <v>10</v>
                </pt>
                <pt idx="491">
                  <v>10</v>
                </pt>
                <pt idx="492">
                  <v>10</v>
                </pt>
                <pt idx="493">
                  <v>10</v>
                </pt>
                <pt idx="494">
                  <v>10</v>
                </pt>
                <pt idx="495">
                  <v>10</v>
                </pt>
                <pt idx="496">
                  <v>10</v>
                </pt>
                <pt idx="497">
                  <v>10</v>
                </pt>
                <pt idx="498">
                  <v>10</v>
                </pt>
                <pt idx="499">
                  <v>10</v>
                </pt>
                <pt idx="500">
                  <v>10</v>
                </pt>
                <pt idx="501">
                  <v>10</v>
                </pt>
                <pt idx="502">
                  <v>10</v>
                </pt>
                <pt idx="503">
                  <v>10</v>
                </pt>
                <pt idx="504">
                  <v>10</v>
                </pt>
                <pt idx="505">
                  <v>10</v>
                </pt>
                <pt idx="506">
                  <v>10</v>
                </pt>
                <pt idx="507">
                  <v>10</v>
                </pt>
                <pt idx="508">
                  <v>10</v>
                </pt>
                <pt idx="509">
                  <v>10</v>
                </pt>
                <pt idx="510">
                  <v>10</v>
                </pt>
                <pt idx="511">
                  <v>10</v>
                </pt>
                <pt idx="512">
                  <v>10</v>
                </pt>
                <pt idx="513">
                  <v>10</v>
                </pt>
                <pt idx="514">
                  <v>10</v>
                </pt>
                <pt idx="515">
                  <v>10</v>
                </pt>
                <pt idx="516">
                  <v>10</v>
                </pt>
                <pt idx="517">
                  <v>10</v>
                </pt>
                <pt idx="518">
                  <v>10</v>
                </pt>
                <pt idx="519">
                  <v>10</v>
                </pt>
                <pt idx="520">
                  <v>10</v>
                </pt>
                <pt idx="521">
                  <v>10</v>
                </pt>
                <pt idx="522">
                  <v>10</v>
                </pt>
                <pt idx="523">
                  <v>10</v>
                </pt>
                <pt idx="524">
                  <v>10</v>
                </pt>
                <pt idx="525">
                  <v>10</v>
                </pt>
                <pt idx="526">
                  <v>10</v>
                </pt>
                <pt idx="527">
                  <v>10</v>
                </pt>
                <pt idx="528">
                  <v>10</v>
                </pt>
                <pt idx="529">
                  <v>10</v>
                </pt>
                <pt idx="530">
                  <v>10</v>
                </pt>
                <pt idx="531">
                  <v>10</v>
                </pt>
                <pt idx="532">
                  <v>10</v>
                </pt>
                <pt idx="533">
                  <v>10</v>
                </pt>
                <pt idx="534">
                  <v>10</v>
                </pt>
                <pt idx="535">
                  <v>10</v>
                </pt>
                <pt idx="536">
                  <v>10</v>
                </pt>
                <pt idx="537">
                  <v>10</v>
                </pt>
                <pt idx="538">
                  <v>10</v>
                </pt>
                <pt idx="539">
                  <v>10</v>
                </pt>
                <pt idx="540">
                  <v>10</v>
                </pt>
                <pt idx="541">
                  <v>10</v>
                </pt>
                <pt idx="542">
                  <v>10</v>
                </pt>
                <pt idx="543">
                  <v>10</v>
                </pt>
                <pt idx="544">
                  <v>10</v>
                </pt>
                <pt idx="545">
                  <v>10</v>
                </pt>
                <pt idx="546">
                  <v>10</v>
                </pt>
                <pt idx="547">
                  <v>10</v>
                </pt>
                <pt idx="548">
                  <v>10</v>
                </pt>
                <pt idx="549">
                  <v>10</v>
                </pt>
                <pt idx="550">
                  <v>10</v>
                </pt>
                <pt idx="551">
                  <v>10</v>
                </pt>
                <pt idx="552">
                  <v>10</v>
                </pt>
                <pt idx="553">
                  <v>10</v>
                </pt>
                <pt idx="554">
                  <v>10</v>
                </pt>
                <pt idx="555">
                  <v>10</v>
                </pt>
                <pt idx="556">
                  <v>10</v>
                </pt>
                <pt idx="557">
                  <v>10</v>
                </pt>
                <pt idx="558">
                  <v>10</v>
                </pt>
                <pt idx="559">
                  <v>10</v>
                </pt>
                <pt idx="560">
                  <v>10</v>
                </pt>
                <pt idx="561">
                  <v>10</v>
                </pt>
                <pt idx="562">
                  <v>10</v>
                </pt>
                <pt idx="563">
                  <v>10</v>
                </pt>
                <pt idx="564">
                  <v>10</v>
                </pt>
                <pt idx="565">
                  <v>10</v>
                </pt>
                <pt idx="566">
                  <v>10</v>
                </pt>
                <pt idx="567">
                  <v>10</v>
                </pt>
                <pt idx="568">
                  <v>10</v>
                </pt>
                <pt idx="569">
                  <v>10</v>
                </pt>
                <pt idx="570">
                  <v>10</v>
                </pt>
                <pt idx="571">
                  <v>10</v>
                </pt>
                <pt idx="572">
                  <v>10</v>
                </pt>
                <pt idx="573">
                  <v>10</v>
                </pt>
                <pt idx="574">
                  <v>10</v>
                </pt>
                <pt idx="575">
                  <v>10</v>
                </pt>
                <pt idx="576">
                  <v>10</v>
                </pt>
                <pt idx="577">
                  <v>10</v>
                </pt>
                <pt idx="578">
                  <v>10</v>
                </pt>
                <pt idx="579">
                  <v>10</v>
                </pt>
                <pt idx="580">
                  <v>10</v>
                </pt>
                <pt idx="581">
                  <v>10</v>
                </pt>
                <pt idx="582">
                  <v>10</v>
                </pt>
                <pt idx="583">
                  <v>10</v>
                </pt>
                <pt idx="584">
                  <v>10</v>
                </pt>
                <pt idx="585">
                  <v>10</v>
                </pt>
                <pt idx="586">
                  <v>10</v>
                </pt>
                <pt idx="587">
                  <v>10</v>
                </pt>
                <pt idx="588">
                  <v>10</v>
                </pt>
                <pt idx="589">
                  <v>10</v>
                </pt>
                <pt idx="590">
                  <v>10</v>
                </pt>
                <pt idx="591">
                  <v>10</v>
                </pt>
                <pt idx="592">
                  <v>10</v>
                </pt>
                <pt idx="593">
                  <v>10</v>
                </pt>
                <pt idx="594">
                  <v>10</v>
                </pt>
                <pt idx="595">
                  <v>10</v>
                </pt>
                <pt idx="596">
                  <v>10</v>
                </pt>
                <pt idx="597">
                  <v>10</v>
                </pt>
                <pt idx="598">
                  <v>10</v>
                </pt>
                <pt idx="599">
                  <v>10</v>
                </pt>
                <pt idx="600">
                  <v>1</v>
                </pt>
                <pt idx="601">
                  <v>1</v>
                </pt>
                <pt idx="602">
                  <v>1</v>
                </pt>
                <pt idx="603">
                  <v>1</v>
                </pt>
                <pt idx="604">
                  <v>1</v>
                </pt>
                <pt idx="605">
                  <v>1</v>
                </pt>
                <pt idx="606">
                  <v>1</v>
                </pt>
                <pt idx="607">
                  <v>1</v>
                </pt>
                <pt idx="608">
                  <v>1</v>
                </pt>
                <pt idx="609">
                  <v>1</v>
                </pt>
                <pt idx="610">
                  <v>1</v>
                </pt>
                <pt idx="611">
                  <v>1</v>
                </pt>
                <pt idx="612">
                  <v>1</v>
                </pt>
                <pt idx="613">
                  <v>1</v>
                </pt>
                <pt idx="614">
                  <v>1</v>
                </pt>
                <pt idx="615">
                  <v>1</v>
                </pt>
                <pt idx="616">
                  <v>1</v>
                </pt>
                <pt idx="617">
                  <v>1</v>
                </pt>
                <pt idx="618">
                  <v>1</v>
                </pt>
                <pt idx="619">
                  <v>1</v>
                </pt>
                <pt idx="620">
                  <v>1</v>
                </pt>
                <pt idx="621">
                  <v>1</v>
                </pt>
                <pt idx="622">
                  <v>1</v>
                </pt>
                <pt idx="623">
                  <v>1</v>
                </pt>
                <pt idx="624">
                  <v>1</v>
                </pt>
                <pt idx="625">
                  <v>1</v>
                </pt>
                <pt idx="626">
                  <v>1</v>
                </pt>
                <pt idx="627">
                  <v>1</v>
                </pt>
                <pt idx="628">
                  <v>1</v>
                </pt>
                <pt idx="629">
                  <v>1</v>
                </pt>
                <pt idx="630">
                  <v>1</v>
                </pt>
                <pt idx="631">
                  <v>1</v>
                </pt>
                <pt idx="632">
                  <v>1</v>
                </pt>
                <pt idx="633">
                  <v>1</v>
                </pt>
                <pt idx="634">
                  <v>1</v>
                </pt>
                <pt idx="635">
                  <v>1</v>
                </pt>
                <pt idx="636">
                  <v>1</v>
                </pt>
                <pt idx="637">
                  <v>1</v>
                </pt>
                <pt idx="638">
                  <v>1</v>
                </pt>
                <pt idx="639">
                  <v>1</v>
                </pt>
                <pt idx="640">
                  <v>1</v>
                </pt>
                <pt idx="641">
                  <v>1</v>
                </pt>
                <pt idx="642">
                  <v>1</v>
                </pt>
                <pt idx="643">
                  <v>1</v>
                </pt>
                <pt idx="644">
                  <v>1</v>
                </pt>
                <pt idx="645">
                  <v>1</v>
                </pt>
                <pt idx="646">
                  <v>1</v>
                </pt>
                <pt idx="647">
                  <v>1</v>
                </pt>
                <pt idx="648">
                  <v>1</v>
                </pt>
                <pt idx="649">
                  <v>1</v>
                </pt>
                <pt idx="650">
                  <v>1</v>
                </pt>
                <pt idx="651">
                  <v>1</v>
                </pt>
                <pt idx="652">
                  <v>1</v>
                </pt>
                <pt idx="653">
                  <v>1</v>
                </pt>
                <pt idx="654">
                  <v>1</v>
                </pt>
                <pt idx="655">
                  <v>1</v>
                </pt>
                <pt idx="656">
                  <v>1</v>
                </pt>
                <pt idx="657">
                  <v>1</v>
                </pt>
                <pt idx="658">
                  <v>1</v>
                </pt>
                <pt idx="659">
                  <v>1</v>
                </pt>
                <pt idx="660">
                  <v>1</v>
                </pt>
                <pt idx="661">
                  <v>1</v>
                </pt>
                <pt idx="662">
                  <v>1</v>
                </pt>
                <pt idx="663">
                  <v>1</v>
                </pt>
                <pt idx="664">
                  <v>1</v>
                </pt>
                <pt idx="665">
                  <v>1</v>
                </pt>
                <pt idx="666">
                  <v>1</v>
                </pt>
                <pt idx="667">
                  <v>1</v>
                </pt>
                <pt idx="668">
                  <v>1</v>
                </pt>
                <pt idx="669">
                  <v>1</v>
                </pt>
                <pt idx="670">
                  <v>1</v>
                </pt>
                <pt idx="671">
                  <v>1</v>
                </pt>
                <pt idx="672">
                  <v>1</v>
                </pt>
                <pt idx="673">
                  <v>1</v>
                </pt>
                <pt idx="674">
                  <v>1</v>
                </pt>
                <pt idx="675">
                  <v>1</v>
                </pt>
                <pt idx="676">
                  <v>1</v>
                </pt>
                <pt idx="677">
                  <v>1</v>
                </pt>
                <pt idx="678">
                  <v>1</v>
                </pt>
                <pt idx="679">
                  <v>1</v>
                </pt>
                <pt idx="680">
                  <v>1</v>
                </pt>
                <pt idx="681">
                  <v>1</v>
                </pt>
                <pt idx="682">
                  <v>1</v>
                </pt>
                <pt idx="683">
                  <v>1</v>
                </pt>
                <pt idx="684">
                  <v>1</v>
                </pt>
                <pt idx="685">
                  <v>1</v>
                </pt>
                <pt idx="686">
                  <v>1</v>
                </pt>
                <pt idx="687">
                  <v>1</v>
                </pt>
                <pt idx="688">
                  <v>1</v>
                </pt>
                <pt idx="689">
                  <v>1</v>
                </pt>
                <pt idx="690">
                  <v>1</v>
                </pt>
                <pt idx="691">
                  <v>1</v>
                </pt>
                <pt idx="692">
                  <v>1</v>
                </pt>
                <pt idx="693">
                  <v>1</v>
                </pt>
                <pt idx="694">
                  <v>1</v>
                </pt>
                <pt idx="695">
                  <v>1</v>
                </pt>
                <pt idx="696">
                  <v>1</v>
                </pt>
                <pt idx="697">
                  <v>1</v>
                </pt>
                <pt idx="698">
                  <v>1</v>
                </pt>
                <pt idx="699">
                  <v>1</v>
                </pt>
                <pt idx="700">
                  <v>1</v>
                </pt>
                <pt idx="701">
                  <v>1</v>
                </pt>
                <pt idx="702">
                  <v>1</v>
                </pt>
                <pt idx="703">
                  <v>1</v>
                </pt>
                <pt idx="704">
                  <v>1</v>
                </pt>
                <pt idx="705">
                  <v>1</v>
                </pt>
                <pt idx="706">
                  <v>1</v>
                </pt>
                <pt idx="707">
                  <v>1</v>
                </pt>
                <pt idx="708">
                  <v>1</v>
                </pt>
                <pt idx="709">
                  <v>1</v>
                </pt>
                <pt idx="710">
                  <v>1</v>
                </pt>
                <pt idx="711">
                  <v>1</v>
                </pt>
                <pt idx="712">
                  <v>1</v>
                </pt>
                <pt idx="713">
                  <v>1</v>
                </pt>
                <pt idx="714">
                  <v>1</v>
                </pt>
                <pt idx="715">
                  <v>1</v>
                </pt>
                <pt idx="716">
                  <v>1</v>
                </pt>
                <pt idx="717">
                  <v>1</v>
                </pt>
                <pt idx="718">
                  <v>1</v>
                </pt>
                <pt idx="719">
                  <v>1</v>
                </pt>
                <pt idx="720">
                  <v>1</v>
                </pt>
                <pt idx="721">
                  <v>1</v>
                </pt>
                <pt idx="722">
                  <v>1</v>
                </pt>
                <pt idx="723">
                  <v>1</v>
                </pt>
                <pt idx="724">
                  <v>1</v>
                </pt>
                <pt idx="725">
                  <v>1</v>
                </pt>
                <pt idx="726">
                  <v>1</v>
                </pt>
                <pt idx="727">
                  <v>1</v>
                </pt>
                <pt idx="728">
                  <v>1</v>
                </pt>
                <pt idx="729">
                  <v>1</v>
                </pt>
                <pt idx="730">
                  <v>1</v>
                </pt>
                <pt idx="731">
                  <v>1</v>
                </pt>
                <pt idx="732">
                  <v>1</v>
                </pt>
                <pt idx="733">
                  <v>1</v>
                </pt>
                <pt idx="734">
                  <v>1</v>
                </pt>
                <pt idx="735">
                  <v>1</v>
                </pt>
                <pt idx="736">
                  <v>1</v>
                </pt>
                <pt idx="737">
                  <v>1</v>
                </pt>
                <pt idx="738">
                  <v>1</v>
                </pt>
                <pt idx="739">
                  <v>1</v>
                </pt>
                <pt idx="740">
                  <v>1</v>
                </pt>
                <pt idx="741">
                  <v>1</v>
                </pt>
                <pt idx="742">
                  <v>1</v>
                </pt>
                <pt idx="743">
                  <v>1</v>
                </pt>
                <pt idx="744">
                  <v>1</v>
                </pt>
                <pt idx="745">
                  <v>1</v>
                </pt>
                <pt idx="746">
                  <v>1</v>
                </pt>
                <pt idx="747">
                  <v>1</v>
                </pt>
                <pt idx="748">
                  <v>1</v>
                </pt>
                <pt idx="749">
                  <v>1</v>
                </pt>
                <pt idx="750">
                  <v>1</v>
                </pt>
                <pt idx="751">
                  <v>1</v>
                </pt>
                <pt idx="752">
                  <v>1</v>
                </pt>
                <pt idx="753">
                  <v>1</v>
                </pt>
                <pt idx="754">
                  <v>1</v>
                </pt>
                <pt idx="755">
                  <v>1</v>
                </pt>
                <pt idx="756">
                  <v>1</v>
                </pt>
                <pt idx="757">
                  <v>1</v>
                </pt>
                <pt idx="758">
                  <v>1</v>
                </pt>
                <pt idx="759">
                  <v>1</v>
                </pt>
                <pt idx="760">
                  <v>1</v>
                </pt>
                <pt idx="761">
                  <v>1</v>
                </pt>
                <pt idx="762">
                  <v>1</v>
                </pt>
                <pt idx="763">
                  <v>1</v>
                </pt>
                <pt idx="764">
                  <v>1</v>
                </pt>
                <pt idx="765">
                  <v>1</v>
                </pt>
                <pt idx="766">
                  <v>1</v>
                </pt>
                <pt idx="767">
                  <v>1</v>
                </pt>
                <pt idx="768">
                  <v>1</v>
                </pt>
                <pt idx="769">
                  <v>1</v>
                </pt>
                <pt idx="770">
                  <v>1</v>
                </pt>
                <pt idx="771">
                  <v>1</v>
                </pt>
                <pt idx="772">
                  <v>1</v>
                </pt>
                <pt idx="773">
                  <v>1</v>
                </pt>
                <pt idx="774">
                  <v>1</v>
                </pt>
                <pt idx="775">
                  <v>1</v>
                </pt>
                <pt idx="776">
                  <v>1</v>
                </pt>
                <pt idx="777">
                  <v>1</v>
                </pt>
                <pt idx="778">
                  <v>1</v>
                </pt>
                <pt idx="779">
                  <v>1</v>
                </pt>
                <pt idx="780">
                  <v>1</v>
                </pt>
                <pt idx="781">
                  <v>1</v>
                </pt>
                <pt idx="782">
                  <v>1</v>
                </pt>
                <pt idx="783">
                  <v>1</v>
                </pt>
                <pt idx="784">
                  <v>1</v>
                </pt>
                <pt idx="785">
                  <v>1</v>
                </pt>
                <pt idx="786">
                  <v>1</v>
                </pt>
                <pt idx="787">
                  <v>1</v>
                </pt>
                <pt idx="788">
                  <v>1</v>
                </pt>
                <pt idx="789">
                  <v>1</v>
                </pt>
                <pt idx="790">
                  <v>1</v>
                </pt>
                <pt idx="791">
                  <v>1</v>
                </pt>
                <pt idx="792">
                  <v>1</v>
                </pt>
                <pt idx="793">
                  <v>1</v>
                </pt>
                <pt idx="794">
                  <v>1</v>
                </pt>
                <pt idx="795">
                  <v>1</v>
                </pt>
                <pt idx="796">
                  <v>1</v>
                </pt>
                <pt idx="797">
                  <v>1</v>
                </pt>
                <pt idx="798">
                  <v>1</v>
                </pt>
                <pt idx="799">
                  <v>1</v>
                </pt>
                <pt idx="800">
                  <v>1</v>
                </pt>
                <pt idx="801">
                  <v>1</v>
                </pt>
                <pt idx="802">
                  <v>1</v>
                </pt>
                <pt idx="803">
                  <v>1</v>
                </pt>
                <pt idx="804">
                  <v>1</v>
                </pt>
                <pt idx="805">
                  <v>1</v>
                </pt>
                <pt idx="806">
                  <v>1</v>
                </pt>
                <pt idx="807">
                  <v>1</v>
                </pt>
                <pt idx="808">
                  <v>1</v>
                </pt>
                <pt idx="809">
                  <v>1</v>
                </pt>
                <pt idx="810">
                  <v>1</v>
                </pt>
                <pt idx="811">
                  <v>1</v>
                </pt>
                <pt idx="812">
                  <v>1</v>
                </pt>
                <pt idx="813">
                  <v>1</v>
                </pt>
                <pt idx="814">
                  <v>1</v>
                </pt>
                <pt idx="815">
                  <v>1</v>
                </pt>
                <pt idx="816">
                  <v>1</v>
                </pt>
                <pt idx="817">
                  <v>1</v>
                </pt>
                <pt idx="818">
                  <v>1</v>
                </pt>
                <pt idx="819">
                  <v>1</v>
                </pt>
                <pt idx="820">
                  <v>1</v>
                </pt>
                <pt idx="821">
                  <v>1</v>
                </pt>
                <pt idx="822">
                  <v>1</v>
                </pt>
                <pt idx="823">
                  <v>1</v>
                </pt>
                <pt idx="824">
                  <v>1</v>
                </pt>
                <pt idx="825">
                  <v>1</v>
                </pt>
                <pt idx="826">
                  <v>1</v>
                </pt>
                <pt idx="827">
                  <v>1</v>
                </pt>
                <pt idx="828">
                  <v>1</v>
                </pt>
                <pt idx="829">
                  <v>1</v>
                </pt>
                <pt idx="830">
                  <v>1</v>
                </pt>
                <pt idx="831">
                  <v>1</v>
                </pt>
                <pt idx="832">
                  <v>1</v>
                </pt>
                <pt idx="833">
                  <v>1</v>
                </pt>
                <pt idx="834">
                  <v>1</v>
                </pt>
                <pt idx="835">
                  <v>1</v>
                </pt>
                <pt idx="836">
                  <v>1</v>
                </pt>
                <pt idx="837">
                  <v>1</v>
                </pt>
                <pt idx="838">
                  <v>1</v>
                </pt>
                <pt idx="839">
                  <v>1</v>
                </pt>
                <pt idx="840">
                  <v>1</v>
                </pt>
                <pt idx="841">
                  <v>1</v>
                </pt>
                <pt idx="842">
                  <v>1</v>
                </pt>
                <pt idx="843">
                  <v>1</v>
                </pt>
                <pt idx="844">
                  <v>1</v>
                </pt>
                <pt idx="845">
                  <v>1</v>
                </pt>
                <pt idx="846">
                  <v>1</v>
                </pt>
                <pt idx="847">
                  <v>1</v>
                </pt>
                <pt idx="848">
                  <v>1</v>
                </pt>
                <pt idx="849">
                  <v>1</v>
                </pt>
                <pt idx="850">
                  <v>1</v>
                </pt>
                <pt idx="851">
                  <v>1</v>
                </pt>
                <pt idx="852">
                  <v>1</v>
                </pt>
                <pt idx="853">
                  <v>1</v>
                </pt>
                <pt idx="854">
                  <v>1</v>
                </pt>
                <pt idx="855">
                  <v>1</v>
                </pt>
                <pt idx="856">
                  <v>1</v>
                </pt>
                <pt idx="857">
                  <v>1</v>
                </pt>
                <pt idx="858">
                  <v>1</v>
                </pt>
                <pt idx="859">
                  <v>1</v>
                </pt>
                <pt idx="860">
                  <v>1</v>
                </pt>
                <pt idx="861">
                  <v>1</v>
                </pt>
                <pt idx="862">
                  <v>1</v>
                </pt>
                <pt idx="863">
                  <v>1</v>
                </pt>
                <pt idx="864">
                  <v>1</v>
                </pt>
                <pt idx="865">
                  <v>1</v>
                </pt>
                <pt idx="866">
                  <v>1</v>
                </pt>
                <pt idx="867">
                  <v>1</v>
                </pt>
                <pt idx="868">
                  <v>1</v>
                </pt>
                <pt idx="869">
                  <v>1</v>
                </pt>
                <pt idx="870">
                  <v>1</v>
                </pt>
                <pt idx="871">
                  <v>1</v>
                </pt>
                <pt idx="872">
                  <v>1</v>
                </pt>
                <pt idx="873">
                  <v>1</v>
                </pt>
                <pt idx="874">
                  <v>1</v>
                </pt>
                <pt idx="875">
                  <v>1</v>
                </pt>
                <pt idx="876">
                  <v>1</v>
                </pt>
                <pt idx="877">
                  <v>1</v>
                </pt>
                <pt idx="878">
                  <v>1</v>
                </pt>
                <pt idx="879">
                  <v>1</v>
                </pt>
                <pt idx="880">
                  <v>1</v>
                </pt>
                <pt idx="881">
                  <v>1</v>
                </pt>
                <pt idx="882">
                  <v>1</v>
                </pt>
                <pt idx="883">
                  <v>1</v>
                </pt>
                <pt idx="884">
                  <v>1</v>
                </pt>
                <pt idx="885">
                  <v>1</v>
                </pt>
                <pt idx="886">
                  <v>1</v>
                </pt>
                <pt idx="887">
                  <v>1</v>
                </pt>
                <pt idx="888">
                  <v>1</v>
                </pt>
                <pt idx="889">
                  <v>1</v>
                </pt>
                <pt idx="890">
                  <v>1</v>
                </pt>
                <pt idx="891">
                  <v>1</v>
                </pt>
                <pt idx="892">
                  <v>1</v>
                </pt>
                <pt idx="893">
                  <v>1</v>
                </pt>
                <pt idx="894">
                  <v>1</v>
                </pt>
                <pt idx="895">
                  <v>1</v>
                </pt>
                <pt idx="896">
                  <v>1</v>
                </pt>
                <pt idx="897">
                  <v>1</v>
                </pt>
                <pt idx="898">
                  <v>1</v>
                </pt>
                <pt idx="899">
                  <v>1</v>
                </pt>
                <pt idx="900">
                  <v>1</v>
                </pt>
                <pt idx="901">
                  <v>1</v>
                </pt>
                <pt idx="902">
                  <v>1</v>
                </pt>
                <pt idx="903">
                  <v>1</v>
                </pt>
                <pt idx="904">
                  <v>1</v>
                </pt>
                <pt idx="905">
                  <v>1</v>
                </pt>
                <pt idx="906">
                  <v>1</v>
                </pt>
                <pt idx="907">
                  <v>1</v>
                </pt>
                <pt idx="908">
                  <v>1</v>
                </pt>
                <pt idx="909">
                  <v>1</v>
                </pt>
                <pt idx="910">
                  <v>1</v>
                </pt>
                <pt idx="911">
                  <v>1</v>
                </pt>
                <pt idx="912">
                  <v>1</v>
                </pt>
                <pt idx="913">
                  <v>1</v>
                </pt>
                <pt idx="914">
                  <v>1</v>
                </pt>
                <pt idx="915">
                  <v>1</v>
                </pt>
                <pt idx="916">
                  <v>1</v>
                </pt>
                <pt idx="917">
                  <v>1</v>
                </pt>
                <pt idx="918">
                  <v>1</v>
                </pt>
                <pt idx="919">
                  <v>1</v>
                </pt>
                <pt idx="920">
                  <v>1</v>
                </pt>
                <pt idx="921">
                  <v>1</v>
                </pt>
                <pt idx="922">
                  <v>1</v>
                </pt>
                <pt idx="923">
                  <v>1</v>
                </pt>
                <pt idx="924">
                  <v>1</v>
                </pt>
                <pt idx="925">
                  <v>1</v>
                </pt>
                <pt idx="926">
                  <v>1</v>
                </pt>
                <pt idx="927">
                  <v>1</v>
                </pt>
                <pt idx="928">
                  <v>1</v>
                </pt>
                <pt idx="929">
                  <v>1</v>
                </pt>
                <pt idx="930">
                  <v>1</v>
                </pt>
                <pt idx="931">
                  <v>1</v>
                </pt>
                <pt idx="932">
                  <v>1</v>
                </pt>
                <pt idx="933">
                  <v>1</v>
                </pt>
                <pt idx="934">
                  <v>1</v>
                </pt>
                <pt idx="935">
                  <v>1</v>
                </pt>
                <pt idx="936">
                  <v>1</v>
                </pt>
                <pt idx="937">
                  <v>1</v>
                </pt>
                <pt idx="938">
                  <v>1</v>
                </pt>
                <pt idx="939">
                  <v>1</v>
                </pt>
                <pt idx="940">
                  <v>1</v>
                </pt>
                <pt idx="941">
                  <v>1</v>
                </pt>
                <pt idx="942">
                  <v>1</v>
                </pt>
                <pt idx="943">
                  <v>1</v>
                </pt>
                <pt idx="944">
                  <v>1</v>
                </pt>
                <pt idx="945">
                  <v>1</v>
                </pt>
                <pt idx="946">
                  <v>1</v>
                </pt>
                <pt idx="947">
                  <v>1</v>
                </pt>
                <pt idx="948">
                  <v>1</v>
                </pt>
                <pt idx="949">
                  <v>1</v>
                </pt>
                <pt idx="950">
                  <v>1</v>
                </pt>
                <pt idx="951">
                  <v>1</v>
                </pt>
                <pt idx="952">
                  <v>1</v>
                </pt>
                <pt idx="953">
                  <v>1</v>
                </pt>
                <pt idx="954">
                  <v>1</v>
                </pt>
                <pt idx="955">
                  <v>1</v>
                </pt>
                <pt idx="956">
                  <v>1</v>
                </pt>
                <pt idx="957">
                  <v>1</v>
                </pt>
                <pt idx="958">
                  <v>1</v>
                </pt>
                <pt idx="959">
                  <v>1</v>
                </pt>
                <pt idx="960">
                  <v>1</v>
                </pt>
                <pt idx="961">
                  <v>1</v>
                </pt>
                <pt idx="962">
                  <v>1</v>
                </pt>
                <pt idx="963">
                  <v>1</v>
                </pt>
                <pt idx="964">
                  <v>1</v>
                </pt>
                <pt idx="965">
                  <v>1</v>
                </pt>
                <pt idx="966">
                  <v>1</v>
                </pt>
                <pt idx="967">
                  <v>1</v>
                </pt>
                <pt idx="968">
                  <v>1</v>
                </pt>
                <pt idx="969">
                  <v>1</v>
                </pt>
                <pt idx="970">
                  <v>1</v>
                </pt>
                <pt idx="971">
                  <v>1</v>
                </pt>
                <pt idx="972">
                  <v>1</v>
                </pt>
                <pt idx="973">
                  <v>1</v>
                </pt>
                <pt idx="974">
                  <v>1</v>
                </pt>
                <pt idx="975">
                  <v>1</v>
                </pt>
                <pt idx="976">
                  <v>1</v>
                </pt>
                <pt idx="977">
                  <v>1</v>
                </pt>
                <pt idx="978">
                  <v>1</v>
                </pt>
                <pt idx="979">
                  <v>1</v>
                </pt>
                <pt idx="980">
                  <v>1</v>
                </pt>
                <pt idx="981">
                  <v>1</v>
                </pt>
                <pt idx="982">
                  <v>1</v>
                </pt>
                <pt idx="983">
                  <v>1</v>
                </pt>
                <pt idx="984">
                  <v>1</v>
                </pt>
                <pt idx="985">
                  <v>1</v>
                </pt>
                <pt idx="986">
                  <v>1</v>
                </pt>
                <pt idx="987">
                  <v>1</v>
                </pt>
                <pt idx="988">
                  <v>1</v>
                </pt>
                <pt idx="989">
                  <v>1</v>
                </pt>
                <pt idx="990">
                  <v>1</v>
                </pt>
                <pt idx="991">
                  <v>1</v>
                </pt>
                <pt idx="992">
                  <v>1</v>
                </pt>
                <pt idx="993">
                  <v>1</v>
                </pt>
                <pt idx="994">
                  <v>1</v>
                </pt>
                <pt idx="995">
                  <v>1</v>
                </pt>
                <pt idx="996">
                  <v>1</v>
                </pt>
                <pt idx="997">
                  <v>1</v>
                </pt>
                <pt idx="998">
                  <v>1</v>
                </pt>
                <pt idx="999">
                  <v>1</v>
                </pt>
                <pt idx="1000">
                  <v>1</v>
                </pt>
              </numCache>
            </numRef>
          </val>
          <smooth val="0"/>
        </ser>
        <ser>
          <idx val="2"/>
          <order val="2"/>
          <tx>
            <strRef>
              <f>Лист3!$Q$1</f>
              <strCache>
                <ptCount val="1"/>
                <pt idx="0">
                  <v>f(t)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Лист3!$Q$2:$Q$1002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1</v>
                </pt>
                <pt idx="301">
                  <v>1</v>
                </pt>
                <pt idx="302">
                  <v>1</v>
                </pt>
                <pt idx="303">
                  <v>1</v>
                </pt>
                <pt idx="304">
                  <v>1</v>
                </pt>
                <pt idx="305">
                  <v>1</v>
                </pt>
                <pt idx="306">
                  <v>1</v>
                </pt>
                <pt idx="307">
                  <v>1</v>
                </pt>
                <pt idx="308">
                  <v>1</v>
                </pt>
                <pt idx="309">
                  <v>1</v>
                </pt>
                <pt idx="310">
                  <v>1</v>
                </pt>
                <pt idx="311">
                  <v>1</v>
                </pt>
                <pt idx="312">
                  <v>1</v>
                </pt>
                <pt idx="313">
                  <v>1</v>
                </pt>
                <pt idx="314">
                  <v>1</v>
                </pt>
                <pt idx="315">
                  <v>1</v>
                </pt>
                <pt idx="316">
                  <v>1</v>
                </pt>
                <pt idx="317">
                  <v>1</v>
                </pt>
                <pt idx="318">
                  <v>1</v>
                </pt>
                <pt idx="319">
                  <v>1</v>
                </pt>
                <pt idx="320">
                  <v>1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</numCache>
            </numRef>
          </val>
          <smooth val="0"/>
        </ser>
        <ser>
          <idx val="3"/>
          <order val="3"/>
          <tx>
            <strRef>
              <f>Лист3!$X$1</f>
              <strCache>
                <ptCount val="1"/>
                <pt idx="0">
                  <v>Граница верх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Лист3!$X$2:$X$1002</f>
              <numCache>
                <formatCode>0.000</formatCode>
                <ptCount val="1001"/>
                <pt idx="0">
                  <v>1.05</v>
                </pt>
                <pt idx="1">
                  <v>1.05</v>
                </pt>
                <pt idx="2">
                  <v>1.05</v>
                </pt>
                <pt idx="3">
                  <v>1.05</v>
                </pt>
                <pt idx="4">
                  <v>1.05</v>
                </pt>
                <pt idx="5">
                  <v>1.05</v>
                </pt>
                <pt idx="6">
                  <v>1.05</v>
                </pt>
                <pt idx="7">
                  <v>1.05</v>
                </pt>
                <pt idx="8">
                  <v>1.05</v>
                </pt>
                <pt idx="9">
                  <v>1.05</v>
                </pt>
                <pt idx="10">
                  <v>1.05</v>
                </pt>
                <pt idx="11">
                  <v>1.05</v>
                </pt>
                <pt idx="12">
                  <v>1.05</v>
                </pt>
                <pt idx="13">
                  <v>1.05</v>
                </pt>
                <pt idx="14">
                  <v>1.05</v>
                </pt>
                <pt idx="15">
                  <v>1.05</v>
                </pt>
                <pt idx="16">
                  <v>1.05</v>
                </pt>
                <pt idx="17">
                  <v>1.05</v>
                </pt>
                <pt idx="18">
                  <v>1.05</v>
                </pt>
                <pt idx="19">
                  <v>1.05</v>
                </pt>
                <pt idx="20">
                  <v>1.05</v>
                </pt>
                <pt idx="21">
                  <v>1.05</v>
                </pt>
                <pt idx="22">
                  <v>1.05</v>
                </pt>
                <pt idx="23">
                  <v>1.05</v>
                </pt>
                <pt idx="24">
                  <v>1.05</v>
                </pt>
                <pt idx="25">
                  <v>1.05</v>
                </pt>
                <pt idx="26">
                  <v>1.05</v>
                </pt>
                <pt idx="27">
                  <v>1.05</v>
                </pt>
                <pt idx="28">
                  <v>1.05</v>
                </pt>
                <pt idx="29">
                  <v>1.05</v>
                </pt>
                <pt idx="30">
                  <v>1.05</v>
                </pt>
                <pt idx="31">
                  <v>1.05</v>
                </pt>
                <pt idx="32">
                  <v>1.05</v>
                </pt>
                <pt idx="33">
                  <v>1.05</v>
                </pt>
                <pt idx="34">
                  <v>1.05</v>
                </pt>
                <pt idx="35">
                  <v>1.05</v>
                </pt>
                <pt idx="36">
                  <v>1.05</v>
                </pt>
                <pt idx="37">
                  <v>1.05</v>
                </pt>
                <pt idx="38">
                  <v>1.05</v>
                </pt>
                <pt idx="39">
                  <v>1.05</v>
                </pt>
                <pt idx="40">
                  <v>10.5</v>
                </pt>
                <pt idx="41">
                  <v>10.5</v>
                </pt>
                <pt idx="42">
                  <v>10.5</v>
                </pt>
                <pt idx="43">
                  <v>10.5</v>
                </pt>
                <pt idx="44">
                  <v>10.5</v>
                </pt>
                <pt idx="45">
                  <v>10.5</v>
                </pt>
                <pt idx="46">
                  <v>10.5</v>
                </pt>
                <pt idx="47">
                  <v>10.5</v>
                </pt>
                <pt idx="48">
                  <v>10.5</v>
                </pt>
                <pt idx="49">
                  <v>10.5</v>
                </pt>
                <pt idx="50">
                  <v>10.5</v>
                </pt>
                <pt idx="51">
                  <v>10.5</v>
                </pt>
                <pt idx="52">
                  <v>10.5</v>
                </pt>
                <pt idx="53">
                  <v>10.5</v>
                </pt>
                <pt idx="54">
                  <v>10.5</v>
                </pt>
                <pt idx="55">
                  <v>10.5</v>
                </pt>
                <pt idx="56">
                  <v>10.5</v>
                </pt>
                <pt idx="57">
                  <v>10.5</v>
                </pt>
                <pt idx="58">
                  <v>10.5</v>
                </pt>
                <pt idx="59">
                  <v>10.5</v>
                </pt>
                <pt idx="60">
                  <v>10.5</v>
                </pt>
                <pt idx="61">
                  <v>10.5</v>
                </pt>
                <pt idx="62">
                  <v>10.5</v>
                </pt>
                <pt idx="63">
                  <v>10.5</v>
                </pt>
                <pt idx="64">
                  <v>10.5</v>
                </pt>
                <pt idx="65">
                  <v>10.5</v>
                </pt>
                <pt idx="66">
                  <v>10.5</v>
                </pt>
                <pt idx="67">
                  <v>10.5</v>
                </pt>
                <pt idx="68">
                  <v>10.5</v>
                </pt>
                <pt idx="69">
                  <v>10.5</v>
                </pt>
                <pt idx="70">
                  <v>10.5</v>
                </pt>
                <pt idx="71">
                  <v>10.5</v>
                </pt>
                <pt idx="72">
                  <v>10.5</v>
                </pt>
                <pt idx="73">
                  <v>10.5</v>
                </pt>
                <pt idx="74">
                  <v>10.5</v>
                </pt>
                <pt idx="75">
                  <v>10.5</v>
                </pt>
                <pt idx="76">
                  <v>10.5</v>
                </pt>
                <pt idx="77">
                  <v>10.5</v>
                </pt>
                <pt idx="78">
                  <v>10.5</v>
                </pt>
                <pt idx="79">
                  <v>10.5</v>
                </pt>
                <pt idx="80">
                  <v>10.5</v>
                </pt>
                <pt idx="81">
                  <v>10.5</v>
                </pt>
                <pt idx="82">
                  <v>10.5</v>
                </pt>
                <pt idx="83">
                  <v>10.5</v>
                </pt>
                <pt idx="84">
                  <v>10.5</v>
                </pt>
                <pt idx="85">
                  <v>10.5</v>
                </pt>
                <pt idx="86">
                  <v>10.5</v>
                </pt>
                <pt idx="87">
                  <v>10.5</v>
                </pt>
                <pt idx="88">
                  <v>10.5</v>
                </pt>
                <pt idx="89">
                  <v>10.5</v>
                </pt>
                <pt idx="90">
                  <v>10.5</v>
                </pt>
                <pt idx="91">
                  <v>10.5</v>
                </pt>
                <pt idx="92">
                  <v>10.5</v>
                </pt>
                <pt idx="93">
                  <v>10.5</v>
                </pt>
                <pt idx="94">
                  <v>10.5</v>
                </pt>
                <pt idx="95">
                  <v>10.5</v>
                </pt>
                <pt idx="96">
                  <v>10.5</v>
                </pt>
                <pt idx="97">
                  <v>10.5</v>
                </pt>
                <pt idx="98">
                  <v>10.5</v>
                </pt>
                <pt idx="99">
                  <v>10.5</v>
                </pt>
                <pt idx="100">
                  <v>10.5</v>
                </pt>
                <pt idx="101">
                  <v>10.5</v>
                </pt>
                <pt idx="102">
                  <v>10.5</v>
                </pt>
                <pt idx="103">
                  <v>10.5</v>
                </pt>
                <pt idx="104">
                  <v>10.5</v>
                </pt>
                <pt idx="105">
                  <v>10.5</v>
                </pt>
                <pt idx="106">
                  <v>10.5</v>
                </pt>
                <pt idx="107">
                  <v>10.5</v>
                </pt>
                <pt idx="108">
                  <v>10.5</v>
                </pt>
                <pt idx="109">
                  <v>10.5</v>
                </pt>
                <pt idx="110">
                  <v>10.5</v>
                </pt>
                <pt idx="111">
                  <v>10.5</v>
                </pt>
                <pt idx="112">
                  <v>10.5</v>
                </pt>
                <pt idx="113">
                  <v>10.5</v>
                </pt>
                <pt idx="114">
                  <v>10.5</v>
                </pt>
                <pt idx="115">
                  <v>10.5</v>
                </pt>
                <pt idx="116">
                  <v>10.5</v>
                </pt>
                <pt idx="117">
                  <v>10.5</v>
                </pt>
                <pt idx="118">
                  <v>10.5</v>
                </pt>
                <pt idx="119">
                  <v>10.5</v>
                </pt>
                <pt idx="120">
                  <v>10.5</v>
                </pt>
                <pt idx="121">
                  <v>10.5</v>
                </pt>
                <pt idx="122">
                  <v>10.5</v>
                </pt>
                <pt idx="123">
                  <v>10.5</v>
                </pt>
                <pt idx="124">
                  <v>10.5</v>
                </pt>
                <pt idx="125">
                  <v>10.5</v>
                </pt>
                <pt idx="126">
                  <v>10.5</v>
                </pt>
                <pt idx="127">
                  <v>10.5</v>
                </pt>
                <pt idx="128">
                  <v>10.5</v>
                </pt>
                <pt idx="129">
                  <v>10.5</v>
                </pt>
                <pt idx="130">
                  <v>10.5</v>
                </pt>
                <pt idx="131">
                  <v>10.5</v>
                </pt>
                <pt idx="132">
                  <v>10.5</v>
                </pt>
                <pt idx="133">
                  <v>10.5</v>
                </pt>
                <pt idx="134">
                  <v>10.5</v>
                </pt>
                <pt idx="135">
                  <v>10.5</v>
                </pt>
                <pt idx="136">
                  <v>10.5</v>
                </pt>
                <pt idx="137">
                  <v>10.5</v>
                </pt>
                <pt idx="138">
                  <v>10.5</v>
                </pt>
                <pt idx="139">
                  <v>10.5</v>
                </pt>
                <pt idx="140">
                  <v>10.5</v>
                </pt>
                <pt idx="141">
                  <v>10.5</v>
                </pt>
                <pt idx="142">
                  <v>10.5</v>
                </pt>
                <pt idx="143">
                  <v>10.5</v>
                </pt>
                <pt idx="144">
                  <v>10.5</v>
                </pt>
                <pt idx="145">
                  <v>10.5</v>
                </pt>
                <pt idx="146">
                  <v>10.5</v>
                </pt>
                <pt idx="147">
                  <v>10.5</v>
                </pt>
                <pt idx="148">
                  <v>10.5</v>
                </pt>
                <pt idx="149">
                  <v>10.5</v>
                </pt>
                <pt idx="150">
                  <v>10.5</v>
                </pt>
                <pt idx="151">
                  <v>10.5</v>
                </pt>
                <pt idx="152">
                  <v>10.5</v>
                </pt>
                <pt idx="153">
                  <v>10.5</v>
                </pt>
                <pt idx="154">
                  <v>10.5</v>
                </pt>
                <pt idx="155">
                  <v>10.5</v>
                </pt>
                <pt idx="156">
                  <v>10.5</v>
                </pt>
                <pt idx="157">
                  <v>10.5</v>
                </pt>
                <pt idx="158">
                  <v>10.5</v>
                </pt>
                <pt idx="159">
                  <v>10.5</v>
                </pt>
                <pt idx="160">
                  <v>10.5</v>
                </pt>
                <pt idx="161">
                  <v>10.5</v>
                </pt>
                <pt idx="162">
                  <v>10.5</v>
                </pt>
                <pt idx="163">
                  <v>10.5</v>
                </pt>
                <pt idx="164">
                  <v>10.5</v>
                </pt>
                <pt idx="165">
                  <v>10.5</v>
                </pt>
                <pt idx="166">
                  <v>10.5</v>
                </pt>
                <pt idx="167">
                  <v>10.5</v>
                </pt>
                <pt idx="168">
                  <v>10.5</v>
                </pt>
                <pt idx="169">
                  <v>10.5</v>
                </pt>
                <pt idx="170">
                  <v>10.5</v>
                </pt>
                <pt idx="171">
                  <v>10.5</v>
                </pt>
                <pt idx="172">
                  <v>10.5</v>
                </pt>
                <pt idx="173">
                  <v>10.5</v>
                </pt>
                <pt idx="174">
                  <v>10.5</v>
                </pt>
                <pt idx="175">
                  <v>10.5</v>
                </pt>
                <pt idx="176">
                  <v>10.5</v>
                </pt>
                <pt idx="177">
                  <v>10.5</v>
                </pt>
                <pt idx="178">
                  <v>10.5</v>
                </pt>
                <pt idx="179">
                  <v>10.5</v>
                </pt>
                <pt idx="180">
                  <v>10.5</v>
                </pt>
                <pt idx="181">
                  <v>10.5</v>
                </pt>
                <pt idx="182">
                  <v>10.5</v>
                </pt>
                <pt idx="183">
                  <v>10.5</v>
                </pt>
                <pt idx="184">
                  <v>10.5</v>
                </pt>
                <pt idx="185">
                  <v>10.5</v>
                </pt>
                <pt idx="186">
                  <v>10.5</v>
                </pt>
                <pt idx="187">
                  <v>10.5</v>
                </pt>
                <pt idx="188">
                  <v>10.5</v>
                </pt>
                <pt idx="189">
                  <v>10.5</v>
                </pt>
                <pt idx="190">
                  <v>10.5</v>
                </pt>
                <pt idx="191">
                  <v>10.5</v>
                </pt>
                <pt idx="192">
                  <v>10.5</v>
                </pt>
                <pt idx="193">
                  <v>10.5</v>
                </pt>
                <pt idx="194">
                  <v>10.5</v>
                </pt>
                <pt idx="195">
                  <v>10.5</v>
                </pt>
                <pt idx="196">
                  <v>10.5</v>
                </pt>
                <pt idx="197">
                  <v>10.5</v>
                </pt>
                <pt idx="198">
                  <v>10.5</v>
                </pt>
                <pt idx="199">
                  <v>10.5</v>
                </pt>
                <pt idx="200">
                  <v>10.5</v>
                </pt>
                <pt idx="201">
                  <v>10.5</v>
                </pt>
                <pt idx="202">
                  <v>10.5</v>
                </pt>
                <pt idx="203">
                  <v>10.5</v>
                </pt>
                <pt idx="204">
                  <v>10.5</v>
                </pt>
                <pt idx="205">
                  <v>10.5</v>
                </pt>
                <pt idx="206">
                  <v>10.5</v>
                </pt>
                <pt idx="207">
                  <v>10.5</v>
                </pt>
                <pt idx="208">
                  <v>10.5</v>
                </pt>
                <pt idx="209">
                  <v>10.5</v>
                </pt>
                <pt idx="210">
                  <v>10.5</v>
                </pt>
                <pt idx="211">
                  <v>10.5</v>
                </pt>
                <pt idx="212">
                  <v>10.5</v>
                </pt>
                <pt idx="213">
                  <v>10.5</v>
                </pt>
                <pt idx="214">
                  <v>10.5</v>
                </pt>
                <pt idx="215">
                  <v>10.5</v>
                </pt>
                <pt idx="216">
                  <v>10.5</v>
                </pt>
                <pt idx="217">
                  <v>10.5</v>
                </pt>
                <pt idx="218">
                  <v>10.5</v>
                </pt>
                <pt idx="219">
                  <v>10.5</v>
                </pt>
                <pt idx="220">
                  <v>10.5</v>
                </pt>
                <pt idx="221">
                  <v>10.5</v>
                </pt>
                <pt idx="222">
                  <v>10.5</v>
                </pt>
                <pt idx="223">
                  <v>10.5</v>
                </pt>
                <pt idx="224">
                  <v>10.5</v>
                </pt>
                <pt idx="225">
                  <v>10.5</v>
                </pt>
                <pt idx="226">
                  <v>10.5</v>
                </pt>
                <pt idx="227">
                  <v>10.5</v>
                </pt>
                <pt idx="228">
                  <v>10.5</v>
                </pt>
                <pt idx="229">
                  <v>10.5</v>
                </pt>
                <pt idx="230">
                  <v>10.5</v>
                </pt>
                <pt idx="231">
                  <v>10.5</v>
                </pt>
                <pt idx="232">
                  <v>10.5</v>
                </pt>
                <pt idx="233">
                  <v>10.5</v>
                </pt>
                <pt idx="234">
                  <v>10.5</v>
                </pt>
                <pt idx="235">
                  <v>10.5</v>
                </pt>
                <pt idx="236">
                  <v>10.5</v>
                </pt>
                <pt idx="237">
                  <v>10.5</v>
                </pt>
                <pt idx="238">
                  <v>10.5</v>
                </pt>
                <pt idx="239">
                  <v>10.5</v>
                </pt>
                <pt idx="240">
                  <v>10.5</v>
                </pt>
                <pt idx="241">
                  <v>10.5</v>
                </pt>
                <pt idx="242">
                  <v>10.5</v>
                </pt>
                <pt idx="243">
                  <v>10.5</v>
                </pt>
                <pt idx="244">
                  <v>10.5</v>
                </pt>
                <pt idx="245">
                  <v>10.5</v>
                </pt>
                <pt idx="246">
                  <v>10.5</v>
                </pt>
                <pt idx="247">
                  <v>10.5</v>
                </pt>
                <pt idx="248">
                  <v>10.5</v>
                </pt>
                <pt idx="249">
                  <v>10.5</v>
                </pt>
                <pt idx="250">
                  <v>10.5</v>
                </pt>
                <pt idx="251">
                  <v>10.5</v>
                </pt>
                <pt idx="252">
                  <v>10.5</v>
                </pt>
                <pt idx="253">
                  <v>10.5</v>
                </pt>
                <pt idx="254">
                  <v>10.5</v>
                </pt>
                <pt idx="255">
                  <v>10.5</v>
                </pt>
                <pt idx="256">
                  <v>10.5</v>
                </pt>
                <pt idx="257">
                  <v>10.5</v>
                </pt>
                <pt idx="258">
                  <v>10.5</v>
                </pt>
                <pt idx="259">
                  <v>10.5</v>
                </pt>
                <pt idx="260">
                  <v>10.5</v>
                </pt>
                <pt idx="261">
                  <v>10.5</v>
                </pt>
                <pt idx="262">
                  <v>10.5</v>
                </pt>
                <pt idx="263">
                  <v>10.5</v>
                </pt>
                <pt idx="264">
                  <v>10.5</v>
                </pt>
                <pt idx="265">
                  <v>10.5</v>
                </pt>
                <pt idx="266">
                  <v>10.5</v>
                </pt>
                <pt idx="267">
                  <v>10.5</v>
                </pt>
                <pt idx="268">
                  <v>10.5</v>
                </pt>
                <pt idx="269">
                  <v>10.5</v>
                </pt>
                <pt idx="270">
                  <v>10.5</v>
                </pt>
                <pt idx="271">
                  <v>10.5</v>
                </pt>
                <pt idx="272">
                  <v>10.5</v>
                </pt>
                <pt idx="273">
                  <v>10.5</v>
                </pt>
                <pt idx="274">
                  <v>10.5</v>
                </pt>
                <pt idx="275">
                  <v>10.5</v>
                </pt>
                <pt idx="276">
                  <v>10.5</v>
                </pt>
                <pt idx="277">
                  <v>10.5</v>
                </pt>
                <pt idx="278">
                  <v>10.5</v>
                </pt>
                <pt idx="279">
                  <v>10.5</v>
                </pt>
                <pt idx="280">
                  <v>10.5</v>
                </pt>
                <pt idx="281">
                  <v>10.5</v>
                </pt>
                <pt idx="282">
                  <v>10.5</v>
                </pt>
                <pt idx="283">
                  <v>10.5</v>
                </pt>
                <pt idx="284">
                  <v>10.5</v>
                </pt>
                <pt idx="285">
                  <v>10.5</v>
                </pt>
                <pt idx="286">
                  <v>10.5</v>
                </pt>
                <pt idx="287">
                  <v>10.5</v>
                </pt>
                <pt idx="288">
                  <v>10.5</v>
                </pt>
                <pt idx="289">
                  <v>10.5</v>
                </pt>
                <pt idx="290">
                  <v>10.5</v>
                </pt>
                <pt idx="291">
                  <v>10.5</v>
                </pt>
                <pt idx="292">
                  <v>10.5</v>
                </pt>
                <pt idx="293">
                  <v>10.5</v>
                </pt>
                <pt idx="294">
                  <v>10.5</v>
                </pt>
                <pt idx="295">
                  <v>10.5</v>
                </pt>
                <pt idx="296">
                  <v>10.5</v>
                </pt>
                <pt idx="297">
                  <v>10.5</v>
                </pt>
                <pt idx="298">
                  <v>10.5</v>
                </pt>
                <pt idx="299">
                  <v>10.5</v>
                </pt>
                <pt idx="300">
                  <v>10.5</v>
                </pt>
                <pt idx="301">
                  <v>10.5</v>
                </pt>
                <pt idx="302">
                  <v>10.5</v>
                </pt>
                <pt idx="303">
                  <v>10.5</v>
                </pt>
                <pt idx="304">
                  <v>10.5</v>
                </pt>
                <pt idx="305">
                  <v>10.5</v>
                </pt>
                <pt idx="306">
                  <v>10.5</v>
                </pt>
                <pt idx="307">
                  <v>10.5</v>
                </pt>
                <pt idx="308">
                  <v>10.5</v>
                </pt>
                <pt idx="309">
                  <v>10.5</v>
                </pt>
                <pt idx="310">
                  <v>10.5</v>
                </pt>
                <pt idx="311">
                  <v>10.5</v>
                </pt>
                <pt idx="312">
                  <v>10.5</v>
                </pt>
                <pt idx="313">
                  <v>10.5</v>
                </pt>
                <pt idx="314">
                  <v>10.5</v>
                </pt>
                <pt idx="315">
                  <v>10.5</v>
                </pt>
                <pt idx="316">
                  <v>10.5</v>
                </pt>
                <pt idx="317">
                  <v>10.5</v>
                </pt>
                <pt idx="318">
                  <v>10.5</v>
                </pt>
                <pt idx="319">
                  <v>10.5</v>
                </pt>
                <pt idx="320">
                  <v>10.5</v>
                </pt>
                <pt idx="321">
                  <v>10.5</v>
                </pt>
                <pt idx="322">
                  <v>10.5</v>
                </pt>
                <pt idx="323">
                  <v>10.5</v>
                </pt>
                <pt idx="324">
                  <v>10.5</v>
                </pt>
                <pt idx="325">
                  <v>10.5</v>
                </pt>
                <pt idx="326">
                  <v>10.5</v>
                </pt>
                <pt idx="327">
                  <v>10.5</v>
                </pt>
                <pt idx="328">
                  <v>10.5</v>
                </pt>
                <pt idx="329">
                  <v>10.5</v>
                </pt>
                <pt idx="330">
                  <v>10.5</v>
                </pt>
                <pt idx="331">
                  <v>10.5</v>
                </pt>
                <pt idx="332">
                  <v>10.5</v>
                </pt>
                <pt idx="333">
                  <v>10.5</v>
                </pt>
                <pt idx="334">
                  <v>10.5</v>
                </pt>
                <pt idx="335">
                  <v>10.5</v>
                </pt>
                <pt idx="336">
                  <v>10.5</v>
                </pt>
                <pt idx="337">
                  <v>10.5</v>
                </pt>
                <pt idx="338">
                  <v>10.5</v>
                </pt>
                <pt idx="339">
                  <v>10.5</v>
                </pt>
                <pt idx="340">
                  <v>10.5</v>
                </pt>
                <pt idx="341">
                  <v>10.5</v>
                </pt>
                <pt idx="342">
                  <v>10.5</v>
                </pt>
                <pt idx="343">
                  <v>10.5</v>
                </pt>
                <pt idx="344">
                  <v>10.5</v>
                </pt>
                <pt idx="345">
                  <v>10.5</v>
                </pt>
                <pt idx="346">
                  <v>10.5</v>
                </pt>
                <pt idx="347">
                  <v>10.5</v>
                </pt>
                <pt idx="348">
                  <v>10.5</v>
                </pt>
                <pt idx="349">
                  <v>10.5</v>
                </pt>
                <pt idx="350">
                  <v>10.5</v>
                </pt>
                <pt idx="351">
                  <v>10.5</v>
                </pt>
                <pt idx="352">
                  <v>10.5</v>
                </pt>
                <pt idx="353">
                  <v>10.5</v>
                </pt>
                <pt idx="354">
                  <v>10.5</v>
                </pt>
                <pt idx="355">
                  <v>10.5</v>
                </pt>
                <pt idx="356">
                  <v>10.5</v>
                </pt>
                <pt idx="357">
                  <v>10.5</v>
                </pt>
                <pt idx="358">
                  <v>10.5</v>
                </pt>
                <pt idx="359">
                  <v>10.5</v>
                </pt>
                <pt idx="360">
                  <v>10.5</v>
                </pt>
                <pt idx="361">
                  <v>10.5</v>
                </pt>
                <pt idx="362">
                  <v>10.5</v>
                </pt>
                <pt idx="363">
                  <v>10.5</v>
                </pt>
                <pt idx="364">
                  <v>10.5</v>
                </pt>
                <pt idx="365">
                  <v>10.5</v>
                </pt>
                <pt idx="366">
                  <v>10.5</v>
                </pt>
                <pt idx="367">
                  <v>10.5</v>
                </pt>
                <pt idx="368">
                  <v>10.5</v>
                </pt>
                <pt idx="369">
                  <v>10.5</v>
                </pt>
                <pt idx="370">
                  <v>10.5</v>
                </pt>
                <pt idx="371">
                  <v>10.5</v>
                </pt>
                <pt idx="372">
                  <v>10.5</v>
                </pt>
                <pt idx="373">
                  <v>10.5</v>
                </pt>
                <pt idx="374">
                  <v>10.5</v>
                </pt>
                <pt idx="375">
                  <v>10.5</v>
                </pt>
                <pt idx="376">
                  <v>10.5</v>
                </pt>
                <pt idx="377">
                  <v>10.5</v>
                </pt>
                <pt idx="378">
                  <v>10.5</v>
                </pt>
                <pt idx="379">
                  <v>10.5</v>
                </pt>
                <pt idx="380">
                  <v>10.5</v>
                </pt>
                <pt idx="381">
                  <v>10.5</v>
                </pt>
                <pt idx="382">
                  <v>10.5</v>
                </pt>
                <pt idx="383">
                  <v>10.5</v>
                </pt>
                <pt idx="384">
                  <v>10.5</v>
                </pt>
                <pt idx="385">
                  <v>10.5</v>
                </pt>
                <pt idx="386">
                  <v>10.5</v>
                </pt>
                <pt idx="387">
                  <v>10.5</v>
                </pt>
                <pt idx="388">
                  <v>10.5</v>
                </pt>
                <pt idx="389">
                  <v>10.5</v>
                </pt>
                <pt idx="390">
                  <v>10.5</v>
                </pt>
                <pt idx="391">
                  <v>10.5</v>
                </pt>
                <pt idx="392">
                  <v>10.5</v>
                </pt>
                <pt idx="393">
                  <v>10.5</v>
                </pt>
                <pt idx="394">
                  <v>10.5</v>
                </pt>
                <pt idx="395">
                  <v>10.5</v>
                </pt>
                <pt idx="396">
                  <v>10.5</v>
                </pt>
                <pt idx="397">
                  <v>10.5</v>
                </pt>
                <pt idx="398">
                  <v>10.5</v>
                </pt>
                <pt idx="399">
                  <v>10.5</v>
                </pt>
                <pt idx="400">
                  <v>10.5</v>
                </pt>
                <pt idx="401">
                  <v>10.5</v>
                </pt>
                <pt idx="402">
                  <v>10.5</v>
                </pt>
                <pt idx="403">
                  <v>10.5</v>
                </pt>
                <pt idx="404">
                  <v>10.5</v>
                </pt>
                <pt idx="405">
                  <v>10.5</v>
                </pt>
                <pt idx="406">
                  <v>10.5</v>
                </pt>
                <pt idx="407">
                  <v>10.5</v>
                </pt>
                <pt idx="408">
                  <v>10.5</v>
                </pt>
                <pt idx="409">
                  <v>10.5</v>
                </pt>
                <pt idx="410">
                  <v>10.5</v>
                </pt>
                <pt idx="411">
                  <v>10.5</v>
                </pt>
                <pt idx="412">
                  <v>10.5</v>
                </pt>
                <pt idx="413">
                  <v>10.5</v>
                </pt>
                <pt idx="414">
                  <v>10.5</v>
                </pt>
                <pt idx="415">
                  <v>10.5</v>
                </pt>
                <pt idx="416">
                  <v>10.5</v>
                </pt>
                <pt idx="417">
                  <v>10.5</v>
                </pt>
                <pt idx="418">
                  <v>10.5</v>
                </pt>
                <pt idx="419">
                  <v>10.5</v>
                </pt>
                <pt idx="420">
                  <v>10.5</v>
                </pt>
                <pt idx="421">
                  <v>10.5</v>
                </pt>
                <pt idx="422">
                  <v>10.5</v>
                </pt>
                <pt idx="423">
                  <v>10.5</v>
                </pt>
                <pt idx="424">
                  <v>10.5</v>
                </pt>
                <pt idx="425">
                  <v>10.5</v>
                </pt>
                <pt idx="426">
                  <v>10.5</v>
                </pt>
                <pt idx="427">
                  <v>10.5</v>
                </pt>
                <pt idx="428">
                  <v>10.5</v>
                </pt>
                <pt idx="429">
                  <v>10.5</v>
                </pt>
                <pt idx="430">
                  <v>10.5</v>
                </pt>
                <pt idx="431">
                  <v>10.5</v>
                </pt>
                <pt idx="432">
                  <v>10.5</v>
                </pt>
                <pt idx="433">
                  <v>10.5</v>
                </pt>
                <pt idx="434">
                  <v>10.5</v>
                </pt>
                <pt idx="435">
                  <v>10.5</v>
                </pt>
                <pt idx="436">
                  <v>10.5</v>
                </pt>
                <pt idx="437">
                  <v>10.5</v>
                </pt>
                <pt idx="438">
                  <v>10.5</v>
                </pt>
                <pt idx="439">
                  <v>10.5</v>
                </pt>
                <pt idx="440">
                  <v>10.5</v>
                </pt>
                <pt idx="441">
                  <v>10.5</v>
                </pt>
                <pt idx="442">
                  <v>10.5</v>
                </pt>
                <pt idx="443">
                  <v>10.5</v>
                </pt>
                <pt idx="444">
                  <v>10.5</v>
                </pt>
                <pt idx="445">
                  <v>10.5</v>
                </pt>
                <pt idx="446">
                  <v>10.5</v>
                </pt>
                <pt idx="447">
                  <v>10.5</v>
                </pt>
                <pt idx="448">
                  <v>10.5</v>
                </pt>
                <pt idx="449">
                  <v>10.5</v>
                </pt>
                <pt idx="450">
                  <v>10.5</v>
                </pt>
                <pt idx="451">
                  <v>10.5</v>
                </pt>
                <pt idx="452">
                  <v>10.5</v>
                </pt>
                <pt idx="453">
                  <v>10.5</v>
                </pt>
                <pt idx="454">
                  <v>10.5</v>
                </pt>
                <pt idx="455">
                  <v>10.5</v>
                </pt>
                <pt idx="456">
                  <v>10.5</v>
                </pt>
                <pt idx="457">
                  <v>10.5</v>
                </pt>
                <pt idx="458">
                  <v>10.5</v>
                </pt>
                <pt idx="459">
                  <v>10.5</v>
                </pt>
                <pt idx="460">
                  <v>10.5</v>
                </pt>
                <pt idx="461">
                  <v>10.5</v>
                </pt>
                <pt idx="462">
                  <v>10.5</v>
                </pt>
                <pt idx="463">
                  <v>10.5</v>
                </pt>
                <pt idx="464">
                  <v>10.5</v>
                </pt>
                <pt idx="465">
                  <v>10.5</v>
                </pt>
                <pt idx="466">
                  <v>10.5</v>
                </pt>
                <pt idx="467">
                  <v>10.5</v>
                </pt>
                <pt idx="468">
                  <v>10.5</v>
                </pt>
                <pt idx="469">
                  <v>10.5</v>
                </pt>
                <pt idx="470">
                  <v>10.5</v>
                </pt>
                <pt idx="471">
                  <v>10.5</v>
                </pt>
                <pt idx="472">
                  <v>10.5</v>
                </pt>
                <pt idx="473">
                  <v>10.5</v>
                </pt>
                <pt idx="474">
                  <v>10.5</v>
                </pt>
                <pt idx="475">
                  <v>10.5</v>
                </pt>
                <pt idx="476">
                  <v>10.5</v>
                </pt>
                <pt idx="477">
                  <v>10.5</v>
                </pt>
                <pt idx="478">
                  <v>10.5</v>
                </pt>
                <pt idx="479">
                  <v>10.5</v>
                </pt>
                <pt idx="480">
                  <v>10.5</v>
                </pt>
                <pt idx="481">
                  <v>10.5</v>
                </pt>
                <pt idx="482">
                  <v>10.5</v>
                </pt>
                <pt idx="483">
                  <v>10.5</v>
                </pt>
                <pt idx="484">
                  <v>10.5</v>
                </pt>
                <pt idx="485">
                  <v>10.5</v>
                </pt>
                <pt idx="486">
                  <v>10.5</v>
                </pt>
                <pt idx="487">
                  <v>10.5</v>
                </pt>
                <pt idx="488">
                  <v>10.5</v>
                </pt>
                <pt idx="489">
                  <v>10.5</v>
                </pt>
                <pt idx="490">
                  <v>10.5</v>
                </pt>
                <pt idx="491">
                  <v>10.5</v>
                </pt>
                <pt idx="492">
                  <v>10.5</v>
                </pt>
                <pt idx="493">
                  <v>10.5</v>
                </pt>
                <pt idx="494">
                  <v>10.5</v>
                </pt>
                <pt idx="495">
                  <v>10.5</v>
                </pt>
                <pt idx="496">
                  <v>10.5</v>
                </pt>
                <pt idx="497">
                  <v>10.5</v>
                </pt>
                <pt idx="498">
                  <v>10.5</v>
                </pt>
                <pt idx="499">
                  <v>10.5</v>
                </pt>
                <pt idx="500">
                  <v>10.5</v>
                </pt>
                <pt idx="501">
                  <v>10.5</v>
                </pt>
                <pt idx="502">
                  <v>10.5</v>
                </pt>
                <pt idx="503">
                  <v>10.5</v>
                </pt>
                <pt idx="504">
                  <v>10.5</v>
                </pt>
                <pt idx="505">
                  <v>10.5</v>
                </pt>
                <pt idx="506">
                  <v>10.5</v>
                </pt>
                <pt idx="507">
                  <v>10.5</v>
                </pt>
                <pt idx="508">
                  <v>10.5</v>
                </pt>
                <pt idx="509">
                  <v>10.5</v>
                </pt>
                <pt idx="510">
                  <v>10.5</v>
                </pt>
                <pt idx="511">
                  <v>10.5</v>
                </pt>
                <pt idx="512">
                  <v>10.5</v>
                </pt>
                <pt idx="513">
                  <v>10.5</v>
                </pt>
                <pt idx="514">
                  <v>10.5</v>
                </pt>
                <pt idx="515">
                  <v>10.5</v>
                </pt>
                <pt idx="516">
                  <v>10.5</v>
                </pt>
                <pt idx="517">
                  <v>10.5</v>
                </pt>
                <pt idx="518">
                  <v>10.5</v>
                </pt>
                <pt idx="519">
                  <v>10.5</v>
                </pt>
                <pt idx="520">
                  <v>10.5</v>
                </pt>
                <pt idx="521">
                  <v>10.5</v>
                </pt>
                <pt idx="522">
                  <v>10.5</v>
                </pt>
                <pt idx="523">
                  <v>10.5</v>
                </pt>
                <pt idx="524">
                  <v>10.5</v>
                </pt>
                <pt idx="525">
                  <v>10.5</v>
                </pt>
                <pt idx="526">
                  <v>10.5</v>
                </pt>
                <pt idx="527">
                  <v>10.5</v>
                </pt>
                <pt idx="528">
                  <v>10.5</v>
                </pt>
                <pt idx="529">
                  <v>10.5</v>
                </pt>
                <pt idx="530">
                  <v>10.5</v>
                </pt>
                <pt idx="531">
                  <v>10.5</v>
                </pt>
                <pt idx="532">
                  <v>10.5</v>
                </pt>
                <pt idx="533">
                  <v>10.5</v>
                </pt>
                <pt idx="534">
                  <v>10.5</v>
                </pt>
                <pt idx="535">
                  <v>10.5</v>
                </pt>
                <pt idx="536">
                  <v>10.5</v>
                </pt>
                <pt idx="537">
                  <v>10.5</v>
                </pt>
                <pt idx="538">
                  <v>10.5</v>
                </pt>
                <pt idx="539">
                  <v>10.5</v>
                </pt>
                <pt idx="540">
                  <v>10.5</v>
                </pt>
                <pt idx="541">
                  <v>10.5</v>
                </pt>
                <pt idx="542">
                  <v>10.5</v>
                </pt>
                <pt idx="543">
                  <v>10.5</v>
                </pt>
                <pt idx="544">
                  <v>10.5</v>
                </pt>
                <pt idx="545">
                  <v>10.5</v>
                </pt>
                <pt idx="546">
                  <v>10.5</v>
                </pt>
                <pt idx="547">
                  <v>10.5</v>
                </pt>
                <pt idx="548">
                  <v>10.5</v>
                </pt>
                <pt idx="549">
                  <v>10.5</v>
                </pt>
                <pt idx="550">
                  <v>10.5</v>
                </pt>
                <pt idx="551">
                  <v>10.5</v>
                </pt>
                <pt idx="552">
                  <v>10.5</v>
                </pt>
                <pt idx="553">
                  <v>10.5</v>
                </pt>
                <pt idx="554">
                  <v>10.5</v>
                </pt>
                <pt idx="555">
                  <v>10.5</v>
                </pt>
                <pt idx="556">
                  <v>10.5</v>
                </pt>
                <pt idx="557">
                  <v>10.5</v>
                </pt>
                <pt idx="558">
                  <v>10.5</v>
                </pt>
                <pt idx="559">
                  <v>10.5</v>
                </pt>
                <pt idx="560">
                  <v>10.5</v>
                </pt>
                <pt idx="561">
                  <v>10.5</v>
                </pt>
                <pt idx="562">
                  <v>10.5</v>
                </pt>
                <pt idx="563">
                  <v>10.5</v>
                </pt>
                <pt idx="564">
                  <v>10.5</v>
                </pt>
                <pt idx="565">
                  <v>10.5</v>
                </pt>
                <pt idx="566">
                  <v>10.5</v>
                </pt>
                <pt idx="567">
                  <v>10.5</v>
                </pt>
                <pt idx="568">
                  <v>10.5</v>
                </pt>
                <pt idx="569">
                  <v>10.5</v>
                </pt>
                <pt idx="570">
                  <v>10.5</v>
                </pt>
                <pt idx="571">
                  <v>10.5</v>
                </pt>
                <pt idx="572">
                  <v>10.5</v>
                </pt>
                <pt idx="573">
                  <v>10.5</v>
                </pt>
                <pt idx="574">
                  <v>10.5</v>
                </pt>
                <pt idx="575">
                  <v>10.5</v>
                </pt>
                <pt idx="576">
                  <v>10.5</v>
                </pt>
                <pt idx="577">
                  <v>10.5</v>
                </pt>
                <pt idx="578">
                  <v>10.5</v>
                </pt>
                <pt idx="579">
                  <v>10.5</v>
                </pt>
                <pt idx="580">
                  <v>10.5</v>
                </pt>
                <pt idx="581">
                  <v>10.5</v>
                </pt>
                <pt idx="582">
                  <v>10.5</v>
                </pt>
                <pt idx="583">
                  <v>10.5</v>
                </pt>
                <pt idx="584">
                  <v>10.5</v>
                </pt>
                <pt idx="585">
                  <v>10.5</v>
                </pt>
                <pt idx="586">
                  <v>10.5</v>
                </pt>
                <pt idx="587">
                  <v>10.5</v>
                </pt>
                <pt idx="588">
                  <v>10.5</v>
                </pt>
                <pt idx="589">
                  <v>10.5</v>
                </pt>
                <pt idx="590">
                  <v>10.5</v>
                </pt>
                <pt idx="591">
                  <v>10.5</v>
                </pt>
                <pt idx="592">
                  <v>10.5</v>
                </pt>
                <pt idx="593">
                  <v>10.5</v>
                </pt>
                <pt idx="594">
                  <v>10.5</v>
                </pt>
                <pt idx="595">
                  <v>10.5</v>
                </pt>
                <pt idx="596">
                  <v>10.5</v>
                </pt>
                <pt idx="597">
                  <v>10.5</v>
                </pt>
                <pt idx="598">
                  <v>10.5</v>
                </pt>
                <pt idx="599">
                  <v>10.5</v>
                </pt>
                <pt idx="600">
                  <v>1.05</v>
                </pt>
                <pt idx="601">
                  <v>1.05</v>
                </pt>
                <pt idx="602">
                  <v>1.05</v>
                </pt>
                <pt idx="603">
                  <v>1.05</v>
                </pt>
                <pt idx="604">
                  <v>1.05</v>
                </pt>
                <pt idx="605">
                  <v>1.05</v>
                </pt>
                <pt idx="606">
                  <v>1.05</v>
                </pt>
                <pt idx="607">
                  <v>1.05</v>
                </pt>
                <pt idx="608">
                  <v>1.05</v>
                </pt>
                <pt idx="609">
                  <v>1.05</v>
                </pt>
                <pt idx="610">
                  <v>1.05</v>
                </pt>
                <pt idx="611">
                  <v>1.05</v>
                </pt>
                <pt idx="612">
                  <v>1.05</v>
                </pt>
                <pt idx="613">
                  <v>1.05</v>
                </pt>
                <pt idx="614">
                  <v>1.05</v>
                </pt>
                <pt idx="615">
                  <v>1.05</v>
                </pt>
                <pt idx="616">
                  <v>1.05</v>
                </pt>
                <pt idx="617">
                  <v>1.05</v>
                </pt>
                <pt idx="618">
                  <v>1.05</v>
                </pt>
                <pt idx="619">
                  <v>1.05</v>
                </pt>
                <pt idx="620">
                  <v>1.05</v>
                </pt>
                <pt idx="621">
                  <v>1.05</v>
                </pt>
                <pt idx="622">
                  <v>1.05</v>
                </pt>
                <pt idx="623">
                  <v>1.05</v>
                </pt>
                <pt idx="624">
                  <v>1.05</v>
                </pt>
                <pt idx="625">
                  <v>1.05</v>
                </pt>
                <pt idx="626">
                  <v>1.05</v>
                </pt>
                <pt idx="627">
                  <v>1.05</v>
                </pt>
                <pt idx="628">
                  <v>1.05</v>
                </pt>
                <pt idx="629">
                  <v>1.05</v>
                </pt>
                <pt idx="630">
                  <v>1.05</v>
                </pt>
                <pt idx="631">
                  <v>1.05</v>
                </pt>
                <pt idx="632">
                  <v>1.05</v>
                </pt>
                <pt idx="633">
                  <v>1.05</v>
                </pt>
                <pt idx="634">
                  <v>1.05</v>
                </pt>
                <pt idx="635">
                  <v>1.05</v>
                </pt>
                <pt idx="636">
                  <v>1.05</v>
                </pt>
                <pt idx="637">
                  <v>1.05</v>
                </pt>
                <pt idx="638">
                  <v>1.05</v>
                </pt>
                <pt idx="639">
                  <v>1.05</v>
                </pt>
                <pt idx="640">
                  <v>1.05</v>
                </pt>
                <pt idx="641">
                  <v>1.05</v>
                </pt>
                <pt idx="642">
                  <v>1.05</v>
                </pt>
                <pt idx="643">
                  <v>1.05</v>
                </pt>
                <pt idx="644">
                  <v>1.05</v>
                </pt>
                <pt idx="645">
                  <v>1.05</v>
                </pt>
                <pt idx="646">
                  <v>1.05</v>
                </pt>
                <pt idx="647">
                  <v>1.05</v>
                </pt>
                <pt idx="648">
                  <v>1.05</v>
                </pt>
                <pt idx="649">
                  <v>1.05</v>
                </pt>
                <pt idx="650">
                  <v>1.05</v>
                </pt>
                <pt idx="651">
                  <v>1.05</v>
                </pt>
                <pt idx="652">
                  <v>1.05</v>
                </pt>
                <pt idx="653">
                  <v>1.05</v>
                </pt>
                <pt idx="654">
                  <v>1.05</v>
                </pt>
                <pt idx="655">
                  <v>1.05</v>
                </pt>
                <pt idx="656">
                  <v>1.05</v>
                </pt>
                <pt idx="657">
                  <v>1.05</v>
                </pt>
                <pt idx="658">
                  <v>1.05</v>
                </pt>
                <pt idx="659">
                  <v>1.05</v>
                </pt>
                <pt idx="660">
                  <v>1.05</v>
                </pt>
                <pt idx="661">
                  <v>1.05</v>
                </pt>
                <pt idx="662">
                  <v>1.05</v>
                </pt>
                <pt idx="663">
                  <v>1.05</v>
                </pt>
                <pt idx="664">
                  <v>1.05</v>
                </pt>
                <pt idx="665">
                  <v>1.05</v>
                </pt>
                <pt idx="666">
                  <v>1.05</v>
                </pt>
                <pt idx="667">
                  <v>1.05</v>
                </pt>
                <pt idx="668">
                  <v>1.05</v>
                </pt>
                <pt idx="669">
                  <v>1.05</v>
                </pt>
                <pt idx="670">
                  <v>1.05</v>
                </pt>
                <pt idx="671">
                  <v>1.05</v>
                </pt>
                <pt idx="672">
                  <v>1.05</v>
                </pt>
                <pt idx="673">
                  <v>1.05</v>
                </pt>
                <pt idx="674">
                  <v>1.05</v>
                </pt>
                <pt idx="675">
                  <v>1.05</v>
                </pt>
                <pt idx="676">
                  <v>1.05</v>
                </pt>
                <pt idx="677">
                  <v>1.05</v>
                </pt>
                <pt idx="678">
                  <v>1.05</v>
                </pt>
                <pt idx="679">
                  <v>1.05</v>
                </pt>
                <pt idx="680">
                  <v>1.05</v>
                </pt>
                <pt idx="681">
                  <v>1.05</v>
                </pt>
                <pt idx="682">
                  <v>1.05</v>
                </pt>
                <pt idx="683">
                  <v>1.05</v>
                </pt>
                <pt idx="684">
                  <v>1.05</v>
                </pt>
                <pt idx="685">
                  <v>1.05</v>
                </pt>
                <pt idx="686">
                  <v>1.05</v>
                </pt>
                <pt idx="687">
                  <v>1.05</v>
                </pt>
                <pt idx="688">
                  <v>1.05</v>
                </pt>
                <pt idx="689">
                  <v>1.05</v>
                </pt>
                <pt idx="690">
                  <v>1.05</v>
                </pt>
                <pt idx="691">
                  <v>1.05</v>
                </pt>
                <pt idx="692">
                  <v>1.05</v>
                </pt>
                <pt idx="693">
                  <v>1.05</v>
                </pt>
                <pt idx="694">
                  <v>1.05</v>
                </pt>
                <pt idx="695">
                  <v>1.05</v>
                </pt>
                <pt idx="696">
                  <v>1.05</v>
                </pt>
                <pt idx="697">
                  <v>1.05</v>
                </pt>
                <pt idx="698">
                  <v>1.05</v>
                </pt>
                <pt idx="699">
                  <v>1.05</v>
                </pt>
                <pt idx="700">
                  <v>1.05</v>
                </pt>
                <pt idx="701">
                  <v>1.05</v>
                </pt>
                <pt idx="702">
                  <v>1.05</v>
                </pt>
                <pt idx="703">
                  <v>1.05</v>
                </pt>
                <pt idx="704">
                  <v>1.05</v>
                </pt>
                <pt idx="705">
                  <v>1.05</v>
                </pt>
                <pt idx="706">
                  <v>1.05</v>
                </pt>
                <pt idx="707">
                  <v>1.05</v>
                </pt>
                <pt idx="708">
                  <v>1.05</v>
                </pt>
                <pt idx="709">
                  <v>1.05</v>
                </pt>
                <pt idx="710">
                  <v>1.05</v>
                </pt>
                <pt idx="711">
                  <v>1.05</v>
                </pt>
                <pt idx="712">
                  <v>1.05</v>
                </pt>
                <pt idx="713">
                  <v>1.05</v>
                </pt>
                <pt idx="714">
                  <v>1.05</v>
                </pt>
                <pt idx="715">
                  <v>1.05</v>
                </pt>
                <pt idx="716">
                  <v>1.05</v>
                </pt>
                <pt idx="717">
                  <v>1.05</v>
                </pt>
                <pt idx="718">
                  <v>1.05</v>
                </pt>
                <pt idx="719">
                  <v>1.05</v>
                </pt>
                <pt idx="720">
                  <v>1.05</v>
                </pt>
                <pt idx="721">
                  <v>1.05</v>
                </pt>
                <pt idx="722">
                  <v>1.05</v>
                </pt>
                <pt idx="723">
                  <v>1.05</v>
                </pt>
                <pt idx="724">
                  <v>1.05</v>
                </pt>
                <pt idx="725">
                  <v>1.05</v>
                </pt>
                <pt idx="726">
                  <v>1.05</v>
                </pt>
                <pt idx="727">
                  <v>1.05</v>
                </pt>
                <pt idx="728">
                  <v>1.05</v>
                </pt>
                <pt idx="729">
                  <v>1.05</v>
                </pt>
                <pt idx="730">
                  <v>1.05</v>
                </pt>
                <pt idx="731">
                  <v>1.05</v>
                </pt>
                <pt idx="732">
                  <v>1.05</v>
                </pt>
                <pt idx="733">
                  <v>1.05</v>
                </pt>
                <pt idx="734">
                  <v>1.05</v>
                </pt>
                <pt idx="735">
                  <v>1.05</v>
                </pt>
                <pt idx="736">
                  <v>1.05</v>
                </pt>
                <pt idx="737">
                  <v>1.05</v>
                </pt>
                <pt idx="738">
                  <v>1.05</v>
                </pt>
                <pt idx="739">
                  <v>1.05</v>
                </pt>
                <pt idx="740">
                  <v>1.05</v>
                </pt>
                <pt idx="741">
                  <v>1.05</v>
                </pt>
                <pt idx="742">
                  <v>1.05</v>
                </pt>
                <pt idx="743">
                  <v>1.05</v>
                </pt>
                <pt idx="744">
                  <v>1.05</v>
                </pt>
                <pt idx="745">
                  <v>1.05</v>
                </pt>
                <pt idx="746">
                  <v>1.05</v>
                </pt>
                <pt idx="747">
                  <v>1.05</v>
                </pt>
                <pt idx="748">
                  <v>1.05</v>
                </pt>
                <pt idx="749">
                  <v>1.05</v>
                </pt>
                <pt idx="750">
                  <v>1.05</v>
                </pt>
                <pt idx="751">
                  <v>1.05</v>
                </pt>
                <pt idx="752">
                  <v>1.05</v>
                </pt>
                <pt idx="753">
                  <v>1.05</v>
                </pt>
                <pt idx="754">
                  <v>1.05</v>
                </pt>
                <pt idx="755">
                  <v>1.05</v>
                </pt>
                <pt idx="756">
                  <v>1.05</v>
                </pt>
                <pt idx="757">
                  <v>1.05</v>
                </pt>
                <pt idx="758">
                  <v>1.05</v>
                </pt>
                <pt idx="759">
                  <v>1.05</v>
                </pt>
                <pt idx="760">
                  <v>1.05</v>
                </pt>
                <pt idx="761">
                  <v>1.05</v>
                </pt>
                <pt idx="762">
                  <v>1.05</v>
                </pt>
                <pt idx="763">
                  <v>1.05</v>
                </pt>
                <pt idx="764">
                  <v>1.05</v>
                </pt>
                <pt idx="765">
                  <v>1.05</v>
                </pt>
                <pt idx="766">
                  <v>1.05</v>
                </pt>
                <pt idx="767">
                  <v>1.05</v>
                </pt>
                <pt idx="768">
                  <v>1.05</v>
                </pt>
                <pt idx="769">
                  <v>1.05</v>
                </pt>
                <pt idx="770">
                  <v>1.05</v>
                </pt>
                <pt idx="771">
                  <v>1.05</v>
                </pt>
                <pt idx="772">
                  <v>1.05</v>
                </pt>
                <pt idx="773">
                  <v>1.05</v>
                </pt>
                <pt idx="774">
                  <v>1.05</v>
                </pt>
                <pt idx="775">
                  <v>1.05</v>
                </pt>
                <pt idx="776">
                  <v>1.05</v>
                </pt>
                <pt idx="777">
                  <v>1.05</v>
                </pt>
                <pt idx="778">
                  <v>1.05</v>
                </pt>
                <pt idx="779">
                  <v>1.05</v>
                </pt>
                <pt idx="780">
                  <v>1.05</v>
                </pt>
                <pt idx="781">
                  <v>1.05</v>
                </pt>
                <pt idx="782">
                  <v>1.05</v>
                </pt>
                <pt idx="783">
                  <v>1.05</v>
                </pt>
                <pt idx="784">
                  <v>1.05</v>
                </pt>
                <pt idx="785">
                  <v>1.05</v>
                </pt>
                <pt idx="786">
                  <v>1.05</v>
                </pt>
                <pt idx="787">
                  <v>1.05</v>
                </pt>
                <pt idx="788">
                  <v>1.05</v>
                </pt>
                <pt idx="789">
                  <v>1.05</v>
                </pt>
                <pt idx="790">
                  <v>1.05</v>
                </pt>
                <pt idx="791">
                  <v>1.05</v>
                </pt>
                <pt idx="792">
                  <v>1.05</v>
                </pt>
                <pt idx="793">
                  <v>1.05</v>
                </pt>
                <pt idx="794">
                  <v>1.05</v>
                </pt>
                <pt idx="795">
                  <v>1.05</v>
                </pt>
                <pt idx="796">
                  <v>1.05</v>
                </pt>
                <pt idx="797">
                  <v>1.05</v>
                </pt>
                <pt idx="798">
                  <v>1.05</v>
                </pt>
                <pt idx="799">
                  <v>1.05</v>
                </pt>
                <pt idx="800">
                  <v>1.05</v>
                </pt>
                <pt idx="801">
                  <v>1.05</v>
                </pt>
                <pt idx="802">
                  <v>1.05</v>
                </pt>
                <pt idx="803">
                  <v>1.05</v>
                </pt>
                <pt idx="804">
                  <v>1.05</v>
                </pt>
                <pt idx="805">
                  <v>1.05</v>
                </pt>
                <pt idx="806">
                  <v>1.05</v>
                </pt>
                <pt idx="807">
                  <v>1.05</v>
                </pt>
                <pt idx="808">
                  <v>1.05</v>
                </pt>
                <pt idx="809">
                  <v>1.05</v>
                </pt>
                <pt idx="810">
                  <v>1.05</v>
                </pt>
                <pt idx="811">
                  <v>1.05</v>
                </pt>
                <pt idx="812">
                  <v>1.05</v>
                </pt>
                <pt idx="813">
                  <v>1.05</v>
                </pt>
                <pt idx="814">
                  <v>1.05</v>
                </pt>
                <pt idx="815">
                  <v>1.05</v>
                </pt>
                <pt idx="816">
                  <v>1.05</v>
                </pt>
                <pt idx="817">
                  <v>1.05</v>
                </pt>
                <pt idx="818">
                  <v>1.05</v>
                </pt>
                <pt idx="819">
                  <v>1.05</v>
                </pt>
                <pt idx="820">
                  <v>1.05</v>
                </pt>
                <pt idx="821">
                  <v>1.05</v>
                </pt>
                <pt idx="822">
                  <v>1.05</v>
                </pt>
                <pt idx="823">
                  <v>1.05</v>
                </pt>
                <pt idx="824">
                  <v>1.05</v>
                </pt>
                <pt idx="825">
                  <v>1.05</v>
                </pt>
                <pt idx="826">
                  <v>1.05</v>
                </pt>
                <pt idx="827">
                  <v>1.05</v>
                </pt>
                <pt idx="828">
                  <v>1.05</v>
                </pt>
                <pt idx="829">
                  <v>1.05</v>
                </pt>
                <pt idx="830">
                  <v>1.05</v>
                </pt>
                <pt idx="831">
                  <v>1.05</v>
                </pt>
                <pt idx="832">
                  <v>1.05</v>
                </pt>
                <pt idx="833">
                  <v>1.05</v>
                </pt>
                <pt idx="834">
                  <v>1.05</v>
                </pt>
                <pt idx="835">
                  <v>1.05</v>
                </pt>
                <pt idx="836">
                  <v>1.05</v>
                </pt>
                <pt idx="837">
                  <v>1.05</v>
                </pt>
                <pt idx="838">
                  <v>1.05</v>
                </pt>
                <pt idx="839">
                  <v>1.05</v>
                </pt>
                <pt idx="840">
                  <v>1.05</v>
                </pt>
                <pt idx="841">
                  <v>1.05</v>
                </pt>
                <pt idx="842">
                  <v>1.05</v>
                </pt>
                <pt idx="843">
                  <v>1.05</v>
                </pt>
                <pt idx="844">
                  <v>1.05</v>
                </pt>
                <pt idx="845">
                  <v>1.05</v>
                </pt>
                <pt idx="846">
                  <v>1.05</v>
                </pt>
                <pt idx="847">
                  <v>1.05</v>
                </pt>
                <pt idx="848">
                  <v>1.05</v>
                </pt>
                <pt idx="849">
                  <v>1.05</v>
                </pt>
                <pt idx="850">
                  <v>1.05</v>
                </pt>
                <pt idx="851">
                  <v>1.05</v>
                </pt>
                <pt idx="852">
                  <v>1.05</v>
                </pt>
                <pt idx="853">
                  <v>1.05</v>
                </pt>
                <pt idx="854">
                  <v>1.05</v>
                </pt>
                <pt idx="855">
                  <v>1.05</v>
                </pt>
                <pt idx="856">
                  <v>1.05</v>
                </pt>
                <pt idx="857">
                  <v>1.05</v>
                </pt>
                <pt idx="858">
                  <v>1.05</v>
                </pt>
                <pt idx="859">
                  <v>1.05</v>
                </pt>
                <pt idx="860">
                  <v>1.05</v>
                </pt>
                <pt idx="861">
                  <v>1.05</v>
                </pt>
                <pt idx="862">
                  <v>1.05</v>
                </pt>
                <pt idx="863">
                  <v>1.05</v>
                </pt>
                <pt idx="864">
                  <v>1.05</v>
                </pt>
                <pt idx="865">
                  <v>1.05</v>
                </pt>
                <pt idx="866">
                  <v>1.05</v>
                </pt>
                <pt idx="867">
                  <v>1.05</v>
                </pt>
                <pt idx="868">
                  <v>1.05</v>
                </pt>
                <pt idx="869">
                  <v>1.05</v>
                </pt>
                <pt idx="870">
                  <v>1.05</v>
                </pt>
                <pt idx="871">
                  <v>1.05</v>
                </pt>
                <pt idx="872">
                  <v>1.05</v>
                </pt>
                <pt idx="873">
                  <v>1.05</v>
                </pt>
                <pt idx="874">
                  <v>1.05</v>
                </pt>
                <pt idx="875">
                  <v>1.05</v>
                </pt>
                <pt idx="876">
                  <v>1.05</v>
                </pt>
                <pt idx="877">
                  <v>1.05</v>
                </pt>
                <pt idx="878">
                  <v>1.05</v>
                </pt>
                <pt idx="879">
                  <v>1.05</v>
                </pt>
                <pt idx="880">
                  <v>1.05</v>
                </pt>
                <pt idx="881">
                  <v>1.05</v>
                </pt>
                <pt idx="882">
                  <v>1.05</v>
                </pt>
                <pt idx="883">
                  <v>1.05</v>
                </pt>
                <pt idx="884">
                  <v>1.05</v>
                </pt>
                <pt idx="885">
                  <v>1.05</v>
                </pt>
                <pt idx="886">
                  <v>1.05</v>
                </pt>
                <pt idx="887">
                  <v>1.05</v>
                </pt>
                <pt idx="888">
                  <v>1.05</v>
                </pt>
                <pt idx="889">
                  <v>1.05</v>
                </pt>
                <pt idx="890">
                  <v>1.05</v>
                </pt>
                <pt idx="891">
                  <v>1.05</v>
                </pt>
                <pt idx="892">
                  <v>1.05</v>
                </pt>
                <pt idx="893">
                  <v>1.05</v>
                </pt>
                <pt idx="894">
                  <v>1.05</v>
                </pt>
                <pt idx="895">
                  <v>1.05</v>
                </pt>
                <pt idx="896">
                  <v>1.05</v>
                </pt>
                <pt idx="897">
                  <v>1.05</v>
                </pt>
                <pt idx="898">
                  <v>1.05</v>
                </pt>
                <pt idx="899">
                  <v>1.05</v>
                </pt>
                <pt idx="900">
                  <v>1.05</v>
                </pt>
                <pt idx="901">
                  <v>1.05</v>
                </pt>
                <pt idx="902">
                  <v>1.05</v>
                </pt>
                <pt idx="903">
                  <v>1.05</v>
                </pt>
                <pt idx="904">
                  <v>1.05</v>
                </pt>
                <pt idx="905">
                  <v>1.05</v>
                </pt>
                <pt idx="906">
                  <v>1.05</v>
                </pt>
                <pt idx="907">
                  <v>1.05</v>
                </pt>
                <pt idx="908">
                  <v>1.05</v>
                </pt>
                <pt idx="909">
                  <v>1.05</v>
                </pt>
                <pt idx="910">
                  <v>1.05</v>
                </pt>
                <pt idx="911">
                  <v>1.05</v>
                </pt>
                <pt idx="912">
                  <v>1.05</v>
                </pt>
                <pt idx="913">
                  <v>1.05</v>
                </pt>
                <pt idx="914">
                  <v>1.05</v>
                </pt>
                <pt idx="915">
                  <v>1.05</v>
                </pt>
                <pt idx="916">
                  <v>1.05</v>
                </pt>
                <pt idx="917">
                  <v>1.05</v>
                </pt>
                <pt idx="918">
                  <v>1.05</v>
                </pt>
                <pt idx="919">
                  <v>1.05</v>
                </pt>
                <pt idx="920">
                  <v>1.05</v>
                </pt>
                <pt idx="921">
                  <v>1.05</v>
                </pt>
                <pt idx="922">
                  <v>1.05</v>
                </pt>
                <pt idx="923">
                  <v>1.05</v>
                </pt>
                <pt idx="924">
                  <v>1.05</v>
                </pt>
                <pt idx="925">
                  <v>1.05</v>
                </pt>
                <pt idx="926">
                  <v>1.05</v>
                </pt>
                <pt idx="927">
                  <v>1.05</v>
                </pt>
                <pt idx="928">
                  <v>1.05</v>
                </pt>
                <pt idx="929">
                  <v>1.05</v>
                </pt>
                <pt idx="930">
                  <v>1.05</v>
                </pt>
                <pt idx="931">
                  <v>1.05</v>
                </pt>
                <pt idx="932">
                  <v>1.05</v>
                </pt>
                <pt idx="933">
                  <v>1.05</v>
                </pt>
                <pt idx="934">
                  <v>1.05</v>
                </pt>
                <pt idx="935">
                  <v>1.05</v>
                </pt>
                <pt idx="936">
                  <v>1.05</v>
                </pt>
                <pt idx="937">
                  <v>1.05</v>
                </pt>
                <pt idx="938">
                  <v>1.05</v>
                </pt>
                <pt idx="939">
                  <v>1.05</v>
                </pt>
                <pt idx="940">
                  <v>1.05</v>
                </pt>
                <pt idx="941">
                  <v>1.05</v>
                </pt>
                <pt idx="942">
                  <v>1.05</v>
                </pt>
                <pt idx="943">
                  <v>1.05</v>
                </pt>
                <pt idx="944">
                  <v>1.05</v>
                </pt>
                <pt idx="945">
                  <v>1.05</v>
                </pt>
                <pt idx="946">
                  <v>1.05</v>
                </pt>
                <pt idx="947">
                  <v>1.05</v>
                </pt>
                <pt idx="948">
                  <v>1.05</v>
                </pt>
                <pt idx="949">
                  <v>1.05</v>
                </pt>
                <pt idx="950">
                  <v>1.05</v>
                </pt>
                <pt idx="951">
                  <v>1.05</v>
                </pt>
                <pt idx="952">
                  <v>1.05</v>
                </pt>
                <pt idx="953">
                  <v>1.05</v>
                </pt>
                <pt idx="954">
                  <v>1.05</v>
                </pt>
                <pt idx="955">
                  <v>1.05</v>
                </pt>
                <pt idx="956">
                  <v>1.05</v>
                </pt>
                <pt idx="957">
                  <v>1.05</v>
                </pt>
                <pt idx="958">
                  <v>1.05</v>
                </pt>
                <pt idx="959">
                  <v>1.05</v>
                </pt>
                <pt idx="960">
                  <v>1.05</v>
                </pt>
                <pt idx="961">
                  <v>1.05</v>
                </pt>
                <pt idx="962">
                  <v>1.05</v>
                </pt>
                <pt idx="963">
                  <v>1.05</v>
                </pt>
                <pt idx="964">
                  <v>1.05</v>
                </pt>
                <pt idx="965">
                  <v>1.05</v>
                </pt>
                <pt idx="966">
                  <v>1.05</v>
                </pt>
                <pt idx="967">
                  <v>1.05</v>
                </pt>
                <pt idx="968">
                  <v>1.05</v>
                </pt>
                <pt idx="969">
                  <v>1.05</v>
                </pt>
                <pt idx="970">
                  <v>1.05</v>
                </pt>
                <pt idx="971">
                  <v>1.05</v>
                </pt>
                <pt idx="972">
                  <v>1.05</v>
                </pt>
                <pt idx="973">
                  <v>1.05</v>
                </pt>
                <pt idx="974">
                  <v>1.05</v>
                </pt>
                <pt idx="975">
                  <v>1.05</v>
                </pt>
                <pt idx="976">
                  <v>1.05</v>
                </pt>
                <pt idx="977">
                  <v>1.05</v>
                </pt>
                <pt idx="978">
                  <v>1.05</v>
                </pt>
                <pt idx="979">
                  <v>1.05</v>
                </pt>
                <pt idx="980">
                  <v>1.05</v>
                </pt>
                <pt idx="981">
                  <v>1.05</v>
                </pt>
                <pt idx="982">
                  <v>1.05</v>
                </pt>
                <pt idx="983">
                  <v>1.05</v>
                </pt>
                <pt idx="984">
                  <v>1.05</v>
                </pt>
                <pt idx="985">
                  <v>1.05</v>
                </pt>
                <pt idx="986">
                  <v>1.05</v>
                </pt>
                <pt idx="987">
                  <v>1.05</v>
                </pt>
                <pt idx="988">
                  <v>1.05</v>
                </pt>
                <pt idx="989">
                  <v>1.05</v>
                </pt>
                <pt idx="990">
                  <v>1.05</v>
                </pt>
                <pt idx="991">
                  <v>1.05</v>
                </pt>
                <pt idx="992">
                  <v>1.05</v>
                </pt>
                <pt idx="993">
                  <v>1.05</v>
                </pt>
                <pt idx="994">
                  <v>1.05</v>
                </pt>
                <pt idx="995">
                  <v>1.05</v>
                </pt>
                <pt idx="996">
                  <v>1.05</v>
                </pt>
                <pt idx="997">
                  <v>1.05</v>
                </pt>
                <pt idx="998">
                  <v>1.05</v>
                </pt>
                <pt idx="999">
                  <v>1.05</v>
                </pt>
                <pt idx="1000">
                  <v>1.05</v>
                </pt>
              </numCache>
            </numRef>
          </val>
          <smooth val="0"/>
        </ser>
        <ser>
          <idx val="4"/>
          <order val="4"/>
          <tx>
            <strRef>
              <f>Лист3!$Y$1</f>
              <strCache>
                <ptCount val="1"/>
                <pt idx="0">
                  <v>Граница низ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Лист3!$Y$2:$Y$1002</f>
              <numCache>
                <formatCode>0.000</formatCode>
                <ptCount val="1001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  <pt idx="12">
                  <v>0.95</v>
                </pt>
                <pt idx="13">
                  <v>0.95</v>
                </pt>
                <pt idx="14">
                  <v>0.95</v>
                </pt>
                <pt idx="15">
                  <v>0.95</v>
                </pt>
                <pt idx="16">
                  <v>0.95</v>
                </pt>
                <pt idx="17">
                  <v>0.95</v>
                </pt>
                <pt idx="18">
                  <v>0.95</v>
                </pt>
                <pt idx="19">
                  <v>0.95</v>
                </pt>
                <pt idx="20">
                  <v>0.95</v>
                </pt>
                <pt idx="21">
                  <v>0.95</v>
                </pt>
                <pt idx="22">
                  <v>0.95</v>
                </pt>
                <pt idx="23">
                  <v>0.95</v>
                </pt>
                <pt idx="24">
                  <v>0.95</v>
                </pt>
                <pt idx="25">
                  <v>0.95</v>
                </pt>
                <pt idx="26">
                  <v>0.95</v>
                </pt>
                <pt idx="27">
                  <v>0.95</v>
                </pt>
                <pt idx="28">
                  <v>0.95</v>
                </pt>
                <pt idx="29">
                  <v>0.95</v>
                </pt>
                <pt idx="30">
                  <v>0.95</v>
                </pt>
                <pt idx="31">
                  <v>0.95</v>
                </pt>
                <pt idx="32">
                  <v>0.95</v>
                </pt>
                <pt idx="33">
                  <v>0.95</v>
                </pt>
                <pt idx="34">
                  <v>0.95</v>
                </pt>
                <pt idx="35">
                  <v>0.95</v>
                </pt>
                <pt idx="36">
                  <v>0.95</v>
                </pt>
                <pt idx="37">
                  <v>0.95</v>
                </pt>
                <pt idx="38">
                  <v>0.95</v>
                </pt>
                <pt idx="39">
                  <v>0.95</v>
                </pt>
                <pt idx="40">
                  <v>9.5</v>
                </pt>
                <pt idx="41">
                  <v>9.5</v>
                </pt>
                <pt idx="42">
                  <v>9.5</v>
                </pt>
                <pt idx="43">
                  <v>9.5</v>
                </pt>
                <pt idx="44">
                  <v>9.5</v>
                </pt>
                <pt idx="45">
                  <v>9.5</v>
                </pt>
                <pt idx="46">
                  <v>9.5</v>
                </pt>
                <pt idx="47">
                  <v>9.5</v>
                </pt>
                <pt idx="48">
                  <v>9.5</v>
                </pt>
                <pt idx="49">
                  <v>9.5</v>
                </pt>
                <pt idx="50">
                  <v>9.5</v>
                </pt>
                <pt idx="51">
                  <v>9.5</v>
                </pt>
                <pt idx="52">
                  <v>9.5</v>
                </pt>
                <pt idx="53">
                  <v>9.5</v>
                </pt>
                <pt idx="54">
                  <v>9.5</v>
                </pt>
                <pt idx="55">
                  <v>9.5</v>
                </pt>
                <pt idx="56">
                  <v>9.5</v>
                </pt>
                <pt idx="57">
                  <v>9.5</v>
                </pt>
                <pt idx="58">
                  <v>9.5</v>
                </pt>
                <pt idx="59">
                  <v>9.5</v>
                </pt>
                <pt idx="60">
                  <v>9.5</v>
                </pt>
                <pt idx="61">
                  <v>9.5</v>
                </pt>
                <pt idx="62">
                  <v>9.5</v>
                </pt>
                <pt idx="63">
                  <v>9.5</v>
                </pt>
                <pt idx="64">
                  <v>9.5</v>
                </pt>
                <pt idx="65">
                  <v>9.5</v>
                </pt>
                <pt idx="66">
                  <v>9.5</v>
                </pt>
                <pt idx="67">
                  <v>9.5</v>
                </pt>
                <pt idx="68">
                  <v>9.5</v>
                </pt>
                <pt idx="69">
                  <v>9.5</v>
                </pt>
                <pt idx="70">
                  <v>9.5</v>
                </pt>
                <pt idx="71">
                  <v>9.5</v>
                </pt>
                <pt idx="72">
                  <v>9.5</v>
                </pt>
                <pt idx="73">
                  <v>9.5</v>
                </pt>
                <pt idx="74">
                  <v>9.5</v>
                </pt>
                <pt idx="75">
                  <v>9.5</v>
                </pt>
                <pt idx="76">
                  <v>9.5</v>
                </pt>
                <pt idx="77">
                  <v>9.5</v>
                </pt>
                <pt idx="78">
                  <v>9.5</v>
                </pt>
                <pt idx="79">
                  <v>9.5</v>
                </pt>
                <pt idx="80">
                  <v>9.5</v>
                </pt>
                <pt idx="81">
                  <v>9.5</v>
                </pt>
                <pt idx="82">
                  <v>9.5</v>
                </pt>
                <pt idx="83">
                  <v>9.5</v>
                </pt>
                <pt idx="84">
                  <v>9.5</v>
                </pt>
                <pt idx="85">
                  <v>9.5</v>
                </pt>
                <pt idx="86">
                  <v>9.5</v>
                </pt>
                <pt idx="87">
                  <v>9.5</v>
                </pt>
                <pt idx="88">
                  <v>9.5</v>
                </pt>
                <pt idx="89">
                  <v>9.5</v>
                </pt>
                <pt idx="90">
                  <v>9.5</v>
                </pt>
                <pt idx="91">
                  <v>9.5</v>
                </pt>
                <pt idx="92">
                  <v>9.5</v>
                </pt>
                <pt idx="93">
                  <v>9.5</v>
                </pt>
                <pt idx="94">
                  <v>9.5</v>
                </pt>
                <pt idx="95">
                  <v>9.5</v>
                </pt>
                <pt idx="96">
                  <v>9.5</v>
                </pt>
                <pt idx="97">
                  <v>9.5</v>
                </pt>
                <pt idx="98">
                  <v>9.5</v>
                </pt>
                <pt idx="99">
                  <v>9.5</v>
                </pt>
                <pt idx="100">
                  <v>9.5</v>
                </pt>
                <pt idx="101">
                  <v>9.5</v>
                </pt>
                <pt idx="102">
                  <v>9.5</v>
                </pt>
                <pt idx="103">
                  <v>9.5</v>
                </pt>
                <pt idx="104">
                  <v>9.5</v>
                </pt>
                <pt idx="105">
                  <v>9.5</v>
                </pt>
                <pt idx="106">
                  <v>9.5</v>
                </pt>
                <pt idx="107">
                  <v>9.5</v>
                </pt>
                <pt idx="108">
                  <v>9.5</v>
                </pt>
                <pt idx="109">
                  <v>9.5</v>
                </pt>
                <pt idx="110">
                  <v>9.5</v>
                </pt>
                <pt idx="111">
                  <v>9.5</v>
                </pt>
                <pt idx="112">
                  <v>9.5</v>
                </pt>
                <pt idx="113">
                  <v>9.5</v>
                </pt>
                <pt idx="114">
                  <v>9.5</v>
                </pt>
                <pt idx="115">
                  <v>9.5</v>
                </pt>
                <pt idx="116">
                  <v>9.5</v>
                </pt>
                <pt idx="117">
                  <v>9.5</v>
                </pt>
                <pt idx="118">
                  <v>9.5</v>
                </pt>
                <pt idx="119">
                  <v>9.5</v>
                </pt>
                <pt idx="120">
                  <v>9.5</v>
                </pt>
                <pt idx="121">
                  <v>9.5</v>
                </pt>
                <pt idx="122">
                  <v>9.5</v>
                </pt>
                <pt idx="123">
                  <v>9.5</v>
                </pt>
                <pt idx="124">
                  <v>9.5</v>
                </pt>
                <pt idx="125">
                  <v>9.5</v>
                </pt>
                <pt idx="126">
                  <v>9.5</v>
                </pt>
                <pt idx="127">
                  <v>9.5</v>
                </pt>
                <pt idx="128">
                  <v>9.5</v>
                </pt>
                <pt idx="129">
                  <v>9.5</v>
                </pt>
                <pt idx="130">
                  <v>9.5</v>
                </pt>
                <pt idx="131">
                  <v>9.5</v>
                </pt>
                <pt idx="132">
                  <v>9.5</v>
                </pt>
                <pt idx="133">
                  <v>9.5</v>
                </pt>
                <pt idx="134">
                  <v>9.5</v>
                </pt>
                <pt idx="135">
                  <v>9.5</v>
                </pt>
                <pt idx="136">
                  <v>9.5</v>
                </pt>
                <pt idx="137">
                  <v>9.5</v>
                </pt>
                <pt idx="138">
                  <v>9.5</v>
                </pt>
                <pt idx="139">
                  <v>9.5</v>
                </pt>
                <pt idx="140">
                  <v>9.5</v>
                </pt>
                <pt idx="141">
                  <v>9.5</v>
                </pt>
                <pt idx="142">
                  <v>9.5</v>
                </pt>
                <pt idx="143">
                  <v>9.5</v>
                </pt>
                <pt idx="144">
                  <v>9.5</v>
                </pt>
                <pt idx="145">
                  <v>9.5</v>
                </pt>
                <pt idx="146">
                  <v>9.5</v>
                </pt>
                <pt idx="147">
                  <v>9.5</v>
                </pt>
                <pt idx="148">
                  <v>9.5</v>
                </pt>
                <pt idx="149">
                  <v>9.5</v>
                </pt>
                <pt idx="150">
                  <v>9.5</v>
                </pt>
                <pt idx="151">
                  <v>9.5</v>
                </pt>
                <pt idx="152">
                  <v>9.5</v>
                </pt>
                <pt idx="153">
                  <v>9.5</v>
                </pt>
                <pt idx="154">
                  <v>9.5</v>
                </pt>
                <pt idx="155">
                  <v>9.5</v>
                </pt>
                <pt idx="156">
                  <v>9.5</v>
                </pt>
                <pt idx="157">
                  <v>9.5</v>
                </pt>
                <pt idx="158">
                  <v>9.5</v>
                </pt>
                <pt idx="159">
                  <v>9.5</v>
                </pt>
                <pt idx="160">
                  <v>9.5</v>
                </pt>
                <pt idx="161">
                  <v>9.5</v>
                </pt>
                <pt idx="162">
                  <v>9.5</v>
                </pt>
                <pt idx="163">
                  <v>9.5</v>
                </pt>
                <pt idx="164">
                  <v>9.5</v>
                </pt>
                <pt idx="165">
                  <v>9.5</v>
                </pt>
                <pt idx="166">
                  <v>9.5</v>
                </pt>
                <pt idx="167">
                  <v>9.5</v>
                </pt>
                <pt idx="168">
                  <v>9.5</v>
                </pt>
                <pt idx="169">
                  <v>9.5</v>
                </pt>
                <pt idx="170">
                  <v>9.5</v>
                </pt>
                <pt idx="171">
                  <v>9.5</v>
                </pt>
                <pt idx="172">
                  <v>9.5</v>
                </pt>
                <pt idx="173">
                  <v>9.5</v>
                </pt>
                <pt idx="174">
                  <v>9.5</v>
                </pt>
                <pt idx="175">
                  <v>9.5</v>
                </pt>
                <pt idx="176">
                  <v>9.5</v>
                </pt>
                <pt idx="177">
                  <v>9.5</v>
                </pt>
                <pt idx="178">
                  <v>9.5</v>
                </pt>
                <pt idx="179">
                  <v>9.5</v>
                </pt>
                <pt idx="180">
                  <v>9.5</v>
                </pt>
                <pt idx="181">
                  <v>9.5</v>
                </pt>
                <pt idx="182">
                  <v>9.5</v>
                </pt>
                <pt idx="183">
                  <v>9.5</v>
                </pt>
                <pt idx="184">
                  <v>9.5</v>
                </pt>
                <pt idx="185">
                  <v>9.5</v>
                </pt>
                <pt idx="186">
                  <v>9.5</v>
                </pt>
                <pt idx="187">
                  <v>9.5</v>
                </pt>
                <pt idx="188">
                  <v>9.5</v>
                </pt>
                <pt idx="189">
                  <v>9.5</v>
                </pt>
                <pt idx="190">
                  <v>9.5</v>
                </pt>
                <pt idx="191">
                  <v>9.5</v>
                </pt>
                <pt idx="192">
                  <v>9.5</v>
                </pt>
                <pt idx="193">
                  <v>9.5</v>
                </pt>
                <pt idx="194">
                  <v>9.5</v>
                </pt>
                <pt idx="195">
                  <v>9.5</v>
                </pt>
                <pt idx="196">
                  <v>9.5</v>
                </pt>
                <pt idx="197">
                  <v>9.5</v>
                </pt>
                <pt idx="198">
                  <v>9.5</v>
                </pt>
                <pt idx="199">
                  <v>9.5</v>
                </pt>
                <pt idx="200">
                  <v>9.5</v>
                </pt>
                <pt idx="201">
                  <v>9.5</v>
                </pt>
                <pt idx="202">
                  <v>9.5</v>
                </pt>
                <pt idx="203">
                  <v>9.5</v>
                </pt>
                <pt idx="204">
                  <v>9.5</v>
                </pt>
                <pt idx="205">
                  <v>9.5</v>
                </pt>
                <pt idx="206">
                  <v>9.5</v>
                </pt>
                <pt idx="207">
                  <v>9.5</v>
                </pt>
                <pt idx="208">
                  <v>9.5</v>
                </pt>
                <pt idx="209">
                  <v>9.5</v>
                </pt>
                <pt idx="210">
                  <v>9.5</v>
                </pt>
                <pt idx="211">
                  <v>9.5</v>
                </pt>
                <pt idx="212">
                  <v>9.5</v>
                </pt>
                <pt idx="213">
                  <v>9.5</v>
                </pt>
                <pt idx="214">
                  <v>9.5</v>
                </pt>
                <pt idx="215">
                  <v>9.5</v>
                </pt>
                <pt idx="216">
                  <v>9.5</v>
                </pt>
                <pt idx="217">
                  <v>9.5</v>
                </pt>
                <pt idx="218">
                  <v>9.5</v>
                </pt>
                <pt idx="219">
                  <v>9.5</v>
                </pt>
                <pt idx="220">
                  <v>9.5</v>
                </pt>
                <pt idx="221">
                  <v>9.5</v>
                </pt>
                <pt idx="222">
                  <v>9.5</v>
                </pt>
                <pt idx="223">
                  <v>9.5</v>
                </pt>
                <pt idx="224">
                  <v>9.5</v>
                </pt>
                <pt idx="225">
                  <v>9.5</v>
                </pt>
                <pt idx="226">
                  <v>9.5</v>
                </pt>
                <pt idx="227">
                  <v>9.5</v>
                </pt>
                <pt idx="228">
                  <v>9.5</v>
                </pt>
                <pt idx="229">
                  <v>9.5</v>
                </pt>
                <pt idx="230">
                  <v>9.5</v>
                </pt>
                <pt idx="231">
                  <v>9.5</v>
                </pt>
                <pt idx="232">
                  <v>9.5</v>
                </pt>
                <pt idx="233">
                  <v>9.5</v>
                </pt>
                <pt idx="234">
                  <v>9.5</v>
                </pt>
                <pt idx="235">
                  <v>9.5</v>
                </pt>
                <pt idx="236">
                  <v>9.5</v>
                </pt>
                <pt idx="237">
                  <v>9.5</v>
                </pt>
                <pt idx="238">
                  <v>9.5</v>
                </pt>
                <pt idx="239">
                  <v>9.5</v>
                </pt>
                <pt idx="240">
                  <v>9.5</v>
                </pt>
                <pt idx="241">
                  <v>9.5</v>
                </pt>
                <pt idx="242">
                  <v>9.5</v>
                </pt>
                <pt idx="243">
                  <v>9.5</v>
                </pt>
                <pt idx="244">
                  <v>9.5</v>
                </pt>
                <pt idx="245">
                  <v>9.5</v>
                </pt>
                <pt idx="246">
                  <v>9.5</v>
                </pt>
                <pt idx="247">
                  <v>9.5</v>
                </pt>
                <pt idx="248">
                  <v>9.5</v>
                </pt>
                <pt idx="249">
                  <v>9.5</v>
                </pt>
                <pt idx="250">
                  <v>9.5</v>
                </pt>
                <pt idx="251">
                  <v>9.5</v>
                </pt>
                <pt idx="252">
                  <v>9.5</v>
                </pt>
                <pt idx="253">
                  <v>9.5</v>
                </pt>
                <pt idx="254">
                  <v>9.5</v>
                </pt>
                <pt idx="255">
                  <v>9.5</v>
                </pt>
                <pt idx="256">
                  <v>9.5</v>
                </pt>
                <pt idx="257">
                  <v>9.5</v>
                </pt>
                <pt idx="258">
                  <v>9.5</v>
                </pt>
                <pt idx="259">
                  <v>9.5</v>
                </pt>
                <pt idx="260">
                  <v>9.5</v>
                </pt>
                <pt idx="261">
                  <v>9.5</v>
                </pt>
                <pt idx="262">
                  <v>9.5</v>
                </pt>
                <pt idx="263">
                  <v>9.5</v>
                </pt>
                <pt idx="264">
                  <v>9.5</v>
                </pt>
                <pt idx="265">
                  <v>9.5</v>
                </pt>
                <pt idx="266">
                  <v>9.5</v>
                </pt>
                <pt idx="267">
                  <v>9.5</v>
                </pt>
                <pt idx="268">
                  <v>9.5</v>
                </pt>
                <pt idx="269">
                  <v>9.5</v>
                </pt>
                <pt idx="270">
                  <v>9.5</v>
                </pt>
                <pt idx="271">
                  <v>9.5</v>
                </pt>
                <pt idx="272">
                  <v>9.5</v>
                </pt>
                <pt idx="273">
                  <v>9.5</v>
                </pt>
                <pt idx="274">
                  <v>9.5</v>
                </pt>
                <pt idx="275">
                  <v>9.5</v>
                </pt>
                <pt idx="276">
                  <v>9.5</v>
                </pt>
                <pt idx="277">
                  <v>9.5</v>
                </pt>
                <pt idx="278">
                  <v>9.5</v>
                </pt>
                <pt idx="279">
                  <v>9.5</v>
                </pt>
                <pt idx="280">
                  <v>9.5</v>
                </pt>
                <pt idx="281">
                  <v>9.5</v>
                </pt>
                <pt idx="282">
                  <v>9.5</v>
                </pt>
                <pt idx="283">
                  <v>9.5</v>
                </pt>
                <pt idx="284">
                  <v>9.5</v>
                </pt>
                <pt idx="285">
                  <v>9.5</v>
                </pt>
                <pt idx="286">
                  <v>9.5</v>
                </pt>
                <pt idx="287">
                  <v>9.5</v>
                </pt>
                <pt idx="288">
                  <v>9.5</v>
                </pt>
                <pt idx="289">
                  <v>9.5</v>
                </pt>
                <pt idx="290">
                  <v>9.5</v>
                </pt>
                <pt idx="291">
                  <v>9.5</v>
                </pt>
                <pt idx="292">
                  <v>9.5</v>
                </pt>
                <pt idx="293">
                  <v>9.5</v>
                </pt>
                <pt idx="294">
                  <v>9.5</v>
                </pt>
                <pt idx="295">
                  <v>9.5</v>
                </pt>
                <pt idx="296">
                  <v>9.5</v>
                </pt>
                <pt idx="297">
                  <v>9.5</v>
                </pt>
                <pt idx="298">
                  <v>9.5</v>
                </pt>
                <pt idx="299">
                  <v>9.5</v>
                </pt>
                <pt idx="300">
                  <v>9.5</v>
                </pt>
                <pt idx="301">
                  <v>9.5</v>
                </pt>
                <pt idx="302">
                  <v>9.5</v>
                </pt>
                <pt idx="303">
                  <v>9.5</v>
                </pt>
                <pt idx="304">
                  <v>9.5</v>
                </pt>
                <pt idx="305">
                  <v>9.5</v>
                </pt>
                <pt idx="306">
                  <v>9.5</v>
                </pt>
                <pt idx="307">
                  <v>9.5</v>
                </pt>
                <pt idx="308">
                  <v>9.5</v>
                </pt>
                <pt idx="309">
                  <v>9.5</v>
                </pt>
                <pt idx="310">
                  <v>9.5</v>
                </pt>
                <pt idx="311">
                  <v>9.5</v>
                </pt>
                <pt idx="312">
                  <v>9.5</v>
                </pt>
                <pt idx="313">
                  <v>9.5</v>
                </pt>
                <pt idx="314">
                  <v>9.5</v>
                </pt>
                <pt idx="315">
                  <v>9.5</v>
                </pt>
                <pt idx="316">
                  <v>9.5</v>
                </pt>
                <pt idx="317">
                  <v>9.5</v>
                </pt>
                <pt idx="318">
                  <v>9.5</v>
                </pt>
                <pt idx="319">
                  <v>9.5</v>
                </pt>
                <pt idx="320">
                  <v>9.5</v>
                </pt>
                <pt idx="321">
                  <v>9.5</v>
                </pt>
                <pt idx="322">
                  <v>9.5</v>
                </pt>
                <pt idx="323">
                  <v>9.5</v>
                </pt>
                <pt idx="324">
                  <v>9.5</v>
                </pt>
                <pt idx="325">
                  <v>9.5</v>
                </pt>
                <pt idx="326">
                  <v>9.5</v>
                </pt>
                <pt idx="327">
                  <v>9.5</v>
                </pt>
                <pt idx="328">
                  <v>9.5</v>
                </pt>
                <pt idx="329">
                  <v>9.5</v>
                </pt>
                <pt idx="330">
                  <v>9.5</v>
                </pt>
                <pt idx="331">
                  <v>9.5</v>
                </pt>
                <pt idx="332">
                  <v>9.5</v>
                </pt>
                <pt idx="333">
                  <v>9.5</v>
                </pt>
                <pt idx="334">
                  <v>9.5</v>
                </pt>
                <pt idx="335">
                  <v>9.5</v>
                </pt>
                <pt idx="336">
                  <v>9.5</v>
                </pt>
                <pt idx="337">
                  <v>9.5</v>
                </pt>
                <pt idx="338">
                  <v>9.5</v>
                </pt>
                <pt idx="339">
                  <v>9.5</v>
                </pt>
                <pt idx="340">
                  <v>9.5</v>
                </pt>
                <pt idx="341">
                  <v>9.5</v>
                </pt>
                <pt idx="342">
                  <v>9.5</v>
                </pt>
                <pt idx="343">
                  <v>9.5</v>
                </pt>
                <pt idx="344">
                  <v>9.5</v>
                </pt>
                <pt idx="345">
                  <v>9.5</v>
                </pt>
                <pt idx="346">
                  <v>9.5</v>
                </pt>
                <pt idx="347">
                  <v>9.5</v>
                </pt>
                <pt idx="348">
                  <v>9.5</v>
                </pt>
                <pt idx="349">
                  <v>9.5</v>
                </pt>
                <pt idx="350">
                  <v>9.5</v>
                </pt>
                <pt idx="351">
                  <v>9.5</v>
                </pt>
                <pt idx="352">
                  <v>9.5</v>
                </pt>
                <pt idx="353">
                  <v>9.5</v>
                </pt>
                <pt idx="354">
                  <v>9.5</v>
                </pt>
                <pt idx="355">
                  <v>9.5</v>
                </pt>
                <pt idx="356">
                  <v>9.5</v>
                </pt>
                <pt idx="357">
                  <v>9.5</v>
                </pt>
                <pt idx="358">
                  <v>9.5</v>
                </pt>
                <pt idx="359">
                  <v>9.5</v>
                </pt>
                <pt idx="360">
                  <v>9.5</v>
                </pt>
                <pt idx="361">
                  <v>9.5</v>
                </pt>
                <pt idx="362">
                  <v>9.5</v>
                </pt>
                <pt idx="363">
                  <v>9.5</v>
                </pt>
                <pt idx="364">
                  <v>9.5</v>
                </pt>
                <pt idx="365">
                  <v>9.5</v>
                </pt>
                <pt idx="366">
                  <v>9.5</v>
                </pt>
                <pt idx="367">
                  <v>9.5</v>
                </pt>
                <pt idx="368">
                  <v>9.5</v>
                </pt>
                <pt idx="369">
                  <v>9.5</v>
                </pt>
                <pt idx="370">
                  <v>9.5</v>
                </pt>
                <pt idx="371">
                  <v>9.5</v>
                </pt>
                <pt idx="372">
                  <v>9.5</v>
                </pt>
                <pt idx="373">
                  <v>9.5</v>
                </pt>
                <pt idx="374">
                  <v>9.5</v>
                </pt>
                <pt idx="375">
                  <v>9.5</v>
                </pt>
                <pt idx="376">
                  <v>9.5</v>
                </pt>
                <pt idx="377">
                  <v>9.5</v>
                </pt>
                <pt idx="378">
                  <v>9.5</v>
                </pt>
                <pt idx="379">
                  <v>9.5</v>
                </pt>
                <pt idx="380">
                  <v>9.5</v>
                </pt>
                <pt idx="381">
                  <v>9.5</v>
                </pt>
                <pt idx="382">
                  <v>9.5</v>
                </pt>
                <pt idx="383">
                  <v>9.5</v>
                </pt>
                <pt idx="384">
                  <v>9.5</v>
                </pt>
                <pt idx="385">
                  <v>9.5</v>
                </pt>
                <pt idx="386">
                  <v>9.5</v>
                </pt>
                <pt idx="387">
                  <v>9.5</v>
                </pt>
                <pt idx="388">
                  <v>9.5</v>
                </pt>
                <pt idx="389">
                  <v>9.5</v>
                </pt>
                <pt idx="390">
                  <v>9.5</v>
                </pt>
                <pt idx="391">
                  <v>9.5</v>
                </pt>
                <pt idx="392">
                  <v>9.5</v>
                </pt>
                <pt idx="393">
                  <v>9.5</v>
                </pt>
                <pt idx="394">
                  <v>9.5</v>
                </pt>
                <pt idx="395">
                  <v>9.5</v>
                </pt>
                <pt idx="396">
                  <v>9.5</v>
                </pt>
                <pt idx="397">
                  <v>9.5</v>
                </pt>
                <pt idx="398">
                  <v>9.5</v>
                </pt>
                <pt idx="399">
                  <v>9.5</v>
                </pt>
                <pt idx="400">
                  <v>9.5</v>
                </pt>
                <pt idx="401">
                  <v>9.5</v>
                </pt>
                <pt idx="402">
                  <v>9.5</v>
                </pt>
                <pt idx="403">
                  <v>9.5</v>
                </pt>
                <pt idx="404">
                  <v>9.5</v>
                </pt>
                <pt idx="405">
                  <v>9.5</v>
                </pt>
                <pt idx="406">
                  <v>9.5</v>
                </pt>
                <pt idx="407">
                  <v>9.5</v>
                </pt>
                <pt idx="408">
                  <v>9.5</v>
                </pt>
                <pt idx="409">
                  <v>9.5</v>
                </pt>
                <pt idx="410">
                  <v>9.5</v>
                </pt>
                <pt idx="411">
                  <v>9.5</v>
                </pt>
                <pt idx="412">
                  <v>9.5</v>
                </pt>
                <pt idx="413">
                  <v>9.5</v>
                </pt>
                <pt idx="414">
                  <v>9.5</v>
                </pt>
                <pt idx="415">
                  <v>9.5</v>
                </pt>
                <pt idx="416">
                  <v>9.5</v>
                </pt>
                <pt idx="417">
                  <v>9.5</v>
                </pt>
                <pt idx="418">
                  <v>9.5</v>
                </pt>
                <pt idx="419">
                  <v>9.5</v>
                </pt>
                <pt idx="420">
                  <v>9.5</v>
                </pt>
                <pt idx="421">
                  <v>9.5</v>
                </pt>
                <pt idx="422">
                  <v>9.5</v>
                </pt>
                <pt idx="423">
                  <v>9.5</v>
                </pt>
                <pt idx="424">
                  <v>9.5</v>
                </pt>
                <pt idx="425">
                  <v>9.5</v>
                </pt>
                <pt idx="426">
                  <v>9.5</v>
                </pt>
                <pt idx="427">
                  <v>9.5</v>
                </pt>
                <pt idx="428">
                  <v>9.5</v>
                </pt>
                <pt idx="429">
                  <v>9.5</v>
                </pt>
                <pt idx="430">
                  <v>9.5</v>
                </pt>
                <pt idx="431">
                  <v>9.5</v>
                </pt>
                <pt idx="432">
                  <v>9.5</v>
                </pt>
                <pt idx="433">
                  <v>9.5</v>
                </pt>
                <pt idx="434">
                  <v>9.5</v>
                </pt>
                <pt idx="435">
                  <v>9.5</v>
                </pt>
                <pt idx="436">
                  <v>9.5</v>
                </pt>
                <pt idx="437">
                  <v>9.5</v>
                </pt>
                <pt idx="438">
                  <v>9.5</v>
                </pt>
                <pt idx="439">
                  <v>9.5</v>
                </pt>
                <pt idx="440">
                  <v>9.5</v>
                </pt>
                <pt idx="441">
                  <v>9.5</v>
                </pt>
                <pt idx="442">
                  <v>9.5</v>
                </pt>
                <pt idx="443">
                  <v>9.5</v>
                </pt>
                <pt idx="444">
                  <v>9.5</v>
                </pt>
                <pt idx="445">
                  <v>9.5</v>
                </pt>
                <pt idx="446">
                  <v>9.5</v>
                </pt>
                <pt idx="447">
                  <v>9.5</v>
                </pt>
                <pt idx="448">
                  <v>9.5</v>
                </pt>
                <pt idx="449">
                  <v>9.5</v>
                </pt>
                <pt idx="450">
                  <v>9.5</v>
                </pt>
                <pt idx="451">
                  <v>9.5</v>
                </pt>
                <pt idx="452">
                  <v>9.5</v>
                </pt>
                <pt idx="453">
                  <v>9.5</v>
                </pt>
                <pt idx="454">
                  <v>9.5</v>
                </pt>
                <pt idx="455">
                  <v>9.5</v>
                </pt>
                <pt idx="456">
                  <v>9.5</v>
                </pt>
                <pt idx="457">
                  <v>9.5</v>
                </pt>
                <pt idx="458">
                  <v>9.5</v>
                </pt>
                <pt idx="459">
                  <v>9.5</v>
                </pt>
                <pt idx="460">
                  <v>9.5</v>
                </pt>
                <pt idx="461">
                  <v>9.5</v>
                </pt>
                <pt idx="462">
                  <v>9.5</v>
                </pt>
                <pt idx="463">
                  <v>9.5</v>
                </pt>
                <pt idx="464">
                  <v>9.5</v>
                </pt>
                <pt idx="465">
                  <v>9.5</v>
                </pt>
                <pt idx="466">
                  <v>9.5</v>
                </pt>
                <pt idx="467">
                  <v>9.5</v>
                </pt>
                <pt idx="468">
                  <v>9.5</v>
                </pt>
                <pt idx="469">
                  <v>9.5</v>
                </pt>
                <pt idx="470">
                  <v>9.5</v>
                </pt>
                <pt idx="471">
                  <v>9.5</v>
                </pt>
                <pt idx="472">
                  <v>9.5</v>
                </pt>
                <pt idx="473">
                  <v>9.5</v>
                </pt>
                <pt idx="474">
                  <v>9.5</v>
                </pt>
                <pt idx="475">
                  <v>9.5</v>
                </pt>
                <pt idx="476">
                  <v>9.5</v>
                </pt>
                <pt idx="477">
                  <v>9.5</v>
                </pt>
                <pt idx="478">
                  <v>9.5</v>
                </pt>
                <pt idx="479">
                  <v>9.5</v>
                </pt>
                <pt idx="480">
                  <v>9.5</v>
                </pt>
                <pt idx="481">
                  <v>9.5</v>
                </pt>
                <pt idx="482">
                  <v>9.5</v>
                </pt>
                <pt idx="483">
                  <v>9.5</v>
                </pt>
                <pt idx="484">
                  <v>9.5</v>
                </pt>
                <pt idx="485">
                  <v>9.5</v>
                </pt>
                <pt idx="486">
                  <v>9.5</v>
                </pt>
                <pt idx="487">
                  <v>9.5</v>
                </pt>
                <pt idx="488">
                  <v>9.5</v>
                </pt>
                <pt idx="489">
                  <v>9.5</v>
                </pt>
                <pt idx="490">
                  <v>9.5</v>
                </pt>
                <pt idx="491">
                  <v>9.5</v>
                </pt>
                <pt idx="492">
                  <v>9.5</v>
                </pt>
                <pt idx="493">
                  <v>9.5</v>
                </pt>
                <pt idx="494">
                  <v>9.5</v>
                </pt>
                <pt idx="495">
                  <v>9.5</v>
                </pt>
                <pt idx="496">
                  <v>9.5</v>
                </pt>
                <pt idx="497">
                  <v>9.5</v>
                </pt>
                <pt idx="498">
                  <v>9.5</v>
                </pt>
                <pt idx="499">
                  <v>9.5</v>
                </pt>
                <pt idx="500">
                  <v>9.5</v>
                </pt>
                <pt idx="501">
                  <v>9.5</v>
                </pt>
                <pt idx="502">
                  <v>9.5</v>
                </pt>
                <pt idx="503">
                  <v>9.5</v>
                </pt>
                <pt idx="504">
                  <v>9.5</v>
                </pt>
                <pt idx="505">
                  <v>9.5</v>
                </pt>
                <pt idx="506">
                  <v>9.5</v>
                </pt>
                <pt idx="507">
                  <v>9.5</v>
                </pt>
                <pt idx="508">
                  <v>9.5</v>
                </pt>
                <pt idx="509">
                  <v>9.5</v>
                </pt>
                <pt idx="510">
                  <v>9.5</v>
                </pt>
                <pt idx="511">
                  <v>9.5</v>
                </pt>
                <pt idx="512">
                  <v>9.5</v>
                </pt>
                <pt idx="513">
                  <v>9.5</v>
                </pt>
                <pt idx="514">
                  <v>9.5</v>
                </pt>
                <pt idx="515">
                  <v>9.5</v>
                </pt>
                <pt idx="516">
                  <v>9.5</v>
                </pt>
                <pt idx="517">
                  <v>9.5</v>
                </pt>
                <pt idx="518">
                  <v>9.5</v>
                </pt>
                <pt idx="519">
                  <v>9.5</v>
                </pt>
                <pt idx="520">
                  <v>9.5</v>
                </pt>
                <pt idx="521">
                  <v>9.5</v>
                </pt>
                <pt idx="522">
                  <v>9.5</v>
                </pt>
                <pt idx="523">
                  <v>9.5</v>
                </pt>
                <pt idx="524">
                  <v>9.5</v>
                </pt>
                <pt idx="525">
                  <v>9.5</v>
                </pt>
                <pt idx="526">
                  <v>9.5</v>
                </pt>
                <pt idx="527">
                  <v>9.5</v>
                </pt>
                <pt idx="528">
                  <v>9.5</v>
                </pt>
                <pt idx="529">
                  <v>9.5</v>
                </pt>
                <pt idx="530">
                  <v>9.5</v>
                </pt>
                <pt idx="531">
                  <v>9.5</v>
                </pt>
                <pt idx="532">
                  <v>9.5</v>
                </pt>
                <pt idx="533">
                  <v>9.5</v>
                </pt>
                <pt idx="534">
                  <v>9.5</v>
                </pt>
                <pt idx="535">
                  <v>9.5</v>
                </pt>
                <pt idx="536">
                  <v>9.5</v>
                </pt>
                <pt idx="537">
                  <v>9.5</v>
                </pt>
                <pt idx="538">
                  <v>9.5</v>
                </pt>
                <pt idx="539">
                  <v>9.5</v>
                </pt>
                <pt idx="540">
                  <v>9.5</v>
                </pt>
                <pt idx="541">
                  <v>9.5</v>
                </pt>
                <pt idx="542">
                  <v>9.5</v>
                </pt>
                <pt idx="543">
                  <v>9.5</v>
                </pt>
                <pt idx="544">
                  <v>9.5</v>
                </pt>
                <pt idx="545">
                  <v>9.5</v>
                </pt>
                <pt idx="546">
                  <v>9.5</v>
                </pt>
                <pt idx="547">
                  <v>9.5</v>
                </pt>
                <pt idx="548">
                  <v>9.5</v>
                </pt>
                <pt idx="549">
                  <v>9.5</v>
                </pt>
                <pt idx="550">
                  <v>9.5</v>
                </pt>
                <pt idx="551">
                  <v>9.5</v>
                </pt>
                <pt idx="552">
                  <v>9.5</v>
                </pt>
                <pt idx="553">
                  <v>9.5</v>
                </pt>
                <pt idx="554">
                  <v>9.5</v>
                </pt>
                <pt idx="555">
                  <v>9.5</v>
                </pt>
                <pt idx="556">
                  <v>9.5</v>
                </pt>
                <pt idx="557">
                  <v>9.5</v>
                </pt>
                <pt idx="558">
                  <v>9.5</v>
                </pt>
                <pt idx="559">
                  <v>9.5</v>
                </pt>
                <pt idx="560">
                  <v>9.5</v>
                </pt>
                <pt idx="561">
                  <v>9.5</v>
                </pt>
                <pt idx="562">
                  <v>9.5</v>
                </pt>
                <pt idx="563">
                  <v>9.5</v>
                </pt>
                <pt idx="564">
                  <v>9.5</v>
                </pt>
                <pt idx="565">
                  <v>9.5</v>
                </pt>
                <pt idx="566">
                  <v>9.5</v>
                </pt>
                <pt idx="567">
                  <v>9.5</v>
                </pt>
                <pt idx="568">
                  <v>9.5</v>
                </pt>
                <pt idx="569">
                  <v>9.5</v>
                </pt>
                <pt idx="570">
                  <v>9.5</v>
                </pt>
                <pt idx="571">
                  <v>9.5</v>
                </pt>
                <pt idx="572">
                  <v>9.5</v>
                </pt>
                <pt idx="573">
                  <v>9.5</v>
                </pt>
                <pt idx="574">
                  <v>9.5</v>
                </pt>
                <pt idx="575">
                  <v>9.5</v>
                </pt>
                <pt idx="576">
                  <v>9.5</v>
                </pt>
                <pt idx="577">
                  <v>9.5</v>
                </pt>
                <pt idx="578">
                  <v>9.5</v>
                </pt>
                <pt idx="579">
                  <v>9.5</v>
                </pt>
                <pt idx="580">
                  <v>9.5</v>
                </pt>
                <pt idx="581">
                  <v>9.5</v>
                </pt>
                <pt idx="582">
                  <v>9.5</v>
                </pt>
                <pt idx="583">
                  <v>9.5</v>
                </pt>
                <pt idx="584">
                  <v>9.5</v>
                </pt>
                <pt idx="585">
                  <v>9.5</v>
                </pt>
                <pt idx="586">
                  <v>9.5</v>
                </pt>
                <pt idx="587">
                  <v>9.5</v>
                </pt>
                <pt idx="588">
                  <v>9.5</v>
                </pt>
                <pt idx="589">
                  <v>9.5</v>
                </pt>
                <pt idx="590">
                  <v>9.5</v>
                </pt>
                <pt idx="591">
                  <v>9.5</v>
                </pt>
                <pt idx="592">
                  <v>9.5</v>
                </pt>
                <pt idx="593">
                  <v>9.5</v>
                </pt>
                <pt idx="594">
                  <v>9.5</v>
                </pt>
                <pt idx="595">
                  <v>9.5</v>
                </pt>
                <pt idx="596">
                  <v>9.5</v>
                </pt>
                <pt idx="597">
                  <v>9.5</v>
                </pt>
                <pt idx="598">
                  <v>9.5</v>
                </pt>
                <pt idx="599">
                  <v>9.5</v>
                </pt>
                <pt idx="600">
                  <v>0.95</v>
                </pt>
                <pt idx="601">
                  <v>0.95</v>
                </pt>
                <pt idx="602">
                  <v>0.95</v>
                </pt>
                <pt idx="603">
                  <v>0.95</v>
                </pt>
                <pt idx="604">
                  <v>0.95</v>
                </pt>
                <pt idx="605">
                  <v>0.95</v>
                </pt>
                <pt idx="606">
                  <v>0.95</v>
                </pt>
                <pt idx="607">
                  <v>0.95</v>
                </pt>
                <pt idx="608">
                  <v>0.95</v>
                </pt>
                <pt idx="609">
                  <v>0.95</v>
                </pt>
                <pt idx="610">
                  <v>0.95</v>
                </pt>
                <pt idx="611">
                  <v>0.95</v>
                </pt>
                <pt idx="612">
                  <v>0.95</v>
                </pt>
                <pt idx="613">
                  <v>0.95</v>
                </pt>
                <pt idx="614">
                  <v>0.95</v>
                </pt>
                <pt idx="615">
                  <v>0.95</v>
                </pt>
                <pt idx="616">
                  <v>0.95</v>
                </pt>
                <pt idx="617">
                  <v>0.95</v>
                </pt>
                <pt idx="618">
                  <v>0.95</v>
                </pt>
                <pt idx="619">
                  <v>0.95</v>
                </pt>
                <pt idx="620">
                  <v>0.95</v>
                </pt>
                <pt idx="621">
                  <v>0.95</v>
                </pt>
                <pt idx="622">
                  <v>0.95</v>
                </pt>
                <pt idx="623">
                  <v>0.95</v>
                </pt>
                <pt idx="624">
                  <v>0.95</v>
                </pt>
                <pt idx="625">
                  <v>0.95</v>
                </pt>
                <pt idx="626">
                  <v>0.95</v>
                </pt>
                <pt idx="627">
                  <v>0.95</v>
                </pt>
                <pt idx="628">
                  <v>0.95</v>
                </pt>
                <pt idx="629">
                  <v>0.95</v>
                </pt>
                <pt idx="630">
                  <v>0.95</v>
                </pt>
                <pt idx="631">
                  <v>0.95</v>
                </pt>
                <pt idx="632">
                  <v>0.95</v>
                </pt>
                <pt idx="633">
                  <v>0.95</v>
                </pt>
                <pt idx="634">
                  <v>0.95</v>
                </pt>
                <pt idx="635">
                  <v>0.95</v>
                </pt>
                <pt idx="636">
                  <v>0.95</v>
                </pt>
                <pt idx="637">
                  <v>0.95</v>
                </pt>
                <pt idx="638">
                  <v>0.95</v>
                </pt>
                <pt idx="639">
                  <v>0.95</v>
                </pt>
                <pt idx="640">
                  <v>0.95</v>
                </pt>
                <pt idx="641">
                  <v>0.95</v>
                </pt>
                <pt idx="642">
                  <v>0.95</v>
                </pt>
                <pt idx="643">
                  <v>0.95</v>
                </pt>
                <pt idx="644">
                  <v>0.95</v>
                </pt>
                <pt idx="645">
                  <v>0.95</v>
                </pt>
                <pt idx="646">
                  <v>0.95</v>
                </pt>
                <pt idx="647">
                  <v>0.95</v>
                </pt>
                <pt idx="648">
                  <v>0.95</v>
                </pt>
                <pt idx="649">
                  <v>0.95</v>
                </pt>
                <pt idx="650">
                  <v>0.95</v>
                </pt>
                <pt idx="651">
                  <v>0.95</v>
                </pt>
                <pt idx="652">
                  <v>0.95</v>
                </pt>
                <pt idx="653">
                  <v>0.95</v>
                </pt>
                <pt idx="654">
                  <v>0.95</v>
                </pt>
                <pt idx="655">
                  <v>0.95</v>
                </pt>
                <pt idx="656">
                  <v>0.95</v>
                </pt>
                <pt idx="657">
                  <v>0.95</v>
                </pt>
                <pt idx="658">
                  <v>0.95</v>
                </pt>
                <pt idx="659">
                  <v>0.95</v>
                </pt>
                <pt idx="660">
                  <v>0.95</v>
                </pt>
                <pt idx="661">
                  <v>0.95</v>
                </pt>
                <pt idx="662">
                  <v>0.95</v>
                </pt>
                <pt idx="663">
                  <v>0.95</v>
                </pt>
                <pt idx="664">
                  <v>0.95</v>
                </pt>
                <pt idx="665">
                  <v>0.95</v>
                </pt>
                <pt idx="666">
                  <v>0.95</v>
                </pt>
                <pt idx="667">
                  <v>0.95</v>
                </pt>
                <pt idx="668">
                  <v>0.95</v>
                </pt>
                <pt idx="669">
                  <v>0.95</v>
                </pt>
                <pt idx="670">
                  <v>0.95</v>
                </pt>
                <pt idx="671">
                  <v>0.95</v>
                </pt>
                <pt idx="672">
                  <v>0.95</v>
                </pt>
                <pt idx="673">
                  <v>0.95</v>
                </pt>
                <pt idx="674">
                  <v>0.95</v>
                </pt>
                <pt idx="675">
                  <v>0.95</v>
                </pt>
                <pt idx="676">
                  <v>0.95</v>
                </pt>
                <pt idx="677">
                  <v>0.95</v>
                </pt>
                <pt idx="678">
                  <v>0.95</v>
                </pt>
                <pt idx="679">
                  <v>0.95</v>
                </pt>
                <pt idx="680">
                  <v>0.95</v>
                </pt>
                <pt idx="681">
                  <v>0.95</v>
                </pt>
                <pt idx="682">
                  <v>0.95</v>
                </pt>
                <pt idx="683">
                  <v>0.95</v>
                </pt>
                <pt idx="684">
                  <v>0.95</v>
                </pt>
                <pt idx="685">
                  <v>0.95</v>
                </pt>
                <pt idx="686">
                  <v>0.95</v>
                </pt>
                <pt idx="687">
                  <v>0.95</v>
                </pt>
                <pt idx="688">
                  <v>0.95</v>
                </pt>
                <pt idx="689">
                  <v>0.95</v>
                </pt>
                <pt idx="690">
                  <v>0.95</v>
                </pt>
                <pt idx="691">
                  <v>0.95</v>
                </pt>
                <pt idx="692">
                  <v>0.95</v>
                </pt>
                <pt idx="693">
                  <v>0.95</v>
                </pt>
                <pt idx="694">
                  <v>0.95</v>
                </pt>
                <pt idx="695">
                  <v>0.95</v>
                </pt>
                <pt idx="696">
                  <v>0.95</v>
                </pt>
                <pt idx="697">
                  <v>0.95</v>
                </pt>
                <pt idx="698">
                  <v>0.95</v>
                </pt>
                <pt idx="699">
                  <v>0.95</v>
                </pt>
                <pt idx="700">
                  <v>0.95</v>
                </pt>
                <pt idx="701">
                  <v>0.95</v>
                </pt>
                <pt idx="702">
                  <v>0.95</v>
                </pt>
                <pt idx="703">
                  <v>0.95</v>
                </pt>
                <pt idx="704">
                  <v>0.95</v>
                </pt>
                <pt idx="705">
                  <v>0.95</v>
                </pt>
                <pt idx="706">
                  <v>0.95</v>
                </pt>
                <pt idx="707">
                  <v>0.95</v>
                </pt>
                <pt idx="708">
                  <v>0.95</v>
                </pt>
                <pt idx="709">
                  <v>0.95</v>
                </pt>
                <pt idx="710">
                  <v>0.95</v>
                </pt>
                <pt idx="711">
                  <v>0.95</v>
                </pt>
                <pt idx="712">
                  <v>0.95</v>
                </pt>
                <pt idx="713">
                  <v>0.95</v>
                </pt>
                <pt idx="714">
                  <v>0.95</v>
                </pt>
                <pt idx="715">
                  <v>0.95</v>
                </pt>
                <pt idx="716">
                  <v>0.95</v>
                </pt>
                <pt idx="717">
                  <v>0.95</v>
                </pt>
                <pt idx="718">
                  <v>0.95</v>
                </pt>
                <pt idx="719">
                  <v>0.95</v>
                </pt>
                <pt idx="720">
                  <v>0.95</v>
                </pt>
                <pt idx="721">
                  <v>0.95</v>
                </pt>
                <pt idx="722">
                  <v>0.95</v>
                </pt>
                <pt idx="723">
                  <v>0.95</v>
                </pt>
                <pt idx="724">
                  <v>0.95</v>
                </pt>
                <pt idx="725">
                  <v>0.95</v>
                </pt>
                <pt idx="726">
                  <v>0.95</v>
                </pt>
                <pt idx="727">
                  <v>0.95</v>
                </pt>
                <pt idx="728">
                  <v>0.95</v>
                </pt>
                <pt idx="729">
                  <v>0.95</v>
                </pt>
                <pt idx="730">
                  <v>0.95</v>
                </pt>
                <pt idx="731">
                  <v>0.95</v>
                </pt>
                <pt idx="732">
                  <v>0.95</v>
                </pt>
                <pt idx="733">
                  <v>0.95</v>
                </pt>
                <pt idx="734">
                  <v>0.95</v>
                </pt>
                <pt idx="735">
                  <v>0.95</v>
                </pt>
                <pt idx="736">
                  <v>0.95</v>
                </pt>
                <pt idx="737">
                  <v>0.95</v>
                </pt>
                <pt idx="738">
                  <v>0.95</v>
                </pt>
                <pt idx="739">
                  <v>0.95</v>
                </pt>
                <pt idx="740">
                  <v>0.95</v>
                </pt>
                <pt idx="741">
                  <v>0.95</v>
                </pt>
                <pt idx="742">
                  <v>0.95</v>
                </pt>
                <pt idx="743">
                  <v>0.95</v>
                </pt>
                <pt idx="744">
                  <v>0.95</v>
                </pt>
                <pt idx="745">
                  <v>0.95</v>
                </pt>
                <pt idx="746">
                  <v>0.95</v>
                </pt>
                <pt idx="747">
                  <v>0.95</v>
                </pt>
                <pt idx="748">
                  <v>0.95</v>
                </pt>
                <pt idx="749">
                  <v>0.95</v>
                </pt>
                <pt idx="750">
                  <v>0.95</v>
                </pt>
                <pt idx="751">
                  <v>0.95</v>
                </pt>
                <pt idx="752">
                  <v>0.95</v>
                </pt>
                <pt idx="753">
                  <v>0.95</v>
                </pt>
                <pt idx="754">
                  <v>0.95</v>
                </pt>
                <pt idx="755">
                  <v>0.95</v>
                </pt>
                <pt idx="756">
                  <v>0.95</v>
                </pt>
                <pt idx="757">
                  <v>0.95</v>
                </pt>
                <pt idx="758">
                  <v>0.95</v>
                </pt>
                <pt idx="759">
                  <v>0.95</v>
                </pt>
                <pt idx="760">
                  <v>0.95</v>
                </pt>
                <pt idx="761">
                  <v>0.95</v>
                </pt>
                <pt idx="762">
                  <v>0.95</v>
                </pt>
                <pt idx="763">
                  <v>0.95</v>
                </pt>
                <pt idx="764">
                  <v>0.95</v>
                </pt>
                <pt idx="765">
                  <v>0.95</v>
                </pt>
                <pt idx="766">
                  <v>0.95</v>
                </pt>
                <pt idx="767">
                  <v>0.95</v>
                </pt>
                <pt idx="768">
                  <v>0.95</v>
                </pt>
                <pt idx="769">
                  <v>0.95</v>
                </pt>
                <pt idx="770">
                  <v>0.95</v>
                </pt>
                <pt idx="771">
                  <v>0.95</v>
                </pt>
                <pt idx="772">
                  <v>0.95</v>
                </pt>
                <pt idx="773">
                  <v>0.95</v>
                </pt>
                <pt idx="774">
                  <v>0.95</v>
                </pt>
                <pt idx="775">
                  <v>0.95</v>
                </pt>
                <pt idx="776">
                  <v>0.95</v>
                </pt>
                <pt idx="777">
                  <v>0.95</v>
                </pt>
                <pt idx="778">
                  <v>0.95</v>
                </pt>
                <pt idx="779">
                  <v>0.95</v>
                </pt>
                <pt idx="780">
                  <v>0.95</v>
                </pt>
                <pt idx="781">
                  <v>0.95</v>
                </pt>
                <pt idx="782">
                  <v>0.95</v>
                </pt>
                <pt idx="783">
                  <v>0.95</v>
                </pt>
                <pt idx="784">
                  <v>0.95</v>
                </pt>
                <pt idx="785">
                  <v>0.95</v>
                </pt>
                <pt idx="786">
                  <v>0.95</v>
                </pt>
                <pt idx="787">
                  <v>0.95</v>
                </pt>
                <pt idx="788">
                  <v>0.95</v>
                </pt>
                <pt idx="789">
                  <v>0.95</v>
                </pt>
                <pt idx="790">
                  <v>0.95</v>
                </pt>
                <pt idx="791">
                  <v>0.95</v>
                </pt>
                <pt idx="792">
                  <v>0.95</v>
                </pt>
                <pt idx="793">
                  <v>0.95</v>
                </pt>
                <pt idx="794">
                  <v>0.95</v>
                </pt>
                <pt idx="795">
                  <v>0.95</v>
                </pt>
                <pt idx="796">
                  <v>0.95</v>
                </pt>
                <pt idx="797">
                  <v>0.95</v>
                </pt>
                <pt idx="798">
                  <v>0.95</v>
                </pt>
                <pt idx="799">
                  <v>0.95</v>
                </pt>
                <pt idx="800">
                  <v>0.95</v>
                </pt>
                <pt idx="801">
                  <v>0.95</v>
                </pt>
                <pt idx="802">
                  <v>0.95</v>
                </pt>
                <pt idx="803">
                  <v>0.95</v>
                </pt>
                <pt idx="804">
                  <v>0.95</v>
                </pt>
                <pt idx="805">
                  <v>0.95</v>
                </pt>
                <pt idx="806">
                  <v>0.95</v>
                </pt>
                <pt idx="807">
                  <v>0.95</v>
                </pt>
                <pt idx="808">
                  <v>0.95</v>
                </pt>
                <pt idx="809">
                  <v>0.95</v>
                </pt>
                <pt idx="810">
                  <v>0.95</v>
                </pt>
                <pt idx="811">
                  <v>0.95</v>
                </pt>
                <pt idx="812">
                  <v>0.95</v>
                </pt>
                <pt idx="813">
                  <v>0.95</v>
                </pt>
                <pt idx="814">
                  <v>0.95</v>
                </pt>
                <pt idx="815">
                  <v>0.95</v>
                </pt>
                <pt idx="816">
                  <v>0.95</v>
                </pt>
                <pt idx="817">
                  <v>0.95</v>
                </pt>
                <pt idx="818">
                  <v>0.95</v>
                </pt>
                <pt idx="819">
                  <v>0.95</v>
                </pt>
                <pt idx="820">
                  <v>0.95</v>
                </pt>
                <pt idx="821">
                  <v>0.95</v>
                </pt>
                <pt idx="822">
                  <v>0.95</v>
                </pt>
                <pt idx="823">
                  <v>0.95</v>
                </pt>
                <pt idx="824">
                  <v>0.95</v>
                </pt>
                <pt idx="825">
                  <v>0.95</v>
                </pt>
                <pt idx="826">
                  <v>0.95</v>
                </pt>
                <pt idx="827">
                  <v>0.95</v>
                </pt>
                <pt idx="828">
                  <v>0.95</v>
                </pt>
                <pt idx="829">
                  <v>0.95</v>
                </pt>
                <pt idx="830">
                  <v>0.95</v>
                </pt>
                <pt idx="831">
                  <v>0.95</v>
                </pt>
                <pt idx="832">
                  <v>0.95</v>
                </pt>
                <pt idx="833">
                  <v>0.95</v>
                </pt>
                <pt idx="834">
                  <v>0.95</v>
                </pt>
                <pt idx="835">
                  <v>0.95</v>
                </pt>
                <pt idx="836">
                  <v>0.95</v>
                </pt>
                <pt idx="837">
                  <v>0.95</v>
                </pt>
                <pt idx="838">
                  <v>0.95</v>
                </pt>
                <pt idx="839">
                  <v>0.95</v>
                </pt>
                <pt idx="840">
                  <v>0.95</v>
                </pt>
                <pt idx="841">
                  <v>0.95</v>
                </pt>
                <pt idx="842">
                  <v>0.95</v>
                </pt>
                <pt idx="843">
                  <v>0.95</v>
                </pt>
                <pt idx="844">
                  <v>0.95</v>
                </pt>
                <pt idx="845">
                  <v>0.95</v>
                </pt>
                <pt idx="846">
                  <v>0.95</v>
                </pt>
                <pt idx="847">
                  <v>0.95</v>
                </pt>
                <pt idx="848">
                  <v>0.95</v>
                </pt>
                <pt idx="849">
                  <v>0.95</v>
                </pt>
                <pt idx="850">
                  <v>0.95</v>
                </pt>
                <pt idx="851">
                  <v>0.95</v>
                </pt>
                <pt idx="852">
                  <v>0.95</v>
                </pt>
                <pt idx="853">
                  <v>0.95</v>
                </pt>
                <pt idx="854">
                  <v>0.95</v>
                </pt>
                <pt idx="855">
                  <v>0.95</v>
                </pt>
                <pt idx="856">
                  <v>0.95</v>
                </pt>
                <pt idx="857">
                  <v>0.95</v>
                </pt>
                <pt idx="858">
                  <v>0.95</v>
                </pt>
                <pt idx="859">
                  <v>0.95</v>
                </pt>
                <pt idx="860">
                  <v>0.95</v>
                </pt>
                <pt idx="861">
                  <v>0.95</v>
                </pt>
                <pt idx="862">
                  <v>0.95</v>
                </pt>
                <pt idx="863">
                  <v>0.95</v>
                </pt>
                <pt idx="864">
                  <v>0.95</v>
                </pt>
                <pt idx="865">
                  <v>0.95</v>
                </pt>
                <pt idx="866">
                  <v>0.95</v>
                </pt>
                <pt idx="867">
                  <v>0.95</v>
                </pt>
                <pt idx="868">
                  <v>0.95</v>
                </pt>
                <pt idx="869">
                  <v>0.95</v>
                </pt>
                <pt idx="870">
                  <v>0.95</v>
                </pt>
                <pt idx="871">
                  <v>0.95</v>
                </pt>
                <pt idx="872">
                  <v>0.95</v>
                </pt>
                <pt idx="873">
                  <v>0.95</v>
                </pt>
                <pt idx="874">
                  <v>0.95</v>
                </pt>
                <pt idx="875">
                  <v>0.95</v>
                </pt>
                <pt idx="876">
                  <v>0.95</v>
                </pt>
                <pt idx="877">
                  <v>0.95</v>
                </pt>
                <pt idx="878">
                  <v>0.95</v>
                </pt>
                <pt idx="879">
                  <v>0.95</v>
                </pt>
                <pt idx="880">
                  <v>0.95</v>
                </pt>
                <pt idx="881">
                  <v>0.95</v>
                </pt>
                <pt idx="882">
                  <v>0.95</v>
                </pt>
                <pt idx="883">
                  <v>0.95</v>
                </pt>
                <pt idx="884">
                  <v>0.95</v>
                </pt>
                <pt idx="885">
                  <v>0.95</v>
                </pt>
                <pt idx="886">
                  <v>0.95</v>
                </pt>
                <pt idx="887">
                  <v>0.95</v>
                </pt>
                <pt idx="888">
                  <v>0.95</v>
                </pt>
                <pt idx="889">
                  <v>0.95</v>
                </pt>
                <pt idx="890">
                  <v>0.95</v>
                </pt>
                <pt idx="891">
                  <v>0.95</v>
                </pt>
                <pt idx="892">
                  <v>0.95</v>
                </pt>
                <pt idx="893">
                  <v>0.95</v>
                </pt>
                <pt idx="894">
                  <v>0.95</v>
                </pt>
                <pt idx="895">
                  <v>0.95</v>
                </pt>
                <pt idx="896">
                  <v>0.95</v>
                </pt>
                <pt idx="897">
                  <v>0.95</v>
                </pt>
                <pt idx="898">
                  <v>0.95</v>
                </pt>
                <pt idx="899">
                  <v>0.95</v>
                </pt>
                <pt idx="900">
                  <v>0.95</v>
                </pt>
                <pt idx="901">
                  <v>0.95</v>
                </pt>
                <pt idx="902">
                  <v>0.95</v>
                </pt>
                <pt idx="903">
                  <v>0.95</v>
                </pt>
                <pt idx="904">
                  <v>0.95</v>
                </pt>
                <pt idx="905">
                  <v>0.95</v>
                </pt>
                <pt idx="906">
                  <v>0.95</v>
                </pt>
                <pt idx="907">
                  <v>0.95</v>
                </pt>
                <pt idx="908">
                  <v>0.95</v>
                </pt>
                <pt idx="909">
                  <v>0.95</v>
                </pt>
                <pt idx="910">
                  <v>0.95</v>
                </pt>
                <pt idx="911">
                  <v>0.95</v>
                </pt>
                <pt idx="912">
                  <v>0.95</v>
                </pt>
                <pt idx="913">
                  <v>0.95</v>
                </pt>
                <pt idx="914">
                  <v>0.95</v>
                </pt>
                <pt idx="915">
                  <v>0.95</v>
                </pt>
                <pt idx="916">
                  <v>0.95</v>
                </pt>
                <pt idx="917">
                  <v>0.95</v>
                </pt>
                <pt idx="918">
                  <v>0.95</v>
                </pt>
                <pt idx="919">
                  <v>0.95</v>
                </pt>
                <pt idx="920">
                  <v>0.95</v>
                </pt>
                <pt idx="921">
                  <v>0.95</v>
                </pt>
                <pt idx="922">
                  <v>0.95</v>
                </pt>
                <pt idx="923">
                  <v>0.95</v>
                </pt>
                <pt idx="924">
                  <v>0.95</v>
                </pt>
                <pt idx="925">
                  <v>0.95</v>
                </pt>
                <pt idx="926">
                  <v>0.95</v>
                </pt>
                <pt idx="927">
                  <v>0.95</v>
                </pt>
                <pt idx="928">
                  <v>0.95</v>
                </pt>
                <pt idx="929">
                  <v>0.95</v>
                </pt>
                <pt idx="930">
                  <v>0.95</v>
                </pt>
                <pt idx="931">
                  <v>0.95</v>
                </pt>
                <pt idx="932">
                  <v>0.95</v>
                </pt>
                <pt idx="933">
                  <v>0.95</v>
                </pt>
                <pt idx="934">
                  <v>0.95</v>
                </pt>
                <pt idx="935">
                  <v>0.95</v>
                </pt>
                <pt idx="936">
                  <v>0.95</v>
                </pt>
                <pt idx="937">
                  <v>0.95</v>
                </pt>
                <pt idx="938">
                  <v>0.95</v>
                </pt>
                <pt idx="939">
                  <v>0.95</v>
                </pt>
                <pt idx="940">
                  <v>0.95</v>
                </pt>
                <pt idx="941">
                  <v>0.95</v>
                </pt>
                <pt idx="942">
                  <v>0.95</v>
                </pt>
                <pt idx="943">
                  <v>0.95</v>
                </pt>
                <pt idx="944">
                  <v>0.95</v>
                </pt>
                <pt idx="945">
                  <v>0.95</v>
                </pt>
                <pt idx="946">
                  <v>0.95</v>
                </pt>
                <pt idx="947">
                  <v>0.95</v>
                </pt>
                <pt idx="948">
                  <v>0.95</v>
                </pt>
                <pt idx="949">
                  <v>0.95</v>
                </pt>
                <pt idx="950">
                  <v>0.95</v>
                </pt>
                <pt idx="951">
                  <v>0.95</v>
                </pt>
                <pt idx="952">
                  <v>0.95</v>
                </pt>
                <pt idx="953">
                  <v>0.95</v>
                </pt>
                <pt idx="954">
                  <v>0.95</v>
                </pt>
                <pt idx="955">
                  <v>0.95</v>
                </pt>
                <pt idx="956">
                  <v>0.95</v>
                </pt>
                <pt idx="957">
                  <v>0.95</v>
                </pt>
                <pt idx="958">
                  <v>0.95</v>
                </pt>
                <pt idx="959">
                  <v>0.95</v>
                </pt>
                <pt idx="960">
                  <v>0.95</v>
                </pt>
                <pt idx="961">
                  <v>0.95</v>
                </pt>
                <pt idx="962">
                  <v>0.95</v>
                </pt>
                <pt idx="963">
                  <v>0.95</v>
                </pt>
                <pt idx="964">
                  <v>0.95</v>
                </pt>
                <pt idx="965">
                  <v>0.95</v>
                </pt>
                <pt idx="966">
                  <v>0.95</v>
                </pt>
                <pt idx="967">
                  <v>0.95</v>
                </pt>
                <pt idx="968">
                  <v>0.95</v>
                </pt>
                <pt idx="969">
                  <v>0.95</v>
                </pt>
                <pt idx="970">
                  <v>0.95</v>
                </pt>
                <pt idx="971">
                  <v>0.95</v>
                </pt>
                <pt idx="972">
                  <v>0.95</v>
                </pt>
                <pt idx="973">
                  <v>0.95</v>
                </pt>
                <pt idx="974">
                  <v>0.95</v>
                </pt>
                <pt idx="975">
                  <v>0.95</v>
                </pt>
                <pt idx="976">
                  <v>0.95</v>
                </pt>
                <pt idx="977">
                  <v>0.95</v>
                </pt>
                <pt idx="978">
                  <v>0.95</v>
                </pt>
                <pt idx="979">
                  <v>0.95</v>
                </pt>
                <pt idx="980">
                  <v>0.95</v>
                </pt>
                <pt idx="981">
                  <v>0.95</v>
                </pt>
                <pt idx="982">
                  <v>0.95</v>
                </pt>
                <pt idx="983">
                  <v>0.95</v>
                </pt>
                <pt idx="984">
                  <v>0.95</v>
                </pt>
                <pt idx="985">
                  <v>0.95</v>
                </pt>
                <pt idx="986">
                  <v>0.95</v>
                </pt>
                <pt idx="987">
                  <v>0.95</v>
                </pt>
                <pt idx="988">
                  <v>0.95</v>
                </pt>
                <pt idx="989">
                  <v>0.95</v>
                </pt>
                <pt idx="990">
                  <v>0.95</v>
                </pt>
                <pt idx="991">
                  <v>0.95</v>
                </pt>
                <pt idx="992">
                  <v>0.95</v>
                </pt>
                <pt idx="993">
                  <v>0.95</v>
                </pt>
                <pt idx="994">
                  <v>0.95</v>
                </pt>
                <pt idx="995">
                  <v>0.95</v>
                </pt>
                <pt idx="996">
                  <v>0.95</v>
                </pt>
                <pt idx="997">
                  <v>0.95</v>
                </pt>
                <pt idx="998">
                  <v>0.95</v>
                </pt>
                <pt idx="999">
                  <v>0.95</v>
                </pt>
                <pt idx="1000">
                  <v>0.95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64901887"/>
        <axId val="1564903967"/>
      </lineChart>
      <catAx>
        <axId val="156490188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 cap="flat" cmpd="sng" algn="ctr">
            <a:solidFill>
              <a:schemeClr val="tx1"/>
            </a:solidFill>
            <a:prstDash val="solid"/>
            <a:round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3967"/>
        <crosses val="autoZero"/>
        <auto val="1"/>
        <lblAlgn val="ctr"/>
        <lblOffset val="100"/>
        <tickLblSkip val="50"/>
        <tickMarkSkip val="50"/>
        <noMultiLvlLbl val="0"/>
      </catAx>
      <valAx>
        <axId val="15649039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>
            <a:solidFill>
              <a:schemeClr val="tx1"/>
            </a:solidFill>
            <a:prstDash val="solid"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18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2398396717024155"/>
          <y val="0.01627905362302682"/>
          <w val="0.8943760999602067"/>
          <h val="0.9778866700546336"/>
        </manualLayout>
      </layout>
      <lineChart>
        <grouping val="standard"/>
        <varyColors val="0"/>
        <ser>
          <idx val="0"/>
          <order val="0"/>
          <tx>
            <strRef>
              <f>Лист3!$V$1</f>
              <strCache>
                <ptCount val="1"/>
                <pt idx="0">
                  <v>y(nT0)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Лист3!$V$2:$V$1002</f>
              <numCache>
                <formatCode>0.000</formatCode>
                <ptCount val="1001"/>
                <pt idx="0">
                  <v>1.003184519010406</v>
                </pt>
                <pt idx="1">
                  <v>1.005505747395918</v>
                </pt>
                <pt idx="2">
                  <v>1.006026542979764</v>
                </pt>
                <pt idx="3">
                  <v>1.005884330022587</v>
                </pt>
                <pt idx="4">
                  <v>1.000889134826346</v>
                </pt>
                <pt idx="5">
                  <v>1.001486322144392</v>
                </pt>
                <pt idx="6">
                  <v>1.00535654951943</v>
                </pt>
                <pt idx="7">
                  <v>1.001812867122193</v>
                </pt>
                <pt idx="8">
                  <v>1.00682119396674</v>
                </pt>
                <pt idx="9">
                  <v>1.002604491310801</v>
                </pt>
                <pt idx="10">
                  <v>1.008586096812176</v>
                </pt>
                <pt idx="11">
                  <v>1.00121367746061</v>
                </pt>
                <pt idx="12">
                  <v>1.003911835375221</v>
                </pt>
                <pt idx="13">
                  <v>1.008734782461248</v>
                </pt>
                <pt idx="14">
                  <v>1.007030322450919</v>
                </pt>
                <pt idx="15">
                  <v>1.005194382976087</v>
                </pt>
                <pt idx="16">
                  <v>1.003785920563104</v>
                </pt>
                <pt idx="17">
                  <v>1.008787495318984</v>
                </pt>
                <pt idx="18">
                  <v>1.00930680078671</v>
                </pt>
                <pt idx="19">
                  <v>1.006212085719735</v>
                </pt>
                <pt idx="20">
                  <v>1.002648519585526</v>
                </pt>
                <pt idx="21">
                  <v>1.001246413449116</v>
                </pt>
                <pt idx="22">
                  <v>1.004824391800171</v>
                </pt>
                <pt idx="23">
                  <v>1.003888482461657</v>
                </pt>
                <pt idx="24">
                  <v>1.006438676502192</v>
                </pt>
                <pt idx="25">
                  <v>1.008237921867575</v>
                </pt>
                <pt idx="26">
                  <v>1.001879130723392</v>
                </pt>
                <pt idx="27">
                  <v>1.000122912460967</v>
                </pt>
                <pt idx="28">
                  <v>1.003871974769019</v>
                </pt>
                <pt idx="29">
                  <v>1.004518475617403</v>
                </pt>
                <pt idx="30">
                  <v>1.000364707084458</v>
                </pt>
                <pt idx="31">
                  <v>1.009225961987215</v>
                </pt>
                <pt idx="32">
                  <v>1.004877849715966</v>
                </pt>
                <pt idx="33">
                  <v>1.006663986716108</v>
                </pt>
                <pt idx="34">
                  <v>1.006238418865539</v>
                </pt>
                <pt idx="35">
                  <v>1.00128937070288</v>
                </pt>
                <pt idx="36">
                  <v>1.001883042278207</v>
                </pt>
                <pt idx="37">
                  <v>1.003373437794711</v>
                </pt>
                <pt idx="38">
                  <v>1.006635651226769</v>
                </pt>
                <pt idx="39">
                  <v>1.008593011882294</v>
                </pt>
                <pt idx="40">
                  <v>1.000578142935545</v>
                </pt>
                <pt idx="41">
                  <v>1.006143540378228</v>
                </pt>
                <pt idx="42">
                  <v>1.001614053035531</v>
                </pt>
                <pt idx="43">
                  <v>0.990684447109393</v>
                </pt>
                <pt idx="44">
                  <v>0.9814948777159431</v>
                </pt>
                <pt idx="45">
                  <v>0.9720677046505891</v>
                </pt>
                <pt idx="46">
                  <v>0.9550068064022359</v>
                </pt>
                <pt idx="47">
                  <v>0.9292370409074326</v>
                </pt>
                <pt idx="48">
                  <v>0.9137679824870472</v>
                </pt>
                <pt idx="49">
                  <v>0.8961968824491363</v>
                </pt>
                <pt idx="50">
                  <v>0.8746274516160198</v>
                </pt>
                <pt idx="51">
                  <v>0.8478485981113856</v>
                </pt>
                <pt idx="52">
                  <v>0.8288615850798928</v>
                </pt>
                <pt idx="53">
                  <v>0.8003084689379457</v>
                </pt>
                <pt idx="54">
                  <v>0.773243513138323</v>
                </pt>
                <pt idx="55">
                  <v>0.7466028679037939</v>
                </pt>
                <pt idx="56">
                  <v>0.7297856036410167</v>
                </pt>
                <pt idx="57">
                  <v>0.6997208112617305</v>
                </pt>
                <pt idx="58">
                  <v>0.6748294459364446</v>
                </pt>
                <pt idx="59">
                  <v>0.6544642384756506</v>
                </pt>
                <pt idx="60">
                  <v>0.6345964504020746</v>
                </pt>
                <pt idx="61">
                  <v>0.6052168320410924</v>
                </pt>
                <pt idx="62">
                  <v>0.587079324896233</v>
                </pt>
                <pt idx="63">
                  <v>0.6272759755671201</v>
                </pt>
                <pt idx="64">
                  <v>0.7780085785263238</v>
                </pt>
                <pt idx="65">
                  <v>1.021534460834585</v>
                </pt>
                <pt idx="66">
                  <v>1.309966016865793</v>
                </pt>
                <pt idx="67">
                  <v>1.588782389086853</v>
                </pt>
                <pt idx="68">
                  <v>1.859979099095794</v>
                </pt>
                <pt idx="69">
                  <v>2.119720099056075</v>
                </pt>
                <pt idx="70">
                  <v>2.37695421147555</v>
                </pt>
                <pt idx="71">
                  <v>2.62705306583714</v>
                </pt>
                <pt idx="72">
                  <v>2.873369795939273</v>
                </pt>
                <pt idx="73">
                  <v>3.111262853050433</v>
                </pt>
                <pt idx="74">
                  <v>3.349986137670927</v>
                </pt>
                <pt idx="75">
                  <v>3.581838729693983</v>
                </pt>
                <pt idx="76">
                  <v>3.80883123814334</v>
                </pt>
                <pt idx="77">
                  <v>4.035398527988092</v>
                </pt>
                <pt idx="78">
                  <v>4.257117888018749</v>
                </pt>
                <pt idx="79">
                  <v>4.48335094947446</v>
                </pt>
                <pt idx="80">
                  <v>4.708120181390112</v>
                </pt>
                <pt idx="81">
                  <v>4.93061584535302</v>
                </pt>
                <pt idx="82">
                  <v>5.154445722036633</v>
                </pt>
                <pt idx="83">
                  <v>5.377275451407133</v>
                </pt>
                <pt idx="84">
                  <v>5.593281240573451</v>
                </pt>
                <pt idx="85">
                  <v>5.817894010296532</v>
                </pt>
                <pt idx="86">
                  <v>6.040470582908129</v>
                </pt>
                <pt idx="87">
                  <v>6.255589985813851</v>
                </pt>
                <pt idx="88">
                  <v>6.457254664613227</v>
                </pt>
                <pt idx="89">
                  <v>6.655355195201783</v>
                </pt>
                <pt idx="90">
                  <v>6.84584921850959</v>
                </pt>
                <pt idx="91">
                  <v>7.025300456915354</v>
                </pt>
                <pt idx="92">
                  <v>7.203045675345475</v>
                </pt>
                <pt idx="93">
                  <v>7.36559026580434</v>
                </pt>
                <pt idx="94">
                  <v>7.524650405981729</v>
                </pt>
                <pt idx="95">
                  <v>7.676898061222606</v>
                </pt>
                <pt idx="96">
                  <v>7.826801111881341</v>
                </pt>
                <pt idx="97">
                  <v>7.964259178369367</v>
                </pt>
                <pt idx="98">
                  <v>8.102709895023775</v>
                </pt>
                <pt idx="99">
                  <v>8.232709907049479</v>
                </pt>
                <pt idx="100">
                  <v>8.355905722909585</v>
                </pt>
                <pt idx="101">
                  <v>8.473781218862577</v>
                </pt>
                <pt idx="102">
                  <v>8.588990128736242</v>
                </pt>
                <pt idx="103">
                  <v>8.697518801479024</v>
                </pt>
                <pt idx="104">
                  <v>8.797467897831805</v>
                </pt>
                <pt idx="105">
                  <v>8.896951798558456</v>
                </pt>
                <pt idx="106">
                  <v>8.994175635509698</v>
                </pt>
                <pt idx="107">
                  <v>9.080644838763551</v>
                </pt>
                <pt idx="108">
                  <v>9.170064984161888</v>
                </pt>
                <pt idx="109">
                  <v>9.255230452226296</v>
                </pt>
                <pt idx="110">
                  <v>9.325375293690099</v>
                </pt>
                <pt idx="111">
                  <v>9.402802961273773</v>
                </pt>
                <pt idx="112">
                  <v>9.467887764207061</v>
                </pt>
                <pt idx="113">
                  <v>9.538098147497069</v>
                </pt>
                <pt idx="114">
                  <v>9.591280042564328</v>
                </pt>
                <pt idx="115">
                  <v>9.649405770387828</v>
                </pt>
                <pt idx="116">
                  <v>9.702837935114008</v>
                </pt>
                <pt idx="117">
                  <v>9.763353995458072</v>
                </pt>
                <pt idx="118">
                  <v>9.811726098370674</v>
                </pt>
                <pt idx="119">
                  <v>9.856593378320474</v>
                </pt>
                <pt idx="120">
                  <v>9.900452943961241</v>
                </pt>
                <pt idx="121">
                  <v>9.94404973693752</v>
                </pt>
                <pt idx="122">
                  <v>9.975125479971785</v>
                </pt>
                <pt idx="123">
                  <v>10.01204441068974</v>
                </pt>
                <pt idx="124">
                  <v>10.05455646898005</v>
                </pt>
                <pt idx="125">
                  <v>10.08080193076301</v>
                </pt>
                <pt idx="126">
                  <v>10.11343754597787</v>
                </pt>
                <pt idx="127">
                  <v>10.14924687569711</v>
                </pt>
                <pt idx="128">
                  <v>10.17448534494603</v>
                </pt>
                <pt idx="129">
                  <v>10.19938937625834</v>
                </pt>
                <pt idx="130">
                  <v>10.22069987613258</v>
                </pt>
                <pt idx="131">
                  <v>10.24837896932112</v>
                </pt>
                <pt idx="132">
                  <v>10.27054188546504</v>
                </pt>
                <pt idx="133">
                  <v>10.282657810087</v>
                </pt>
                <pt idx="134">
                  <v>10.30921566074463</v>
                </pt>
                <pt idx="135">
                  <v>10.32047469874855</v>
                </pt>
                <pt idx="136">
                  <v>10.3350320389343</v>
                </pt>
                <pt idx="137">
                  <v>10.35686596537867</v>
                </pt>
                <pt idx="138">
                  <v>10.37001018653857</v>
                </pt>
                <pt idx="139">
                  <v>10.38716228455006</v>
                </pt>
                <pt idx="140">
                  <v>10.39395816866168</v>
                </pt>
                <pt idx="141">
                  <v>10.40324594602064</v>
                </pt>
                <pt idx="142">
                  <v>10.41750088576635</v>
                </pt>
                <pt idx="143">
                  <v>10.42773809992423</v>
                </pt>
                <pt idx="144">
                  <v>10.42948027849884</v>
                </pt>
                <pt idx="145">
                  <v>10.44576619994961</v>
                </pt>
                <pt idx="146">
                  <v>10.45332106539358</v>
                </pt>
                <pt idx="147">
                  <v>10.45186703802363</v>
                </pt>
                <pt idx="148">
                  <v>10.45766284467132</v>
                </pt>
                <pt idx="149">
                  <v>10.46796390099171</v>
                </pt>
                <pt idx="150">
                  <v>10.46856257842587</v>
                </pt>
                <pt idx="151">
                  <v>10.47420141065358</v>
                </pt>
                <pt idx="152">
                  <v>10.4734967487104</v>
                </pt>
                <pt idx="153">
                  <v>10.47691644878986</v>
                </pt>
                <pt idx="154">
                  <v>10.4847803037811</v>
                </pt>
                <pt idx="155">
                  <v>10.48320015205145</v>
                </pt>
                <pt idx="156">
                  <v>10.48194722050846</v>
                </pt>
                <pt idx="157">
                  <v>10.48267453687328</v>
                </pt>
                <pt idx="158">
                  <v>10.47793766727623</v>
                </pt>
                <pt idx="159">
                  <v>10.47576372755593</v>
                </pt>
                <pt idx="160">
                  <v>10.4828967737227</v>
                </pt>
                <pt idx="161">
                  <v>10.47268547361546</v>
                </pt>
                <pt idx="162">
                  <v>10.47783913334781</v>
                </pt>
                <pt idx="163">
                  <v>10.46872453542164</v>
                </pt>
                <pt idx="164">
                  <v>10.46824374014238</v>
                </pt>
                <pt idx="165">
                  <v>10.4594649072875</v>
                </pt>
                <pt idx="166">
                  <v>10.46147127879352</v>
                </pt>
                <pt idx="167">
                  <v>10.450571917568</v>
                </pt>
                <pt idx="168">
                  <v>10.45459478871305</v>
                </pt>
                <pt idx="169">
                  <v>10.44195967503869</v>
                </pt>
                <pt idx="170">
                  <v>10.43984603845511</v>
                </pt>
                <pt idx="171">
                  <v>10.43450285457878</v>
                </pt>
                <pt idx="172">
                  <v>10.42546783816662</v>
                </pt>
                <pt idx="173">
                  <v>10.42044835873424</v>
                </pt>
                <pt idx="174">
                  <v>10.4175547627773</v>
                </pt>
                <pt idx="175">
                  <v>10.40545616075524</v>
                </pt>
                <pt idx="176">
                  <v>10.40107836257691</v>
                </pt>
                <pt idx="177">
                  <v>10.39754841718766</v>
                </pt>
                <pt idx="178">
                  <v>10.38806899692585</v>
                </pt>
                <pt idx="179">
                  <v>10.37808507922527</v>
                </pt>
                <pt idx="180">
                  <v>10.36905495225663</v>
                </pt>
                <pt idx="181">
                  <v>10.36145473140326</v>
                </pt>
                <pt idx="182">
                  <v>10.36078424899857</v>
                </pt>
                <pt idx="183">
                  <v>10.34974211602233</v>
                </pt>
                <pt idx="184">
                  <v>10.34039866885645</v>
                </pt>
                <pt idx="185">
                  <v>10.33034967499095</v>
                </pt>
                <pt idx="186">
                  <v>10.33061971197152</v>
                </pt>
                <pt idx="187">
                  <v>10.32338631579731</v>
                </pt>
                <pt idx="188">
                  <v>10.30817737577208</v>
                </pt>
                <pt idx="189">
                  <v>10.30152475235553</v>
                </pt>
                <pt idx="190">
                  <v>10.29828763806687</v>
                </pt>
                <pt idx="191">
                  <v>10.28766886105008</v>
                </pt>
                <pt idx="192">
                  <v>10.27505803161186</v>
                </pt>
                <pt idx="193">
                  <v>10.26855486218551</v>
                </pt>
                <pt idx="194">
                  <v>10.26360707130833</v>
                </pt>
                <pt idx="195">
                  <v>10.25282633729578</v>
                </pt>
                <pt idx="196">
                  <v>10.24291680898585</v>
                </pt>
                <pt idx="197">
                  <v>10.23314150754203</v>
                </pt>
                <pt idx="198">
                  <v>10.22561812080108</v>
                </pt>
                <pt idx="199">
                  <v>10.22152216411697</v>
                </pt>
                <pt idx="200">
                  <v>10.21053812238633</v>
                </pt>
                <pt idx="201">
                  <v>10.20829219143099</v>
                </pt>
                <pt idx="202">
                  <v>10.19678632966168</v>
                </pt>
                <pt idx="203">
                  <v>10.19626299622382</v>
                </pt>
                <pt idx="204">
                  <v>10.1836858806628</v>
                </pt>
                <pt idx="205">
                  <v>10.17393027669143</v>
                </pt>
                <pt idx="206">
                  <v>10.16742803858766</v>
                </pt>
                <pt idx="207">
                  <v>10.16093697635479</v>
                </pt>
                <pt idx="208">
                  <v>10.15677391787916</v>
                </pt>
                <pt idx="209">
                  <v>10.14915439536543</v>
                </pt>
                <pt idx="210">
                  <v>10.13961276275563</v>
                </pt>
                <pt idx="211">
                  <v>10.13906242096309</v>
                </pt>
                <pt idx="212">
                  <v>10.13480650962675</v>
                </pt>
                <pt idx="213">
                  <v>10.12595196024653</v>
                </pt>
                <pt idx="214">
                  <v>10.11734355942284</v>
                </pt>
                <pt idx="215">
                  <v>10.10947635167033</v>
                </pt>
                <pt idx="216">
                  <v>10.11103096187837</v>
                </pt>
                <pt idx="217">
                  <v>10.09813065410082</v>
                </pt>
                <pt idx="218">
                  <v>10.0957953860275</v>
                </pt>
                <pt idx="219">
                  <v>10.09473225802526</v>
                </pt>
                <pt idx="220">
                  <v>10.08462810658026</v>
                </pt>
                <pt idx="221">
                  <v>10.08438992083175</v>
                </pt>
                <pt idx="222">
                  <v>10.07930273424818</v>
                </pt>
                <pt idx="223">
                  <v>10.07627626184287</v>
                </pt>
                <pt idx="224">
                  <v>10.06942228648565</v>
                </pt>
                <pt idx="225">
                  <v>10.05982025760687</v>
                </pt>
                <pt idx="226">
                  <v>10.05467106822288</v>
                </pt>
                <pt idx="227">
                  <v>10.05352947629372</v>
                </pt>
                <pt idx="228">
                  <v>10.05480941619138</v>
                </pt>
                <pt idx="229">
                  <v>10.0462069525491</v>
                </pt>
                <pt idx="230">
                  <v>10.03873220412962</v>
                </pt>
                <pt idx="231">
                  <v>10.04207141465556</v>
                </pt>
                <pt idx="232">
                  <v>10.03281639656816</v>
                </pt>
                <pt idx="233">
                  <v>10.03657293273988</v>
                </pt>
                <pt idx="234">
                  <v>10.03274137853476</v>
                </pt>
                <pt idx="235">
                  <v>10.02951592906134</v>
                </pt>
                <pt idx="236">
                  <v>10.02363751410126</v>
                </pt>
                <pt idx="237">
                  <v>10.0170310377183</v>
                </pt>
                <pt idx="238">
                  <v>10.01531118760242</v>
                </pt>
                <pt idx="239">
                  <v>10.01695941901229</v>
                </pt>
                <pt idx="240">
                  <v>10.01575500937546</v>
                </pt>
                <pt idx="241">
                  <v>10.00814968953099</v>
                </pt>
                <pt idx="242">
                  <v>10.0020498759118</v>
                </pt>
                <pt idx="243">
                  <v>10.00125608639821</v>
                </pt>
                <pt idx="244">
                  <v>9.9992644065058</v>
                </pt>
                <pt idx="245">
                  <v>10.00183066586075</v>
                </pt>
                <pt idx="246">
                  <v>9.999387410934872</v>
                </pt>
                <pt idx="247">
                  <v>9.995379045138922</v>
                </pt>
                <pt idx="248">
                  <v>9.999465735163415</v>
                </pt>
                <pt idx="249">
                  <v>9.995823588686955</v>
                </pt>
                <pt idx="250">
                  <v>9.994826514738339</v>
                </pt>
                <pt idx="251">
                  <v>9.995058437342538</v>
                </pt>
                <pt idx="252">
                  <v>9.993362429084574</v>
                </pt>
                <pt idx="253">
                  <v>9.990012787745803</v>
                </pt>
                <pt idx="254">
                  <v>9.982290586918193</v>
                </pt>
                <pt idx="255">
                  <v>9.989058880598531</v>
                </pt>
                <pt idx="256">
                  <v>9.980662472075936</v>
                </pt>
                <pt idx="257">
                  <v>9.981216655574091</v>
                </pt>
                <pt idx="258">
                  <v>9.984814983323407</v>
                </pt>
                <pt idx="259">
                  <v>9.982992408327524</v>
                </pt>
                <pt idx="260">
                  <v>9.979844212061689</v>
                </pt>
                <pt idx="261">
                  <v>9.9758423422407</v>
                </pt>
                <pt idx="262">
                  <v>9.978628347157182</v>
                </pt>
                <pt idx="263">
                  <v>9.977661937004342</v>
                </pt>
                <pt idx="264">
                  <v>9.972528929350091</v>
                </pt>
                <pt idx="265">
                  <v>9.972850608167438</v>
                </pt>
                <pt idx="266">
                  <v>9.973039014724325</v>
                </pt>
                <pt idx="267">
                  <v>9.976551404683049</v>
                </pt>
                <pt idx="268">
                  <v>9.979719321704405</v>
                </pt>
                <pt idx="269">
                  <v>9.976890243118836</v>
                </pt>
                <pt idx="270">
                  <v>9.97296872315299</v>
                </pt>
                <pt idx="271">
                  <v>9.975595145946274</v>
                </pt>
                <pt idx="272">
                  <v>9.976108584081778</v>
                </pt>
                <pt idx="273">
                  <v>9.978390440805441</v>
                </pt>
                <pt idx="274">
                  <v>9.979290773621594</v>
                </pt>
                <pt idx="275">
                  <v>9.976972758298967</v>
                </pt>
                <pt idx="276">
                  <v>9.975998455187305</v>
                </pt>
                <pt idx="277">
                  <v>9.974788969842436</v>
                </pt>
                <pt idx="278">
                  <v>9.971062492106823</v>
                </pt>
                <pt idx="279">
                  <v>9.978627508966865</v>
                </pt>
                <pt idx="280">
                  <v>9.977098207449796</v>
                </pt>
                <pt idx="281">
                  <v>9.971134320360408</v>
                </pt>
                <pt idx="282">
                  <v>9.977859004861177</v>
                </pt>
                <pt idx="283">
                  <v>9.969674565356614</v>
                </pt>
                <pt idx="284">
                  <v>9.972048343618411</v>
                </pt>
                <pt idx="285">
                  <v>9.97283123665788</v>
                </pt>
                <pt idx="286">
                  <v>9.977498513175522</v>
                </pt>
                <pt idx="287">
                  <v>9.974500702222461</v>
                </pt>
                <pt idx="288">
                  <v>9.976719415275548</v>
                </pt>
                <pt idx="289">
                  <v>9.973776296240692</v>
                </pt>
                <pt idx="290">
                  <v>9.977261631278616</v>
                </pt>
                <pt idx="291">
                  <v>9.980597419194085</v>
                </pt>
                <pt idx="292">
                  <v>9.979633896141229</v>
                </pt>
                <pt idx="293">
                  <v>9.977607617615165</v>
                </pt>
                <pt idx="294">
                  <v>9.974543380079453</v>
                </pt>
                <pt idx="295">
                  <v>9.982002342581284</v>
                </pt>
                <pt idx="296">
                  <v>9.981058633416207</v>
                </pt>
                <pt idx="297">
                  <v>9.982758157416889</v>
                </pt>
                <pt idx="298">
                  <v>9.984821735412073</v>
                </pt>
                <pt idx="299">
                  <v>9.984212301202168</v>
                </pt>
                <pt idx="300">
                  <v>9.977079627564429</v>
                </pt>
                <pt idx="301">
                  <v>9.97892355313034</v>
                </pt>
                <pt idx="302">
                  <v>9.977058859071009</v>
                </pt>
                <pt idx="303">
                  <v>9.986107659057273</v>
                </pt>
                <pt idx="304">
                  <v>9.982729915059807</v>
                </pt>
                <pt idx="305">
                  <v>9.979456339492335</v>
                </pt>
                <pt idx="306">
                  <v>9.98489575227371</v>
                </pt>
                <pt idx="307">
                  <v>9.981635215222285</v>
                </pt>
                <pt idx="308">
                  <v>9.988247093276179</v>
                </pt>
                <pt idx="309">
                  <v>9.984607461370668</v>
                </pt>
                <pt idx="310">
                  <v>9.980314623094237</v>
                </pt>
                <pt idx="311">
                  <v>9.987843271807732</v>
                </pt>
                <pt idx="312">
                  <v>9.982278735838429</v>
                </pt>
                <pt idx="313">
                  <v>9.983724451154407</v>
                </pt>
                <pt idx="314">
                  <v>9.990871304178347</v>
                </pt>
                <pt idx="315">
                  <v>9.983777909070202</v>
                </pt>
                <pt idx="316">
                  <v>9.99119924614001</v>
                </pt>
                <pt idx="317">
                  <v>9.983241327568711</v>
                </pt>
                <pt idx="318">
                  <v>9.98950521694252</v>
                </pt>
                <pt idx="319">
                  <v>9.990966741459204</v>
                </pt>
                <pt idx="320">
                  <v>9.993286968672948</v>
                </pt>
                <pt idx="321">
                  <v>9.993911979252918</v>
                </pt>
                <pt idx="322">
                  <v>10.02184937475758</v>
                </pt>
                <pt idx="323">
                  <v>10.06177957403981</v>
                </pt>
                <pt idx="324">
                  <v>10.11500468247454</v>
                </pt>
                <pt idx="325">
                  <v>10.1696377643779</v>
                </pt>
                <pt idx="326">
                  <v>10.24385292787195</v>
                </pt>
                <pt idx="327">
                  <v>10.31266893500291</v>
                </pt>
                <pt idx="328">
                  <v>10.40068050157295</v>
                </pt>
                <pt idx="329">
                  <v>10.48836247308374</v>
                </pt>
                <pt idx="330">
                  <v>10.57410582680584</v>
                </pt>
                <pt idx="331">
                  <v>10.66846987480961</v>
                </pt>
                <pt idx="332">
                  <v>10.76964154158943</v>
                </pt>
                <pt idx="333">
                  <v>10.86051441050612</v>
                </pt>
                <pt idx="334">
                  <v>10.95955625897263</v>
                </pt>
                <pt idx="335">
                  <v>11.06223434001725</v>
                </pt>
                <pt idx="336">
                  <v>11.15475811789622</v>
                </pt>
                <pt idx="337">
                  <v>11.25235851184753</v>
                </pt>
                <pt idx="338">
                  <v>11.35350454397348</v>
                </pt>
                <pt idx="339">
                  <v>11.44645216675625</v>
                </pt>
                <pt idx="340">
                  <v>11.54761377525227</v>
                </pt>
                <pt idx="341">
                  <v>11.63505807324198</v>
                </pt>
                <pt idx="342">
                  <v>11.7239141398398</v>
                </pt>
                <pt idx="343">
                  <v>11.78021061042794</v>
                </pt>
                <pt idx="344">
                  <v>11.83368852637561</v>
                </pt>
                <pt idx="345">
                  <v>11.87025518432964</v>
                </pt>
                <pt idx="346">
                  <v>11.88711934068406</v>
                </pt>
                <pt idx="347">
                  <v>11.89516703875157</v>
                </pt>
                <pt idx="348">
                  <v>11.88878997040186</v>
                </pt>
                <pt idx="349">
                  <v>11.88093794320732</v>
                </pt>
                <pt idx="350">
                  <v>11.85404996197998</v>
                </pt>
                <pt idx="351">
                  <v>11.82192093967971</v>
                </pt>
                <pt idx="352">
                  <v>11.78627657047153</v>
                </pt>
                <pt idx="353">
                  <v>11.73961845034259</v>
                </pt>
                <pt idx="354">
                  <v>11.6778998662899</v>
                </pt>
                <pt idx="355">
                  <v>11.62119680354865</v>
                </pt>
                <pt idx="356">
                  <v>11.5520266610086</v>
                </pt>
                <pt idx="357">
                  <v>11.48845325491588</v>
                </pt>
                <pt idx="358">
                  <v>11.40662171212179</v>
                </pt>
                <pt idx="359">
                  <v>11.33308534308641</v>
                </pt>
                <pt idx="360">
                  <v>11.25210272410235</v>
                </pt>
                <pt idx="361">
                  <v>11.1590075332576</v>
                </pt>
                <pt idx="362">
                  <v>11.07776731044933</v>
                </pt>
                <pt idx="363">
                  <v>10.98879673774093</v>
                </pt>
                <pt idx="364">
                  <v>10.89458910536361</v>
                </pt>
                <pt idx="365">
                  <v>10.79184732185487</v>
                </pt>
                <pt idx="366">
                  <v>10.70328424933909</v>
                </pt>
                <pt idx="367">
                  <v>10.60222562183678</v>
                </pt>
                <pt idx="368">
                  <v>10.50372417329432</v>
                </pt>
                <pt idx="369">
                  <v>10.40780130084786</v>
                </pt>
                <pt idx="370">
                  <v>10.32080520184729</v>
                </pt>
                <pt idx="371">
                  <v>10.2201304887934</v>
                </pt>
                <pt idx="372">
                  <v>10.13585203563232</v>
                </pt>
                <pt idx="373">
                  <v>10.04555109190884</v>
                </pt>
                <pt idx="374">
                  <v>9.960967840152087</v>
                </pt>
                <pt idx="375">
                  <v>9.87442147682291</v>
                </pt>
                <pt idx="376">
                  <v>9.797516257920655</v>
                </pt>
                <pt idx="377">
                  <v>9.721301405160061</v>
                </pt>
                <pt idx="378">
                  <v>9.643526959615649</v>
                </pt>
                <pt idx="379">
                  <v>9.581916618529222</v>
                </pt>
                <pt idx="380">
                  <v>9.517315730805816</v>
                </pt>
                <pt idx="381">
                  <v>9.446260568091242</v>
                </pt>
                <pt idx="382">
                  <v>9.387948040242295</v>
                </pt>
                <pt idx="383">
                  <v>9.330490932178332</v>
                </pt>
                <pt idx="384">
                  <v>9.282247118950414</v>
                </pt>
                <pt idx="385">
                  <v>9.235762224820387</v>
                </pt>
                <pt idx="386">
                  <v>9.194769409763341</v>
                </pt>
                <pt idx="387">
                  <v>9.144217592930472</v>
                </pt>
                <pt idx="388">
                  <v>9.114406888632665</v>
                </pt>
                <pt idx="389">
                  <v>9.077001644549194</v>
                </pt>
                <pt idx="390">
                  <v>9.047139391546869</v>
                </pt>
                <pt idx="391">
                  <v>9.021454446255568</v>
                </pt>
                <pt idx="392">
                  <v>8.99783354462074</v>
                </pt>
                <pt idx="393">
                  <v>8.978217213642369</v>
                </pt>
                <pt idx="394">
                  <v>8.964131891020605</v>
                </pt>
                <pt idx="395">
                  <v>8.942688002470575</v>
                </pt>
                <pt idx="396">
                  <v>8.932062682912699</v>
                </pt>
                <pt idx="397">
                  <v>8.923860222316314</v>
                </pt>
                <pt idx="398">
                  <v>8.922789899847189</v>
                </pt>
                <pt idx="399">
                  <v>8.916792089333009</v>
                </pt>
                <pt idx="400">
                  <v>8.913958726663598</v>
                </pt>
                <pt idx="401">
                  <v>8.915507981766831</v>
                </pt>
                <pt idx="402">
                  <v>8.916842078072214</v>
                </pt>
                <pt idx="403">
                  <v>8.924397548875863</v>
                </pt>
                <pt idx="404">
                  <v>8.92983905713303</v>
                </pt>
                <pt idx="405">
                  <v>8.938262497293358</v>
                </pt>
                <pt idx="406">
                  <v>8.945705767009803</v>
                </pt>
                <pt idx="407">
                  <v>8.958200413956821</v>
                </pt>
                <pt idx="408">
                  <v>8.973073612193827</v>
                </pt>
                <pt idx="409">
                  <v>8.989702423333586</v>
                </pt>
                <pt idx="410">
                  <v>9.006769864123028</v>
                </pt>
                <pt idx="411">
                  <v>9.014134623346417</v>
                </pt>
                <pt idx="412">
                  <v>9.038617603722637</v>
                </pt>
                <pt idx="413">
                  <v>9.05167663215</v>
                </pt>
                <pt idx="414">
                  <v>9.074584210541701</v>
                </pt>
                <pt idx="415">
                  <v>9.092369933866982</v>
                </pt>
                <pt idx="416">
                  <v>9.111075640914747</v>
                </pt>
                <pt idx="417">
                  <v>9.129845073709694</v>
                </pt>
                <pt idx="418">
                  <v>9.154166120373217</v>
                </pt>
                <pt idx="419">
                  <v>9.166939698431394</v>
                </pt>
                <pt idx="420">
                  <v>9.195879709253992</v>
                </pt>
                <pt idx="421">
                  <v>9.20994230760493</v>
                </pt>
                <pt idx="422">
                  <v>9.238093907301801</v>
                </pt>
                <pt idx="423">
                  <v>9.253103171766993</v>
                </pt>
                <pt idx="424">
                  <v>9.277848342731094</v>
                </pt>
                <pt idx="425">
                  <v>9.295117205310408</v>
                </pt>
                <pt idx="426">
                  <v>9.321490840362733</v>
                </pt>
                <pt idx="427">
                  <v>9.342617287613129</v>
                </pt>
                <pt idx="428">
                  <v>9.356723425294442</v>
                </pt>
                <pt idx="429">
                  <v>9.376598826930065</v>
                </pt>
                <pt idx="430">
                  <v>9.397071252902288</v>
                </pt>
                <pt idx="431">
                  <v>9.41764894160853</v>
                </pt>
                <pt idx="432">
                  <v>9.438768147825909</v>
                </pt>
                <pt idx="433">
                  <v>9.456324463117943</v>
                </pt>
                <pt idx="434">
                  <v>9.482672347101072</v>
                </pt>
                <pt idx="435">
                  <v>9.503009242355592</v>
                </pt>
                <pt idx="436">
                  <v>9.513389996605317</v>
                </pt>
                <pt idx="437">
                  <v>9.531113717130179</v>
                </pt>
                <pt idx="438">
                  <v>9.551381042588359</v>
                </pt>
                <pt idx="439">
                  <v>9.568837380401986</v>
                </pt>
                <pt idx="440">
                  <v>9.588210612905261</v>
                </pt>
                <pt idx="441">
                  <v>9.603449704498857</v>
                </pt>
                <pt idx="442">
                  <v>9.62045712154835</v>
                </pt>
                <pt idx="443">
                  <v>9.636644602202962</v>
                </pt>
                <pt idx="444">
                  <v>9.654637637933398</v>
                </pt>
                <pt idx="445">
                  <v>9.669048783757967</v>
                </pt>
                <pt idx="446">
                  <v>9.67680844703615</v>
                </pt>
                <pt idx="447">
                  <v>9.697620898880443</v>
                </pt>
                <pt idx="448">
                  <v>9.705292808289009</v>
                </pt>
                <pt idx="449">
                  <v>9.72655660233613</v>
                </pt>
                <pt idx="450">
                  <v>9.73316990065695</v>
                </pt>
                <pt idx="451">
                  <v>9.745050852593279</v>
                </pt>
                <pt idx="452">
                  <v>9.762634711750465</v>
                </pt>
                <pt idx="453">
                  <v>9.770406994449536</v>
                </pt>
                <pt idx="454">
                  <v>9.781739793201382</v>
                </pt>
                <pt idx="455">
                  <v>9.798229045653303</v>
                </pt>
                <pt idx="456">
                  <v>9.810481315900219</v>
                </pt>
                <pt idx="457">
                  <v>9.812998424706281</v>
                </pt>
                <pt idx="458">
                  <v>9.828757846222436</v>
                </pt>
                <pt idx="459">
                  <v>9.833345168697031</v>
                </pt>
                <pt idx="460">
                  <v>9.846307106745966</v>
                </pt>
                <pt idx="461">
                  <v>9.852082424297016</v>
                </pt>
                <pt idx="462">
                  <v>9.868104711609917</v>
                </pt>
                <pt idx="463">
                  <v>9.876902194199362</v>
                </pt>
                <pt idx="464">
                  <v>9.884155916488766</v>
                </pt>
                <pt idx="465">
                  <v>9.892401776717138</v>
                </pt>
                <pt idx="466">
                  <v>9.89596343364007</v>
                </pt>
                <pt idx="467">
                  <v>9.902437964897238</v>
                </pt>
                <pt idx="468">
                  <v>9.914515169783151</v>
                </pt>
                <pt idx="469">
                  <v>9.921543768123152</v>
                </pt>
                <pt idx="470">
                  <v>9.927742325218334</v>
                </pt>
                <pt idx="471">
                  <v>9.935342429656382</v>
                </pt>
                <pt idx="472">
                  <v>9.944757029866976</v>
                </pt>
                <pt idx="473">
                  <v>9.948526045761193</v>
                </pt>
                <pt idx="474">
                  <v>9.952532991290216</v>
                </pt>
                <pt idx="475">
                  <v>9.961329542557088</v>
                </pt>
                <pt idx="476">
                  <v>9.966247624244133</v>
                </pt>
                <pt idx="477">
                  <v>9.972584017080392</v>
                </pt>
                <pt idx="478">
                  <v>9.972993473050416</v>
                </pt>
                <pt idx="479">
                  <v>9.976439366577296</v>
                </pt>
                <pt idx="480">
                  <v>9.979039805470743</v>
                </pt>
                <pt idx="481">
                  <v>9.990415398494903</v>
                </pt>
                <pt idx="482">
                  <v>9.991907493675106</v>
                </pt>
                <pt idx="483">
                  <v>9.993166944476116</v>
                </pt>
                <pt idx="484">
                  <v>9.998627614695259</v>
                </pt>
                <pt idx="485">
                  <v>10.00239276560079</v>
                </pt>
                <pt idx="486">
                  <v>10.00983105274146</v>
                </pt>
                <pt idx="487">
                  <v>10.01088915160179</v>
                </pt>
                <pt idx="488">
                  <v>10.00894948607519</v>
                </pt>
                <pt idx="489">
                  <v>10.01524629770202</v>
                </pt>
                <pt idx="490">
                  <v>10.01401792979194</v>
                </pt>
                <pt idx="491">
                  <v>10.02632719698044</v>
                </pt>
                <pt idx="492">
                  <v>10.02666861983637</v>
                </pt>
                <pt idx="493">
                  <v>10.02788844286182</v>
                </pt>
                <pt idx="494">
                  <v>10.0307995244001</v>
                </pt>
                <pt idx="495">
                  <v>10.03321409459068</v>
                </pt>
                <pt idx="496">
                  <v>10.02941625426277</v>
                </pt>
                <pt idx="497">
                  <v>10.03279045923445</v>
                </pt>
                <pt idx="498">
                  <v>10.03148877295467</v>
                </pt>
                <pt idx="499">
                  <v>10.03591262503432</v>
                </pt>
                <pt idx="500">
                  <v>10.03872354282968</v>
                </pt>
                <pt idx="501">
                  <v>10.03921341850404</v>
                </pt>
                <pt idx="502">
                  <v>10.04607775482491</v>
                </pt>
                <pt idx="503">
                  <v>10.03836721881255</v>
                </pt>
                <pt idx="504">
                  <v>10.04331486999135</v>
                </pt>
                <pt idx="505">
                  <v>10.04415753065705</v>
                </pt>
                <pt idx="506">
                  <v>10.0490624108466</v>
                </pt>
                <pt idx="507">
                  <v>10.05081604468888</v>
                </pt>
                <pt idx="508">
                  <v>10.04463711521696</v>
                </pt>
                <pt idx="509">
                  <v>10.05174329272745</v>
                </pt>
                <pt idx="510">
                  <v>10.05223419285664</v>
                </pt>
                <pt idx="511">
                  <v>10.04690958886568</v>
                </pt>
                <pt idx="512">
                  <v>10.04688646878276</v>
                </pt>
                <pt idx="513">
                  <v>10.05297044991818</v>
                </pt>
                <pt idx="514">
                  <v>10.04787010840324</v>
                </pt>
                <pt idx="515">
                  <v>10.04723010352981</v>
                </pt>
                <pt idx="516">
                  <v>10.04759911681702</v>
                </pt>
                <pt idx="517">
                  <v>10.05017792574367</v>
                </pt>
                <pt idx="518">
                  <v>10.04512084416233</v>
                </pt>
                <pt idx="519">
                  <v>10.04511495354705</v>
                </pt>
                <pt idx="520">
                  <v>10.05189423683376</v>
                </pt>
                <pt idx="521">
                  <v>10.04601002439065</v>
                </pt>
                <pt idx="522">
                  <v>10.05231163232874</v>
                </pt>
                <pt idx="523">
                  <v>10.04878273467738</v>
                </pt>
                <pt idx="524">
                  <v>10.0511400285296</v>
                </pt>
                <pt idx="525">
                  <v>10.04232466454672</v>
                </pt>
                <pt idx="526">
                  <v>10.04428002285871</v>
                </pt>
                <pt idx="527">
                  <v>10.04222566495701</v>
                </pt>
                <pt idx="528">
                  <v>10.04216789967431</v>
                </pt>
                <pt idx="529">
                  <v>10.04139469238962</v>
                </pt>
                <pt idx="530">
                  <v>10.04752142123122</v>
                </pt>
                <pt idx="531">
                  <v>10.04636902596019</v>
                </pt>
                <pt idx="532">
                  <v>10.03779787803949</v>
                </pt>
                <pt idx="533">
                  <v>10.03901553573995</v>
                </pt>
                <pt idx="534">
                  <v>10.03875602270448</v>
                </pt>
                <pt idx="535">
                  <v>10.03832726507409</v>
                </pt>
                <pt idx="536">
                  <v>10.03409943311338</v>
                </pt>
                <pt idx="537">
                  <v>10.03909616499187</v>
                </pt>
                <pt idx="538">
                  <v>10.03762306879219</v>
                </pt>
                <pt idx="539">
                  <v>10.03760036780443</v>
                </pt>
                <pt idx="540">
                  <v>10.03270077287049</v>
                </pt>
                <pt idx="541">
                  <v>10.03743491834901</v>
                </pt>
                <pt idx="542">
                  <v>10.03417403205162</v>
                </pt>
                <pt idx="543">
                  <v>10.03499587765778</v>
                </pt>
                <pt idx="544">
                  <v>10.03747447627538</v>
                </pt>
                <pt idx="545">
                  <v>10.02710438566914</v>
                </pt>
                <pt idx="546">
                  <v>10.02812385792567</v>
                </pt>
                <pt idx="547">
                  <v>10.02649618546164</v>
                </pt>
                <pt idx="548">
                  <v>10.03156393068646</v>
                </pt>
                <pt idx="549">
                  <v>10.02798595233541</v>
                </pt>
                <pt idx="550">
                  <v>10.02684512874736</v>
                </pt>
                <pt idx="551">
                  <v>10.02997691045282</v>
                </pt>
                <pt idx="552">
                  <v>10.02686107764646</v>
                </pt>
                <pt idx="553">
                  <v>10.02051739721105</v>
                </pt>
                <pt idx="554">
                  <v>10.01976079075126</v>
                </pt>
                <pt idx="555">
                  <v>10.02533515217373</v>
                </pt>
                <pt idx="556">
                  <v>10.0241523026545</v>
                </pt>
                <pt idx="557">
                  <v>10.02261718037133</v>
                </pt>
                <pt idx="558">
                  <v>10.02473766217584</v>
                </pt>
                <pt idx="559">
                  <v>10.01705990871812</v>
                </pt>
                <pt idx="560">
                  <v>10.01915028552039</v>
                </pt>
                <pt idx="561">
                  <v>10.01776382560324</v>
                </pt>
                <pt idx="562">
                  <v>10.01468624687164</v>
                </pt>
                <pt idx="563">
                  <v>10.02022610279271</v>
                </pt>
                <pt idx="564">
                  <v>10.01979280496477</v>
                </pt>
                <pt idx="565">
                  <v>10.01608718885483</v>
                </pt>
                <pt idx="566">
                  <v>10.01477453625174</v>
                </pt>
                <pt idx="567">
                  <v>10.01162687549638</v>
                </pt>
                <pt idx="568">
                  <v>10.01222888240875</v>
                </pt>
                <pt idx="569">
                  <v>10.016691291243</v>
                </pt>
                <pt idx="570">
                  <v>10.01452030847187</v>
                </pt>
                <pt idx="571">
                  <v>10.01560723176589</v>
                </pt>
                <pt idx="572">
                  <v>10.01335457200495</v>
                </pt>
                <pt idx="573">
                  <v>10.01666793832944</v>
                </pt>
                <pt idx="574">
                  <v>10.01360747265015</v>
                </pt>
                <pt idx="575">
                  <v>10.01304202014884</v>
                </pt>
                <pt idx="576">
                  <v>10.01310949446939</v>
                </pt>
                <pt idx="577">
                  <v>10.01407832606092</v>
                </pt>
                <pt idx="578">
                  <v>10.01057820627712</v>
                </pt>
                <pt idx="579">
                  <v>10.01258020056705</v>
                </pt>
                <pt idx="580">
                  <v>10.00889777438922</v>
                </pt>
                <pt idx="581">
                  <v>10.00533122802277</v>
                </pt>
                <pt idx="582">
                  <v>10.00952190021275</v>
                </pt>
                <pt idx="583">
                  <v>10.00945198117044</v>
                </pt>
                <pt idx="584">
                  <v>10.0030937488198</v>
                </pt>
                <pt idx="585">
                  <v>10.00051980605361</v>
                </pt>
                <pt idx="586">
                  <v>10.00288273440741</v>
                </pt>
                <pt idx="587">
                  <v>10.00628939597083</v>
                </pt>
                <pt idx="588">
                  <v>10.0008477945814</v>
                </pt>
                <pt idx="589">
                  <v>10.00509273959442</v>
                </pt>
                <pt idx="590">
                  <v>10.00018664868553</v>
                </pt>
                <pt idx="591">
                  <v>9.998817930463426</v>
                </pt>
                <pt idx="592">
                  <v>9.998848827089846</v>
                </pt>
                <pt idx="593">
                  <v>10.00339961843644</v>
                </pt>
                <pt idx="594">
                  <v>9.998351593967143</v>
                </pt>
                <pt idx="595">
                  <v>10.00435308320549</v>
                </pt>
                <pt idx="596">
                  <v>9.999044358264433</v>
                </pt>
                <pt idx="597">
                  <v>9.998409056570011</v>
                </pt>
                <pt idx="598">
                  <v>9.999949394259589</v>
                </pt>
                <pt idx="599">
                  <v>9.995537602807287</v>
                </pt>
                <pt idx="600">
                  <v>9.99514453811458</v>
                </pt>
                <pt idx="601">
                  <v>10.00232922611812</v>
                </pt>
                <pt idx="602">
                  <v>9.998960236552861</v>
                </pt>
                <pt idx="603">
                  <v>9.999615957494736</v>
                </pt>
                <pt idx="604">
                  <v>10.00277842627903</v>
                </pt>
                <pt idx="605">
                  <v>9.995638791005042</v>
                </pt>
                <pt idx="606">
                  <v>10.00232533784637</v>
                </pt>
                <pt idx="607">
                  <v>9.999539519194405</v>
                </pt>
                <pt idx="608">
                  <v>10.00066092470676</v>
                </pt>
                <pt idx="609">
                  <v>9.999211786780322</v>
                </pt>
                <pt idx="610">
                  <v>10.00097140437015</v>
                </pt>
                <pt idx="611">
                  <v>9.995939282233813</v>
                </pt>
                <pt idx="612">
                  <v>9.996447993907251</v>
                </pt>
                <pt idx="613">
                  <v>10.00203483505222</v>
                </pt>
                <pt idx="614">
                  <v>10.00102083431581</v>
                </pt>
                <pt idx="615">
                  <v>9.997851636725908</v>
                </pt>
                <pt idx="616">
                  <v>10.00285488786242</v>
                </pt>
                <pt idx="617">
                  <v>10.00193779123992</v>
                </pt>
                <pt idx="618">
                  <v>9.995459907221482</v>
                </pt>
                <pt idx="619">
                  <v>10.00047121429827</v>
                </pt>
                <pt idx="620">
                  <v>10.00052802497533</v>
                </pt>
                <pt idx="621">
                  <v>9.935112812075557</v>
                </pt>
                <pt idx="622">
                  <v>9.75985066261139</v>
                </pt>
                <pt idx="623">
                  <v>9.494468455550836</v>
                </pt>
                <pt idx="624">
                  <v>9.182986828773979</v>
                </pt>
                <pt idx="625">
                  <v>8.88938866762663</v>
                </pt>
                <pt idx="626">
                  <v>8.599999269610271</v>
                </pt>
                <pt idx="627">
                  <v>8.314105870275318</v>
                </pt>
                <pt idx="628">
                  <v>8.044821118946379</v>
                </pt>
                <pt idx="629">
                  <v>7.784619230726878</v>
                </pt>
                <pt idx="630">
                  <v>7.522520447970024</v>
                </pt>
                <pt idx="631">
                  <v>7.273466653952716</v>
                </pt>
                <pt idx="632">
                  <v>7.027230529819437</v>
                </pt>
                <pt idx="633">
                  <v>6.782911300375805</v>
                </pt>
                <pt idx="634">
                  <v>6.550243265589289</v>
                </pt>
                <pt idx="635">
                  <v>6.310092123763192</v>
                </pt>
                <pt idx="636">
                  <v>6.083581062518894</v>
                </pt>
                <pt idx="637">
                  <v>5.850588787777952</v>
                </pt>
                <pt idx="638">
                  <v>5.627020752436254</v>
                </pt>
                <pt idx="639">
                  <v>5.402126024803642</v>
                </pt>
                <pt idx="640">
                  <v>5.17402649977571</v>
                </pt>
                <pt idx="641">
                  <v>4.959257367290384</v>
                </pt>
                <pt idx="642">
                  <v>4.736167170278767</v>
                </pt>
                <pt idx="643">
                  <v>4.512773455240013</v>
                </pt>
                <pt idx="644">
                  <v>4.296901008183347</v>
                </pt>
                <pt idx="645">
                  <v>4.090188793859023</v>
                </pt>
                <pt idx="646">
                  <v>3.885961371447416</v>
                </pt>
                <pt idx="647">
                  <v>3.693878278996301</v>
                </pt>
                <pt idx="648">
                  <v>3.509173380096716</v>
                </pt>
                <pt idx="649">
                  <v>3.332439065755447</v>
                </pt>
                <pt idx="650">
                  <v>3.170366981804922</v>
                </pt>
                <pt idx="651">
                  <v>3.019542201193874</v>
                </pt>
                <pt idx="652">
                  <v>2.865010384205964</v>
                </pt>
                <pt idx="653">
                  <v>2.724919818044854</v>
                </pt>
                <pt idx="654">
                  <v>2.585713030441132</v>
                </pt>
                <pt idx="655">
                  <v>2.458919073096225</v>
                </pt>
                <pt idx="656">
                  <v>2.333863918281594</v>
                </pt>
                <pt idx="657">
                  <v>2.219201997439191</v>
                </pt>
                <pt idx="658">
                  <v>2.106972854143701</v>
                </pt>
                <pt idx="659">
                  <v>1.999454712960742</v>
                </pt>
                <pt idx="660">
                  <v>1.902021281864033</v>
                </pt>
                <pt idx="661">
                  <v>1.797095546917314</v>
                </pt>
                <pt idx="662">
                  <v>1.707127131919173</v>
                </pt>
                <pt idx="663">
                  <v>1.626600232354039</v>
                </pt>
                <pt idx="664">
                  <v>1.537145371906726</v>
                </pt>
                <pt idx="665">
                  <v>1.467202045365051</v>
                </pt>
                <pt idx="666">
                  <v>1.387481065790048</v>
                </pt>
                <pt idx="667">
                  <v>1.321857166784317</v>
                </pt>
                <pt idx="668">
                  <v>1.258869073646811</v>
                </pt>
                <pt idx="669">
                  <v>1.195515506247877</v>
                </pt>
                <pt idx="670">
                  <v>1.146258018246446</v>
                </pt>
                <pt idx="671">
                  <v>1.092998986386926</v>
                </pt>
                <pt idx="672">
                  <v>1.041842159126383</v>
                </pt>
                <pt idx="673">
                  <v>0.9976860836608537</v>
                </pt>
                <pt idx="674">
                  <v>0.9601036321744564</v>
                </pt>
                <pt idx="675">
                  <v>0.9234359257210596</v>
                </pt>
                <pt idx="676">
                  <v>0.8871291766146033</v>
                </pt>
                <pt idx="677">
                  <v>0.845324644084397</v>
                </pt>
                <pt idx="678">
                  <v>0.8169847076798288</v>
                </pt>
                <pt idx="679">
                  <v>0.7820515429559284</v>
                </pt>
                <pt idx="680">
                  <v>0.758988340561974</v>
                </pt>
                <pt idx="681">
                  <v>0.7339618403310799</v>
                </pt>
                <pt idx="682">
                  <v>0.7078479278618116</v>
                </pt>
                <pt idx="683">
                  <v>0.6908120821907213</v>
                </pt>
                <pt idx="684">
                  <v>0.6620879985070992</v>
                </pt>
                <pt idx="685">
                  <v>0.6507428597311357</v>
                </pt>
                <pt idx="686">
                  <v>0.6320069778319465</v>
                </pt>
                <pt idx="687">
                  <v>0.609465246230705</v>
                </pt>
                <pt idx="688">
                  <v>0.5935027731101734</v>
                </pt>
                <pt idx="689">
                  <v>0.5808333634819913</v>
                </pt>
                <pt idx="690">
                  <v>0.5675126101280359</v>
                </pt>
                <pt idx="691">
                  <v>0.5586158718351777</v>
                </pt>
                <pt idx="692">
                  <v>0.5529782503268166</v>
                </pt>
                <pt idx="693">
                  <v>0.5450518570246761</v>
                </pt>
                <pt idx="694">
                  <v>0.5311070011302612</v>
                </pt>
                <pt idx="695">
                  <v>0.5232869415831023</v>
                </pt>
                <pt idx="696">
                  <v>0.5190388999225196</v>
                </pt>
                <pt idx="697">
                  <v>0.5165486830558043</v>
                </pt>
                <pt idx="698">
                  <v>0.5059954711482849</v>
                </pt>
                <pt idx="699">
                  <v>0.5027109758236239</v>
                </pt>
                <pt idx="700">
                  <v>0.5005399232033035</v>
                </pt>
                <pt idx="701">
                  <v>0.4987741356014214</v>
                </pt>
                <pt idx="702">
                  <v>0.4961540690847099</v>
                </pt>
                <pt idx="703">
                  <v>0.4930318101525846</v>
                </pt>
                <pt idx="704">
                  <v>0.4935635720597495</v>
                </pt>
                <pt idx="705">
                  <v>0.4918607185808618</v>
                </pt>
                <pt idx="706">
                  <v>0.4888896831518248</v>
                </pt>
                <pt idx="707">
                  <v>0.4906257615635697</v>
                </pt>
                <pt idx="708">
                  <v>0.4907667870844637</v>
                </pt>
                <pt idx="709">
                  <v>0.4914974096444196</v>
                </pt>
                <pt idx="710">
                  <v>0.4892454716584751</v>
                </pt>
                <pt idx="711">
                  <v>0.4903565394902501</v>
                </pt>
                <pt idx="712">
                  <v>0.4967183574328009</v>
                </pt>
                <pt idx="713">
                  <v>0.5045661471096254</v>
                </pt>
                <pt idx="714">
                  <v>0.5077915965830422</v>
                </pt>
                <pt idx="715">
                  <v>0.5044881488439832</v>
                </pt>
                <pt idx="716">
                  <v>0.5053523463442345</v>
                </pt>
                <pt idx="717">
                  <v>0.5129206926824806</v>
                </pt>
                <pt idx="718">
                  <v>0.5182539579733866</v>
                </pt>
                <pt idx="719">
                  <v>0.5198935048002502</v>
                </pt>
                <pt idx="720">
                  <v>0.5241031992538141</v>
                </pt>
                <pt idx="721">
                  <v>0.5321370904641546</v>
                </pt>
                <pt idx="722">
                  <v>0.5387861050057192</v>
                </pt>
                <pt idx="723">
                  <v>0.5461760332216918</v>
                </pt>
                <pt idx="724">
                  <v>0.5505657756120352</v>
                </pt>
                <pt idx="725">
                  <v>0.5563160405858225</v>
                </pt>
                <pt idx="726">
                  <v>0.5659651943868876</v>
                </pt>
                <pt idx="727">
                  <v>0.5708377809661529</v>
                </pt>
                <pt idx="728">
                  <v>0.5768557778971399</v>
                </pt>
                <pt idx="729">
                  <v>0.5822154461830426</v>
                </pt>
                <pt idx="730">
                  <v>0.5914482522270289</v>
                </pt>
                <pt idx="731">
                  <v>0.6053326652863372</v>
                </pt>
                <pt idx="732">
                  <v>0.6047442789666225</v>
                </pt>
                <pt idx="733">
                  <v>0.6138618804081022</v>
                </pt>
                <pt idx="734">
                  <v>0.6214921596975745</v>
                </pt>
                <pt idx="735">
                  <v>0.6381844171877449</v>
                </pt>
                <pt idx="736">
                  <v>0.6400031737610705</v>
                </pt>
                <pt idx="737">
                  <v>0.645738514290596</v>
                </pt>
                <pt idx="738">
                  <v>0.6579553709966027</v>
                </pt>
                <pt idx="739">
                  <v>0.6665183465617054</v>
                </pt>
                <pt idx="740">
                  <v>0.6741705119316863</v>
                </pt>
                <pt idx="741">
                  <v>0.6783982274770732</v>
                </pt>
                <pt idx="742">
                  <v>0.6871443010603879</v>
                </pt>
                <pt idx="743">
                  <v>0.7045498119444935</v>
                </pt>
                <pt idx="744">
                  <v>0.7037985605895051</v>
                </pt>
                <pt idx="745">
                  <v>0.7161770017622451</v>
                </pt>
                <pt idx="746">
                  <v>0.7215802792277141</v>
                </pt>
                <pt idx="747">
                  <v>0.735077751040244</v>
                </pt>
                <pt idx="748">
                  <v>0.7464889671528919</v>
                </pt>
                <pt idx="749">
                  <v>0.7465333912397114</v>
                </pt>
                <pt idx="750">
                  <v>0.7631911897946129</v>
                </pt>
                <pt idx="751">
                  <v>0.7642095677471276</v>
                </pt>
                <pt idx="752">
                  <v>0.7706897567889397</v>
                </pt>
                <pt idx="753">
                  <v>0.7863585140524336</v>
                </pt>
                <pt idx="754">
                  <v>0.7936300246030161</v>
                </pt>
                <pt idx="755">
                  <v>0.7979545744131215</v>
                </pt>
                <pt idx="756">
                  <v>0.8103628411913205</v>
                </pt>
                <pt idx="757">
                  <v>0.816190173108175</v>
                </pt>
                <pt idx="758">
                  <v>0.8248350584937342</v>
                </pt>
                <pt idx="759">
                  <v>0.8314009757785595</v>
                </pt>
                <pt idx="760">
                  <v>0.8361743299374762</v>
                </pt>
                <pt idx="761">
                  <v>0.840131589407132</v>
                </pt>
                <pt idx="762">
                  <v>0.8444562556325589</v>
                </pt>
                <pt idx="763">
                  <v>0.8589393228429695</v>
                </pt>
                <pt idx="764">
                  <v>0.8631563514618101</v>
                </pt>
                <pt idx="765">
                  <v>0.8704270238220754</v>
                </pt>
                <pt idx="766">
                  <v>0.8731660435146573</v>
                </pt>
                <pt idx="767">
                  <v>0.882679480333505</v>
                </pt>
                <pt idx="768">
                  <v>0.8889517283274214</v>
                </pt>
                <pt idx="769">
                  <v>0.8983654670646334</v>
                </pt>
                <pt idx="770">
                  <v>0.8955993226020595</v>
                </pt>
                <pt idx="771">
                  <v>0.9077911034477389</v>
                </pt>
                <pt idx="772">
                  <v>0.9118098534903977</v>
                </pt>
                <pt idx="773">
                  <v>0.9172842607175196</v>
                </pt>
                <pt idx="774">
                  <v>0.9235167179544262</v>
                </pt>
                <pt idx="775">
                  <v>0.9256960360625982</v>
                </pt>
                <pt idx="776">
                  <v>0.9313326563991916</v>
                </pt>
                <pt idx="777">
                  <v>0.9344456719547617</v>
                </pt>
                <pt idx="778">
                  <v>0.9401605699537695</v>
                </pt>
                <pt idx="779">
                  <v>0.9439161515198453</v>
                </pt>
                <pt idx="780">
                  <v>0.9467850674285518</v>
                </pt>
                <pt idx="781">
                  <v>0.953166117182273</v>
                </pt>
                <pt idx="782">
                  <v>0.9526167532784439</v>
                </pt>
                <pt idx="783">
                  <v>0.9629799753806974</v>
                </pt>
                <pt idx="784">
                  <v>0.9648130743216753</v>
                </pt>
                <pt idx="785">
                  <v>0.9675297888385901</v>
                </pt>
                <pt idx="786">
                  <v>0.9721295910356867</v>
                </pt>
                <pt idx="787">
                  <v>0.9789999343871604</v>
                </pt>
                <pt idx="788">
                  <v>0.9801500479178852</v>
                </pt>
                <pt idx="789">
                  <v>0.9778604844999175</v>
                </pt>
                <pt idx="790">
                  <v>0.9823115544818135</v>
                </pt>
                <pt idx="791">
                  <v>0.9872847937483538</v>
                </pt>
                <pt idx="792">
                  <v>0.9904165754538069</v>
                </pt>
                <pt idx="793">
                  <v>0.987808848961212</v>
                </pt>
                <pt idx="794">
                  <v>0.9980039673387082</v>
                </pt>
                <pt idx="795">
                  <v>0.9992109381126265</v>
                </pt>
                <pt idx="796">
                  <v>0.9957047647320909</v>
                </pt>
                <pt idx="797">
                  <v>0.9988252774343885</v>
                </pt>
                <pt idx="798">
                  <v>0.9971600726705884</v>
                </pt>
                <pt idx="799">
                  <v>1.002197573194792</v>
                </pt>
                <pt idx="800">
                  <v>1.003326010192587</v>
                </pt>
                <pt idx="801">
                  <v>1.003749692114943</v>
                </pt>
                <pt idx="802">
                  <v>1.005896250951545</v>
                </pt>
                <pt idx="803">
                  <v>1.013524364916031</v>
                </pt>
                <pt idx="804">
                  <v>1.009016973201422</v>
                </pt>
                <pt idx="805">
                  <v>1.008116407554624</v>
                </pt>
                <pt idx="806">
                  <v>1.015154179421988</v>
                </pt>
                <pt idx="807">
                  <v>1.014315849406253</v>
                </pt>
                <pt idx="808">
                  <v>1.016067737018705</v>
                </pt>
                <pt idx="809">
                  <v>1.021466055191463</v>
                </pt>
                <pt idx="810">
                  <v>1.018827222524869</v>
                </pt>
                <pt idx="811">
                  <v>1.016550674339884</v>
                </pt>
                <pt idx="812">
                  <v>1.019378309375462</v>
                </pt>
                <pt idx="813">
                  <v>1.019036025046147</v>
                </pt>
                <pt idx="814">
                  <v>1.02341133193658</v>
                </pt>
                <pt idx="815">
                  <v>1.017375826141186</v>
                </pt>
                <pt idx="816">
                  <v>1.019397028959216</v>
                </pt>
                <pt idx="817">
                  <v>1.027032477088979</v>
                </pt>
                <pt idx="818">
                  <v>1.025445596553722</v>
                </pt>
                <pt idx="819">
                  <v>1.026413147576715</v>
                </pt>
                <pt idx="820">
                  <v>1.023169653728411</v>
                </pt>
                <pt idx="821">
                  <v>1.021741517126034</v>
                </pt>
                <pt idx="822">
                  <v>1.026565023005606</v>
                </pt>
                <pt idx="823">
                  <v>1.028781151638548</v>
                </pt>
                <pt idx="824">
                  <v>1.021465333416468</v>
                </pt>
                <pt idx="825">
                  <v>1.02231286024263</v>
                </pt>
                <pt idx="826">
                  <v>1.024337182991285</v>
                </pt>
                <pt idx="827">
                  <v>1.022175816125743</v>
                </pt>
                <pt idx="828">
                  <v>1.022348064235958</v>
                </pt>
                <pt idx="829">
                  <v>1.02267882344841</v>
                </pt>
                <pt idx="830">
                  <v>1.022591977618307</v>
                </pt>
                <pt idx="831">
                  <v>1.027358533122427</v>
                </pt>
                <pt idx="832">
                  <v>1.023405534453552</v>
                </pt>
                <pt idx="833">
                  <v>1.024952833779378</v>
                </pt>
                <pt idx="834">
                  <v>1.021904521859694</v>
                </pt>
                <pt idx="835">
                  <v>1.025523501687106</v>
                </pt>
                <pt idx="836">
                  <v>1.02602329594689</v>
                </pt>
                <pt idx="837">
                  <v>1.022340706787617</v>
                </pt>
                <pt idx="838">
                  <v>1.024980214663078</v>
                </pt>
                <pt idx="839">
                  <v>1.020945934816484</v>
                </pt>
                <pt idx="840">
                  <v>1.025010459363696</v>
                </pt>
                <pt idx="841">
                  <v>1.028895774164446</v>
                </pt>
                <pt idx="842">
                  <v>1.023595640674139</v>
                </pt>
                <pt idx="843">
                  <v>1.02074109041615</v>
                </pt>
                <pt idx="844">
                  <v>1.026063855045024</v>
                </pt>
                <pt idx="845">
                  <v>1.017389795979808</v>
                </pt>
                <pt idx="846">
                  <v>1.017087744785726</v>
                </pt>
                <pt idx="847">
                  <v>1.018496230481774</v>
                </pt>
                <pt idx="848">
                  <v>1.020889100856355</v>
                </pt>
                <pt idx="849">
                  <v>1.020541112176269</v>
                </pt>
                <pt idx="850">
                  <v>1.023426605626807</v>
                </pt>
                <pt idx="851">
                  <v>1.024063956230894</v>
                </pt>
                <pt idx="852">
                  <v>1.016003079948947</v>
                </pt>
                <pt idx="853">
                  <v>1.017245883358932</v>
                </pt>
                <pt idx="854">
                  <v>1.01827525091783</v>
                </pt>
                <pt idx="855">
                  <v>1.0233756389989</v>
                </pt>
                <pt idx="856">
                  <v>1.021702098898055</v>
                </pt>
                <pt idx="857">
                  <v>1.013182127152845</v>
                </pt>
                <pt idx="858">
                  <v>1.012989902173399</v>
                </pt>
                <pt idx="859">
                  <v>1.01512302668186</v>
                </pt>
                <pt idx="860">
                  <v>1.014856086348848</v>
                </pt>
                <pt idx="861">
                  <v>1.019252953356889</v>
                </pt>
                <pt idx="862">
                  <v>1.018587523377172</v>
                </pt>
                <pt idx="863">
                  <v>1.01485897344883</v>
                </pt>
                <pt idx="864">
                  <v>1.015212130969207</v>
                </pt>
                <pt idx="865">
                  <v>1.012852369112161</v>
                </pt>
                <pt idx="866">
                  <v>1.013638312233062</v>
                </pt>
                <pt idx="867">
                  <v>1.018723123944067</v>
                </pt>
                <pt idx="868">
                  <v>1.017971500060049</v>
                </pt>
                <pt idx="869">
                  <v>1.009416859831991</v>
                </pt>
                <pt idx="870">
                  <v>1.01257876982274</v>
                </pt>
                <pt idx="871">
                  <v>1.013377029684693</v>
                </pt>
                <pt idx="872">
                  <v>1.007548952709778</v>
                </pt>
                <pt idx="873">
                  <v>1.008836226772712</v>
                </pt>
                <pt idx="874">
                  <v>1.010298333366005</v>
                </pt>
                <pt idx="875">
                  <v>1.012369338658724</v>
                </pt>
                <pt idx="876">
                  <v>1.011198689465225</v>
                </pt>
                <pt idx="877">
                  <v>1.008286699887432</v>
                </pt>
                <pt idx="878">
                  <v>1.009259908695067</v>
                </pt>
                <pt idx="879">
                  <v>1.013302942973865</v>
                </pt>
                <pt idx="880">
                  <v>1.006049057703011</v>
                </pt>
                <pt idx="881">
                  <v>1.010091859151165</v>
                </pt>
                <pt idx="882">
                  <v>1.012151874837501</v>
                </pt>
                <pt idx="883">
                  <v>1.004690281349395</v>
                </pt>
                <pt idx="884">
                  <v>1.010293956149904</v>
                </pt>
                <pt idx="885">
                  <v>1.003639237257568</v>
                </pt>
                <pt idx="886">
                  <v>1.00299953506398</v>
                </pt>
                <pt idx="887">
                  <v>1.002768706763808</v>
                </pt>
                <pt idx="888">
                  <v>1.003106590593957</v>
                </pt>
                <pt idx="889">
                  <v>1.009524427589384</v>
                </pt>
                <pt idx="890">
                  <v>1.003299630480655</v>
                </pt>
                <pt idx="891">
                  <v>1.006018417190299</v>
                </pt>
                <pt idx="892">
                  <v>1.003056671703946</v>
                </pt>
                <pt idx="893">
                  <v>1.000352227361955</v>
                </pt>
                <pt idx="894">
                  <v>1.001196960220392</v>
                </pt>
                <pt idx="895">
                  <v>1.004246529425552</v>
                </pt>
                <pt idx="896">
                  <v>1.006467780332656</v>
                </pt>
                <pt idx="897">
                  <v>1.002689637477205</v>
                </pt>
                <pt idx="898">
                  <v>1.005775435130525</v>
                </pt>
                <pt idx="899">
                  <v>1.001437474275343</v>
                </pt>
                <pt idx="900">
                  <v>1.004339335720134</v>
                </pt>
                <pt idx="901">
                  <v>1.005615736592006</v>
                </pt>
                <pt idx="902">
                  <v>1.001381851034561</v>
                </pt>
                <pt idx="903">
                  <v>1.006794651273357</v>
                </pt>
                <pt idx="904">
                  <v>0.9982255056961965</v>
                </pt>
                <pt idx="905">
                  <v>1.002770150313799</v>
                </pt>
                <pt idx="906">
                  <v>1.003349619219859</v>
                </pt>
                <pt idx="907">
                  <v>1.003201445798204</v>
                </pt>
                <pt idx="908">
                  <v>0.9961721489662706</v>
                </pt>
                <pt idx="909">
                  <v>0.9978431279300346</v>
                </pt>
                <pt idx="910">
                  <v>1.002309518168287</v>
                </pt>
                <pt idx="911">
                  <v>0.9963697523335856</v>
                </pt>
                <pt idx="912">
                  <v>1.002696436132001</v>
                </pt>
                <pt idx="913">
                  <v>1.004978153157276</v>
                </pt>
                <pt idx="914">
                  <v>0.9983841564968192</v>
                </pt>
                <pt idx="915">
                  <v>0.9984292557925054</v>
                </pt>
                <pt idx="916">
                  <v>0.9999580683652214</v>
                </pt>
                <pt idx="917">
                  <v>1.002747426042973</v>
                </pt>
                <pt idx="918">
                  <v>0.9958923330986622</v>
                </pt>
                <pt idx="919">
                  <v>1.003311830806386</v>
                </pt>
                <pt idx="920">
                  <v>0.999649986857467</v>
                </pt>
                <pt idx="921">
                  <v>0.99689783551658</v>
                </pt>
                <pt idx="922">
                  <v>1.003515417921244</v>
                </pt>
                <pt idx="923">
                  <v>1.004650257761742</v>
                </pt>
                <pt idx="924">
                  <v>1.004143269035067</v>
                </pt>
                <pt idx="925">
                  <v>1.001223945291998</v>
                </pt>
                <pt idx="926">
                  <v>0.9996295443269493</v>
                </pt>
                <pt idx="927">
                  <v>1.002811198356284</v>
                </pt>
                <pt idx="928">
                  <v>0.9939142272327827</v>
                </pt>
                <pt idx="929">
                  <v>0.9960898666167841</v>
                </pt>
                <pt idx="930">
                  <v>1.003645290854304</v>
                </pt>
                <pt idx="931">
                  <v>1.002091099741424</v>
                </pt>
                <pt idx="932">
                  <v>0.9969130859237427</v>
                </pt>
                <pt idx="933">
                  <v>0.9950574722595182</v>
                </pt>
                <pt idx="934">
                  <v>0.9954102572508646</v>
                </pt>
                <pt idx="935">
                  <v>0.998279848368438</v>
                </pt>
                <pt idx="936">
                  <v>0.9976217758370614</v>
                </pt>
                <pt idx="937">
                  <v>1.001665112795696</v>
                </pt>
                <pt idx="938">
                  <v>0.9988724023566751</v>
                </pt>
                <pt idx="939">
                  <v>0.9957989680105352</v>
                </pt>
                <pt idx="940">
                  <v>0.9946554435870274</v>
                </pt>
                <pt idx="941">
                  <v>1.003481424647263</v>
                </pt>
                <pt idx="942">
                  <v>0.9954861833237778</v>
                </pt>
                <pt idx="943">
                  <v>1.002377411583992</v>
                </pt>
                <pt idx="944">
                  <v>0.994477095313947</v>
                </pt>
                <pt idx="945">
                  <v>0.9963043734888324</v>
                </pt>
                <pt idx="946">
                  <v>1.002769032726709</v>
                </pt>
                <pt idx="947">
                  <v>1.001410302939222</v>
                </pt>
                <pt idx="948">
                  <v>0.9988859763832032</v>
                </pt>
                <pt idx="949">
                  <v>1.003079372691708</v>
                </pt>
                <pt idx="950">
                  <v>1.002504816512229</v>
                </pt>
                <pt idx="951">
                  <v>1.001452235738153</v>
                </pt>
                <pt idx="952">
                  <v>0.9999825388658752</v>
                </pt>
                <pt idx="953">
                  <v>0.993573176905879</v>
                </pt>
                <pt idx="954">
                  <v>0.9949943751550733</v>
                </pt>
                <pt idx="955">
                  <v>0.9985483719498265</v>
                </pt>
                <pt idx="956">
                  <v>0.9981959362044456</v>
                </pt>
                <pt idx="957">
                  <v>0.9963893101076571</v>
                </pt>
                <pt idx="958">
                  <v>0.9998342955950262</v>
                </pt>
                <pt idx="959">
                  <v>1.002881955588907</v>
                </pt>
                <pt idx="960">
                  <v>1.002128189662967</v>
                </pt>
                <pt idx="961">
                  <v>0.9963994615237228</v>
                </pt>
                <pt idx="962">
                  <v>0.995196611852198</v>
                </pt>
                <pt idx="963">
                  <v>0.9946742795861033</v>
                </pt>
                <pt idx="964">
                  <v>0.9982205231204211</v>
                </pt>
                <pt idx="965">
                  <v>1.000475906999893</v>
                </pt>
                <pt idx="966">
                  <v>1.000154228182546</v>
                </pt>
                <pt idx="967">
                  <v>1.003937423462965</v>
                </pt>
                <pt idx="968">
                  <v>1.001138985390109</v>
                </pt>
                <pt idx="969">
                  <v>1.002966705943217</v>
                </pt>
                <pt idx="970">
                  <v>1.002743700752674</v>
                </pt>
                <pt idx="971">
                  <v>0.9947590299404131</v>
                </pt>
                <pt idx="972">
                  <v>0.9988275824577613</v>
                </pt>
                <pt idx="973">
                  <v>0.9950117210380295</v>
                </pt>
                <pt idx="974">
                  <v>1.001631794730581</v>
                </pt>
                <pt idx="975">
                  <v>0.9977632437361784</v>
                </pt>
                <pt idx="976">
                  <v>1.002299809130444</v>
                </pt>
                <pt idx="977">
                  <v>1.004146994325366</v>
                </pt>
                <pt idx="978">
                  <v>1.002911012853242</v>
                </pt>
                <pt idx="979">
                  <v>0.9960583180645617</v>
                </pt>
                <pt idx="980">
                  <v>1.00449342304014</v>
                </pt>
                <pt idx="981">
                  <v>1.00125863705791</v>
                </pt>
                <pt idx="982">
                  <v>0.9963102873871825</v>
                </pt>
                <pt idx="983">
                  <v>0.9972288508427397</v>
                </pt>
                <pt idx="984">
                  <v>0.9971178139087553</v>
                </pt>
                <pt idx="985">
                  <v>1.001817290904423</v>
                </pt>
                <pt idx="986">
                  <v>0.9957762670227737</v>
                </pt>
                <pt idx="987">
                  <v>0.999238714808421</v>
                </pt>
                <pt idx="988">
                  <v>1.005067909370425</v>
                </pt>
                <pt idx="989">
                  <v>0.9976769566996202</v>
                </pt>
                <pt idx="990">
                  <v>0.996504584559357</v>
                </pt>
                <pt idx="991">
                  <v>0.9956581520372206</v>
                </pt>
                <pt idx="992">
                  <v>0.9975625437213022</v>
                </pt>
                <pt idx="993">
                  <v>0.9998322001192328</v>
                </pt>
                <pt idx="994">
                  <v>0.9957099568554456</v>
                </pt>
                <pt idx="995">
                  <v>1.000164379598611</v>
                </pt>
                <pt idx="996">
                  <v>1.001729723299325</v>
                </pt>
                <pt idx="997">
                  <v>1.001127064461151</v>
                </pt>
                <pt idx="998">
                  <v>0.9988361273423852</v>
                </pt>
                <pt idx="999">
                  <v>1.002622070024401</v>
                </pt>
                <pt idx="1000">
                  <v>1.000930299284153</v>
                </pt>
              </numCache>
            </numRef>
          </val>
          <smooth val="0"/>
        </ser>
        <ser>
          <idx val="1"/>
          <order val="1"/>
          <tx>
            <strRef>
              <f>Лист3!$M$1</f>
              <strCache>
                <ptCount val="1"/>
                <pt idx="0">
                  <v>g(nT0)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Лист3!$M$2:$M$1002</f>
              <numCache>
                <formatCode>0.000</formatCode>
                <ptCount val="100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1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10</v>
                </pt>
                <pt idx="41">
                  <v>10</v>
                </pt>
                <pt idx="42">
                  <v>10</v>
                </pt>
                <pt idx="43">
                  <v>10</v>
                </pt>
                <pt idx="44">
                  <v>10</v>
                </pt>
                <pt idx="45">
                  <v>10</v>
                </pt>
                <pt idx="46">
                  <v>10</v>
                </pt>
                <pt idx="47">
                  <v>10</v>
                </pt>
                <pt idx="48">
                  <v>10</v>
                </pt>
                <pt idx="49">
                  <v>10</v>
                </pt>
                <pt idx="50">
                  <v>10</v>
                </pt>
                <pt idx="51">
                  <v>10</v>
                </pt>
                <pt idx="52">
                  <v>10</v>
                </pt>
                <pt idx="53">
                  <v>10</v>
                </pt>
                <pt idx="54">
                  <v>10</v>
                </pt>
                <pt idx="55">
                  <v>10</v>
                </pt>
                <pt idx="56">
                  <v>10</v>
                </pt>
                <pt idx="57">
                  <v>10</v>
                </pt>
                <pt idx="58">
                  <v>10</v>
                </pt>
                <pt idx="59">
                  <v>10</v>
                </pt>
                <pt idx="60">
                  <v>10</v>
                </pt>
                <pt idx="61">
                  <v>10</v>
                </pt>
                <pt idx="62">
                  <v>10</v>
                </pt>
                <pt idx="63">
                  <v>10</v>
                </pt>
                <pt idx="64">
                  <v>10</v>
                </pt>
                <pt idx="65">
                  <v>10</v>
                </pt>
                <pt idx="66">
                  <v>10</v>
                </pt>
                <pt idx="67">
                  <v>10</v>
                </pt>
                <pt idx="68">
                  <v>10</v>
                </pt>
                <pt idx="69">
                  <v>10</v>
                </pt>
                <pt idx="70">
                  <v>10</v>
                </pt>
                <pt idx="71">
                  <v>10</v>
                </pt>
                <pt idx="72">
                  <v>10</v>
                </pt>
                <pt idx="73">
                  <v>10</v>
                </pt>
                <pt idx="74">
                  <v>10</v>
                </pt>
                <pt idx="75">
                  <v>10</v>
                </pt>
                <pt idx="76">
                  <v>10</v>
                </pt>
                <pt idx="77">
                  <v>10</v>
                </pt>
                <pt idx="78">
                  <v>10</v>
                </pt>
                <pt idx="79">
                  <v>10</v>
                </pt>
                <pt idx="80">
                  <v>10</v>
                </pt>
                <pt idx="81">
                  <v>10</v>
                </pt>
                <pt idx="82">
                  <v>10</v>
                </pt>
                <pt idx="83">
                  <v>10</v>
                </pt>
                <pt idx="84">
                  <v>10</v>
                </pt>
                <pt idx="85">
                  <v>10</v>
                </pt>
                <pt idx="86">
                  <v>10</v>
                </pt>
                <pt idx="87">
                  <v>10</v>
                </pt>
                <pt idx="88">
                  <v>10</v>
                </pt>
                <pt idx="89">
                  <v>10</v>
                </pt>
                <pt idx="90">
                  <v>10</v>
                </pt>
                <pt idx="91">
                  <v>10</v>
                </pt>
                <pt idx="92">
                  <v>10</v>
                </pt>
                <pt idx="93">
                  <v>10</v>
                </pt>
                <pt idx="94">
                  <v>10</v>
                </pt>
                <pt idx="95">
                  <v>10</v>
                </pt>
                <pt idx="96">
                  <v>10</v>
                </pt>
                <pt idx="97">
                  <v>10</v>
                </pt>
                <pt idx="98">
                  <v>10</v>
                </pt>
                <pt idx="99">
                  <v>10</v>
                </pt>
                <pt idx="100">
                  <v>10</v>
                </pt>
                <pt idx="101">
                  <v>10</v>
                </pt>
                <pt idx="102">
                  <v>10</v>
                </pt>
                <pt idx="103">
                  <v>10</v>
                </pt>
                <pt idx="104">
                  <v>10</v>
                </pt>
                <pt idx="105">
                  <v>10</v>
                </pt>
                <pt idx="106">
                  <v>10</v>
                </pt>
                <pt idx="107">
                  <v>10</v>
                </pt>
                <pt idx="108">
                  <v>10</v>
                </pt>
                <pt idx="109">
                  <v>10</v>
                </pt>
                <pt idx="110">
                  <v>10</v>
                </pt>
                <pt idx="111">
                  <v>10</v>
                </pt>
                <pt idx="112">
                  <v>10</v>
                </pt>
                <pt idx="113">
                  <v>10</v>
                </pt>
                <pt idx="114">
                  <v>10</v>
                </pt>
                <pt idx="115">
                  <v>10</v>
                </pt>
                <pt idx="116">
                  <v>10</v>
                </pt>
                <pt idx="117">
                  <v>10</v>
                </pt>
                <pt idx="118">
                  <v>10</v>
                </pt>
                <pt idx="119">
                  <v>10</v>
                </pt>
                <pt idx="120">
                  <v>10</v>
                </pt>
                <pt idx="121">
                  <v>10</v>
                </pt>
                <pt idx="122">
                  <v>10</v>
                </pt>
                <pt idx="123">
                  <v>10</v>
                </pt>
                <pt idx="124">
                  <v>10</v>
                </pt>
                <pt idx="125">
                  <v>10</v>
                </pt>
                <pt idx="126">
                  <v>10</v>
                </pt>
                <pt idx="127">
                  <v>10</v>
                </pt>
                <pt idx="128">
                  <v>10</v>
                </pt>
                <pt idx="129">
                  <v>10</v>
                </pt>
                <pt idx="130">
                  <v>10</v>
                </pt>
                <pt idx="131">
                  <v>10</v>
                </pt>
                <pt idx="132">
                  <v>10</v>
                </pt>
                <pt idx="133">
                  <v>10</v>
                </pt>
                <pt idx="134">
                  <v>10</v>
                </pt>
                <pt idx="135">
                  <v>10</v>
                </pt>
                <pt idx="136">
                  <v>10</v>
                </pt>
                <pt idx="137">
                  <v>10</v>
                </pt>
                <pt idx="138">
                  <v>10</v>
                </pt>
                <pt idx="139">
                  <v>10</v>
                </pt>
                <pt idx="140">
                  <v>10</v>
                </pt>
                <pt idx="141">
                  <v>10</v>
                </pt>
                <pt idx="142">
                  <v>10</v>
                </pt>
                <pt idx="143">
                  <v>10</v>
                </pt>
                <pt idx="144">
                  <v>10</v>
                </pt>
                <pt idx="145">
                  <v>10</v>
                </pt>
                <pt idx="146">
                  <v>10</v>
                </pt>
                <pt idx="147">
                  <v>10</v>
                </pt>
                <pt idx="148">
                  <v>10</v>
                </pt>
                <pt idx="149">
                  <v>10</v>
                </pt>
                <pt idx="150">
                  <v>10</v>
                </pt>
                <pt idx="151">
                  <v>10</v>
                </pt>
                <pt idx="152">
                  <v>10</v>
                </pt>
                <pt idx="153">
                  <v>10</v>
                </pt>
                <pt idx="154">
                  <v>10</v>
                </pt>
                <pt idx="155">
                  <v>10</v>
                </pt>
                <pt idx="156">
                  <v>10</v>
                </pt>
                <pt idx="157">
                  <v>10</v>
                </pt>
                <pt idx="158">
                  <v>10</v>
                </pt>
                <pt idx="159">
                  <v>10</v>
                </pt>
                <pt idx="160">
                  <v>10</v>
                </pt>
                <pt idx="161">
                  <v>10</v>
                </pt>
                <pt idx="162">
                  <v>10</v>
                </pt>
                <pt idx="163">
                  <v>10</v>
                </pt>
                <pt idx="164">
                  <v>10</v>
                </pt>
                <pt idx="165">
                  <v>10</v>
                </pt>
                <pt idx="166">
                  <v>10</v>
                </pt>
                <pt idx="167">
                  <v>10</v>
                </pt>
                <pt idx="168">
                  <v>10</v>
                </pt>
                <pt idx="169">
                  <v>10</v>
                </pt>
                <pt idx="170">
                  <v>10</v>
                </pt>
                <pt idx="171">
                  <v>10</v>
                </pt>
                <pt idx="172">
                  <v>10</v>
                </pt>
                <pt idx="173">
                  <v>10</v>
                </pt>
                <pt idx="174">
                  <v>10</v>
                </pt>
                <pt idx="175">
                  <v>10</v>
                </pt>
                <pt idx="176">
                  <v>10</v>
                </pt>
                <pt idx="177">
                  <v>10</v>
                </pt>
                <pt idx="178">
                  <v>10</v>
                </pt>
                <pt idx="179">
                  <v>10</v>
                </pt>
                <pt idx="180">
                  <v>10</v>
                </pt>
                <pt idx="181">
                  <v>10</v>
                </pt>
                <pt idx="182">
                  <v>10</v>
                </pt>
                <pt idx="183">
                  <v>10</v>
                </pt>
                <pt idx="184">
                  <v>10</v>
                </pt>
                <pt idx="185">
                  <v>10</v>
                </pt>
                <pt idx="186">
                  <v>10</v>
                </pt>
                <pt idx="187">
                  <v>10</v>
                </pt>
                <pt idx="188">
                  <v>10</v>
                </pt>
                <pt idx="189">
                  <v>10</v>
                </pt>
                <pt idx="190">
                  <v>10</v>
                </pt>
                <pt idx="191">
                  <v>10</v>
                </pt>
                <pt idx="192">
                  <v>10</v>
                </pt>
                <pt idx="193">
                  <v>10</v>
                </pt>
                <pt idx="194">
                  <v>10</v>
                </pt>
                <pt idx="195">
                  <v>10</v>
                </pt>
                <pt idx="196">
                  <v>10</v>
                </pt>
                <pt idx="197">
                  <v>10</v>
                </pt>
                <pt idx="198">
                  <v>10</v>
                </pt>
                <pt idx="199">
                  <v>10</v>
                </pt>
                <pt idx="200">
                  <v>10</v>
                </pt>
                <pt idx="201">
                  <v>10</v>
                </pt>
                <pt idx="202">
                  <v>10</v>
                </pt>
                <pt idx="203">
                  <v>10</v>
                </pt>
                <pt idx="204">
                  <v>10</v>
                </pt>
                <pt idx="205">
                  <v>10</v>
                </pt>
                <pt idx="206">
                  <v>10</v>
                </pt>
                <pt idx="207">
                  <v>10</v>
                </pt>
                <pt idx="208">
                  <v>10</v>
                </pt>
                <pt idx="209">
                  <v>10</v>
                </pt>
                <pt idx="210">
                  <v>10</v>
                </pt>
                <pt idx="211">
                  <v>10</v>
                </pt>
                <pt idx="212">
                  <v>10</v>
                </pt>
                <pt idx="213">
                  <v>10</v>
                </pt>
                <pt idx="214">
                  <v>10</v>
                </pt>
                <pt idx="215">
                  <v>10</v>
                </pt>
                <pt idx="216">
                  <v>10</v>
                </pt>
                <pt idx="217">
                  <v>10</v>
                </pt>
                <pt idx="218">
                  <v>10</v>
                </pt>
                <pt idx="219">
                  <v>10</v>
                </pt>
                <pt idx="220">
                  <v>10</v>
                </pt>
                <pt idx="221">
                  <v>10</v>
                </pt>
                <pt idx="222">
                  <v>10</v>
                </pt>
                <pt idx="223">
                  <v>10</v>
                </pt>
                <pt idx="224">
                  <v>10</v>
                </pt>
                <pt idx="225">
                  <v>10</v>
                </pt>
                <pt idx="226">
                  <v>10</v>
                </pt>
                <pt idx="227">
                  <v>10</v>
                </pt>
                <pt idx="228">
                  <v>10</v>
                </pt>
                <pt idx="229">
                  <v>10</v>
                </pt>
                <pt idx="230">
                  <v>10</v>
                </pt>
                <pt idx="231">
                  <v>10</v>
                </pt>
                <pt idx="232">
                  <v>10</v>
                </pt>
                <pt idx="233">
                  <v>10</v>
                </pt>
                <pt idx="234">
                  <v>10</v>
                </pt>
                <pt idx="235">
                  <v>10</v>
                </pt>
                <pt idx="236">
                  <v>10</v>
                </pt>
                <pt idx="237">
                  <v>10</v>
                </pt>
                <pt idx="238">
                  <v>10</v>
                </pt>
                <pt idx="239">
                  <v>10</v>
                </pt>
                <pt idx="240">
                  <v>10</v>
                </pt>
                <pt idx="241">
                  <v>10</v>
                </pt>
                <pt idx="242">
                  <v>10</v>
                </pt>
                <pt idx="243">
                  <v>10</v>
                </pt>
                <pt idx="244">
                  <v>10</v>
                </pt>
                <pt idx="245">
                  <v>10</v>
                </pt>
                <pt idx="246">
                  <v>10</v>
                </pt>
                <pt idx="247">
                  <v>10</v>
                </pt>
                <pt idx="248">
                  <v>10</v>
                </pt>
                <pt idx="249">
                  <v>10</v>
                </pt>
                <pt idx="250">
                  <v>10</v>
                </pt>
                <pt idx="251">
                  <v>10</v>
                </pt>
                <pt idx="252">
                  <v>10</v>
                </pt>
                <pt idx="253">
                  <v>10</v>
                </pt>
                <pt idx="254">
                  <v>10</v>
                </pt>
                <pt idx="255">
                  <v>10</v>
                </pt>
                <pt idx="256">
                  <v>10</v>
                </pt>
                <pt idx="257">
                  <v>10</v>
                </pt>
                <pt idx="258">
                  <v>10</v>
                </pt>
                <pt idx="259">
                  <v>10</v>
                </pt>
                <pt idx="260">
                  <v>10</v>
                </pt>
                <pt idx="261">
                  <v>10</v>
                </pt>
                <pt idx="262">
                  <v>10</v>
                </pt>
                <pt idx="263">
                  <v>10</v>
                </pt>
                <pt idx="264">
                  <v>10</v>
                </pt>
                <pt idx="265">
                  <v>10</v>
                </pt>
                <pt idx="266">
                  <v>10</v>
                </pt>
                <pt idx="267">
                  <v>10</v>
                </pt>
                <pt idx="268">
                  <v>10</v>
                </pt>
                <pt idx="269">
                  <v>10</v>
                </pt>
                <pt idx="270">
                  <v>10</v>
                </pt>
                <pt idx="271">
                  <v>10</v>
                </pt>
                <pt idx="272">
                  <v>10</v>
                </pt>
                <pt idx="273">
                  <v>10</v>
                </pt>
                <pt idx="274">
                  <v>10</v>
                </pt>
                <pt idx="275">
                  <v>10</v>
                </pt>
                <pt idx="276">
                  <v>10</v>
                </pt>
                <pt idx="277">
                  <v>10</v>
                </pt>
                <pt idx="278">
                  <v>10</v>
                </pt>
                <pt idx="279">
                  <v>10</v>
                </pt>
                <pt idx="280">
                  <v>10</v>
                </pt>
                <pt idx="281">
                  <v>10</v>
                </pt>
                <pt idx="282">
                  <v>10</v>
                </pt>
                <pt idx="283">
                  <v>10</v>
                </pt>
                <pt idx="284">
                  <v>10</v>
                </pt>
                <pt idx="285">
                  <v>10</v>
                </pt>
                <pt idx="286">
                  <v>10</v>
                </pt>
                <pt idx="287">
                  <v>10</v>
                </pt>
                <pt idx="288">
                  <v>10</v>
                </pt>
                <pt idx="289">
                  <v>10</v>
                </pt>
                <pt idx="290">
                  <v>10</v>
                </pt>
                <pt idx="291">
                  <v>10</v>
                </pt>
                <pt idx="292">
                  <v>10</v>
                </pt>
                <pt idx="293">
                  <v>10</v>
                </pt>
                <pt idx="294">
                  <v>10</v>
                </pt>
                <pt idx="295">
                  <v>10</v>
                </pt>
                <pt idx="296">
                  <v>10</v>
                </pt>
                <pt idx="297">
                  <v>10</v>
                </pt>
                <pt idx="298">
                  <v>10</v>
                </pt>
                <pt idx="299">
                  <v>10</v>
                </pt>
                <pt idx="300">
                  <v>10</v>
                </pt>
                <pt idx="301">
                  <v>10</v>
                </pt>
                <pt idx="302">
                  <v>10</v>
                </pt>
                <pt idx="303">
                  <v>10</v>
                </pt>
                <pt idx="304">
                  <v>10</v>
                </pt>
                <pt idx="305">
                  <v>10</v>
                </pt>
                <pt idx="306">
                  <v>10</v>
                </pt>
                <pt idx="307">
                  <v>10</v>
                </pt>
                <pt idx="308">
                  <v>10</v>
                </pt>
                <pt idx="309">
                  <v>10</v>
                </pt>
                <pt idx="310">
                  <v>10</v>
                </pt>
                <pt idx="311">
                  <v>10</v>
                </pt>
                <pt idx="312">
                  <v>10</v>
                </pt>
                <pt idx="313">
                  <v>10</v>
                </pt>
                <pt idx="314">
                  <v>10</v>
                </pt>
                <pt idx="315">
                  <v>10</v>
                </pt>
                <pt idx="316">
                  <v>10</v>
                </pt>
                <pt idx="317">
                  <v>10</v>
                </pt>
                <pt idx="318">
                  <v>10</v>
                </pt>
                <pt idx="319">
                  <v>10</v>
                </pt>
                <pt idx="320">
                  <v>10</v>
                </pt>
                <pt idx="321">
                  <v>10</v>
                </pt>
                <pt idx="322">
                  <v>10</v>
                </pt>
                <pt idx="323">
                  <v>10</v>
                </pt>
                <pt idx="324">
                  <v>10</v>
                </pt>
                <pt idx="325">
                  <v>10</v>
                </pt>
                <pt idx="326">
                  <v>10</v>
                </pt>
                <pt idx="327">
                  <v>10</v>
                </pt>
                <pt idx="328">
                  <v>10</v>
                </pt>
                <pt idx="329">
                  <v>10</v>
                </pt>
                <pt idx="330">
                  <v>10</v>
                </pt>
                <pt idx="331">
                  <v>10</v>
                </pt>
                <pt idx="332">
                  <v>10</v>
                </pt>
                <pt idx="333">
                  <v>10</v>
                </pt>
                <pt idx="334">
                  <v>10</v>
                </pt>
                <pt idx="335">
                  <v>10</v>
                </pt>
                <pt idx="336">
                  <v>10</v>
                </pt>
                <pt idx="337">
                  <v>10</v>
                </pt>
                <pt idx="338">
                  <v>10</v>
                </pt>
                <pt idx="339">
                  <v>10</v>
                </pt>
                <pt idx="340">
                  <v>10</v>
                </pt>
                <pt idx="341">
                  <v>10</v>
                </pt>
                <pt idx="342">
                  <v>10</v>
                </pt>
                <pt idx="343">
                  <v>10</v>
                </pt>
                <pt idx="344">
                  <v>10</v>
                </pt>
                <pt idx="345">
                  <v>10</v>
                </pt>
                <pt idx="346">
                  <v>10</v>
                </pt>
                <pt idx="347">
                  <v>10</v>
                </pt>
                <pt idx="348">
                  <v>10</v>
                </pt>
                <pt idx="349">
                  <v>10</v>
                </pt>
                <pt idx="350">
                  <v>10</v>
                </pt>
                <pt idx="351">
                  <v>10</v>
                </pt>
                <pt idx="352">
                  <v>10</v>
                </pt>
                <pt idx="353">
                  <v>10</v>
                </pt>
                <pt idx="354">
                  <v>10</v>
                </pt>
                <pt idx="355">
                  <v>10</v>
                </pt>
                <pt idx="356">
                  <v>10</v>
                </pt>
                <pt idx="357">
                  <v>10</v>
                </pt>
                <pt idx="358">
                  <v>10</v>
                </pt>
                <pt idx="359">
                  <v>10</v>
                </pt>
                <pt idx="360">
                  <v>10</v>
                </pt>
                <pt idx="361">
                  <v>10</v>
                </pt>
                <pt idx="362">
                  <v>10</v>
                </pt>
                <pt idx="363">
                  <v>10</v>
                </pt>
                <pt idx="364">
                  <v>10</v>
                </pt>
                <pt idx="365">
                  <v>10</v>
                </pt>
                <pt idx="366">
                  <v>10</v>
                </pt>
                <pt idx="367">
                  <v>10</v>
                </pt>
                <pt idx="368">
                  <v>10</v>
                </pt>
                <pt idx="369">
                  <v>10</v>
                </pt>
                <pt idx="370">
                  <v>10</v>
                </pt>
                <pt idx="371">
                  <v>10</v>
                </pt>
                <pt idx="372">
                  <v>10</v>
                </pt>
                <pt idx="373">
                  <v>10</v>
                </pt>
                <pt idx="374">
                  <v>10</v>
                </pt>
                <pt idx="375">
                  <v>10</v>
                </pt>
                <pt idx="376">
                  <v>10</v>
                </pt>
                <pt idx="377">
                  <v>10</v>
                </pt>
                <pt idx="378">
                  <v>10</v>
                </pt>
                <pt idx="379">
                  <v>10</v>
                </pt>
                <pt idx="380">
                  <v>10</v>
                </pt>
                <pt idx="381">
                  <v>10</v>
                </pt>
                <pt idx="382">
                  <v>10</v>
                </pt>
                <pt idx="383">
                  <v>10</v>
                </pt>
                <pt idx="384">
                  <v>10</v>
                </pt>
                <pt idx="385">
                  <v>10</v>
                </pt>
                <pt idx="386">
                  <v>10</v>
                </pt>
                <pt idx="387">
                  <v>10</v>
                </pt>
                <pt idx="388">
                  <v>10</v>
                </pt>
                <pt idx="389">
                  <v>10</v>
                </pt>
                <pt idx="390">
                  <v>10</v>
                </pt>
                <pt idx="391">
                  <v>10</v>
                </pt>
                <pt idx="392">
                  <v>10</v>
                </pt>
                <pt idx="393">
                  <v>10</v>
                </pt>
                <pt idx="394">
                  <v>10</v>
                </pt>
                <pt idx="395">
                  <v>10</v>
                </pt>
                <pt idx="396">
                  <v>10</v>
                </pt>
                <pt idx="397">
                  <v>10</v>
                </pt>
                <pt idx="398">
                  <v>10</v>
                </pt>
                <pt idx="399">
                  <v>10</v>
                </pt>
                <pt idx="400">
                  <v>10</v>
                </pt>
                <pt idx="401">
                  <v>10</v>
                </pt>
                <pt idx="402">
                  <v>10</v>
                </pt>
                <pt idx="403">
                  <v>10</v>
                </pt>
                <pt idx="404">
                  <v>10</v>
                </pt>
                <pt idx="405">
                  <v>10</v>
                </pt>
                <pt idx="406">
                  <v>10</v>
                </pt>
                <pt idx="407">
                  <v>10</v>
                </pt>
                <pt idx="408">
                  <v>10</v>
                </pt>
                <pt idx="409">
                  <v>10</v>
                </pt>
                <pt idx="410">
                  <v>10</v>
                </pt>
                <pt idx="411">
                  <v>10</v>
                </pt>
                <pt idx="412">
                  <v>10</v>
                </pt>
                <pt idx="413">
                  <v>10</v>
                </pt>
                <pt idx="414">
                  <v>10</v>
                </pt>
                <pt idx="415">
                  <v>10</v>
                </pt>
                <pt idx="416">
                  <v>10</v>
                </pt>
                <pt idx="417">
                  <v>10</v>
                </pt>
                <pt idx="418">
                  <v>10</v>
                </pt>
                <pt idx="419">
                  <v>10</v>
                </pt>
                <pt idx="420">
                  <v>10</v>
                </pt>
                <pt idx="421">
                  <v>10</v>
                </pt>
                <pt idx="422">
                  <v>10</v>
                </pt>
                <pt idx="423">
                  <v>10</v>
                </pt>
                <pt idx="424">
                  <v>10</v>
                </pt>
                <pt idx="425">
                  <v>10</v>
                </pt>
                <pt idx="426">
                  <v>10</v>
                </pt>
                <pt idx="427">
                  <v>10</v>
                </pt>
                <pt idx="428">
                  <v>10</v>
                </pt>
                <pt idx="429">
                  <v>10</v>
                </pt>
                <pt idx="430">
                  <v>10</v>
                </pt>
                <pt idx="431">
                  <v>10</v>
                </pt>
                <pt idx="432">
                  <v>10</v>
                </pt>
                <pt idx="433">
                  <v>10</v>
                </pt>
                <pt idx="434">
                  <v>10</v>
                </pt>
                <pt idx="435">
                  <v>10</v>
                </pt>
                <pt idx="436">
                  <v>10</v>
                </pt>
                <pt idx="437">
                  <v>10</v>
                </pt>
                <pt idx="438">
                  <v>10</v>
                </pt>
                <pt idx="439">
                  <v>10</v>
                </pt>
                <pt idx="440">
                  <v>10</v>
                </pt>
                <pt idx="441">
                  <v>10</v>
                </pt>
                <pt idx="442">
                  <v>10</v>
                </pt>
                <pt idx="443">
                  <v>10</v>
                </pt>
                <pt idx="444">
                  <v>10</v>
                </pt>
                <pt idx="445">
                  <v>10</v>
                </pt>
                <pt idx="446">
                  <v>10</v>
                </pt>
                <pt idx="447">
                  <v>10</v>
                </pt>
                <pt idx="448">
                  <v>10</v>
                </pt>
                <pt idx="449">
                  <v>10</v>
                </pt>
                <pt idx="450">
                  <v>10</v>
                </pt>
                <pt idx="451">
                  <v>10</v>
                </pt>
                <pt idx="452">
                  <v>10</v>
                </pt>
                <pt idx="453">
                  <v>10</v>
                </pt>
                <pt idx="454">
                  <v>10</v>
                </pt>
                <pt idx="455">
                  <v>10</v>
                </pt>
                <pt idx="456">
                  <v>10</v>
                </pt>
                <pt idx="457">
                  <v>10</v>
                </pt>
                <pt idx="458">
                  <v>10</v>
                </pt>
                <pt idx="459">
                  <v>10</v>
                </pt>
                <pt idx="460">
                  <v>10</v>
                </pt>
                <pt idx="461">
                  <v>10</v>
                </pt>
                <pt idx="462">
                  <v>10</v>
                </pt>
                <pt idx="463">
                  <v>10</v>
                </pt>
                <pt idx="464">
                  <v>10</v>
                </pt>
                <pt idx="465">
                  <v>10</v>
                </pt>
                <pt idx="466">
                  <v>10</v>
                </pt>
                <pt idx="467">
                  <v>10</v>
                </pt>
                <pt idx="468">
                  <v>10</v>
                </pt>
                <pt idx="469">
                  <v>10</v>
                </pt>
                <pt idx="470">
                  <v>10</v>
                </pt>
                <pt idx="471">
                  <v>10</v>
                </pt>
                <pt idx="472">
                  <v>10</v>
                </pt>
                <pt idx="473">
                  <v>10</v>
                </pt>
                <pt idx="474">
                  <v>10</v>
                </pt>
                <pt idx="475">
                  <v>10</v>
                </pt>
                <pt idx="476">
                  <v>10</v>
                </pt>
                <pt idx="477">
                  <v>10</v>
                </pt>
                <pt idx="478">
                  <v>10</v>
                </pt>
                <pt idx="479">
                  <v>10</v>
                </pt>
                <pt idx="480">
                  <v>10</v>
                </pt>
                <pt idx="481">
                  <v>10</v>
                </pt>
                <pt idx="482">
                  <v>10</v>
                </pt>
                <pt idx="483">
                  <v>10</v>
                </pt>
                <pt idx="484">
                  <v>10</v>
                </pt>
                <pt idx="485">
                  <v>10</v>
                </pt>
                <pt idx="486">
                  <v>10</v>
                </pt>
                <pt idx="487">
                  <v>10</v>
                </pt>
                <pt idx="488">
                  <v>10</v>
                </pt>
                <pt idx="489">
                  <v>10</v>
                </pt>
                <pt idx="490">
                  <v>10</v>
                </pt>
                <pt idx="491">
                  <v>10</v>
                </pt>
                <pt idx="492">
                  <v>10</v>
                </pt>
                <pt idx="493">
                  <v>10</v>
                </pt>
                <pt idx="494">
                  <v>10</v>
                </pt>
                <pt idx="495">
                  <v>10</v>
                </pt>
                <pt idx="496">
                  <v>10</v>
                </pt>
                <pt idx="497">
                  <v>10</v>
                </pt>
                <pt idx="498">
                  <v>10</v>
                </pt>
                <pt idx="499">
                  <v>10</v>
                </pt>
                <pt idx="500">
                  <v>10</v>
                </pt>
                <pt idx="501">
                  <v>10</v>
                </pt>
                <pt idx="502">
                  <v>10</v>
                </pt>
                <pt idx="503">
                  <v>10</v>
                </pt>
                <pt idx="504">
                  <v>10</v>
                </pt>
                <pt idx="505">
                  <v>10</v>
                </pt>
                <pt idx="506">
                  <v>10</v>
                </pt>
                <pt idx="507">
                  <v>10</v>
                </pt>
                <pt idx="508">
                  <v>10</v>
                </pt>
                <pt idx="509">
                  <v>10</v>
                </pt>
                <pt idx="510">
                  <v>10</v>
                </pt>
                <pt idx="511">
                  <v>10</v>
                </pt>
                <pt idx="512">
                  <v>10</v>
                </pt>
                <pt idx="513">
                  <v>10</v>
                </pt>
                <pt idx="514">
                  <v>10</v>
                </pt>
                <pt idx="515">
                  <v>10</v>
                </pt>
                <pt idx="516">
                  <v>10</v>
                </pt>
                <pt idx="517">
                  <v>10</v>
                </pt>
                <pt idx="518">
                  <v>10</v>
                </pt>
                <pt idx="519">
                  <v>10</v>
                </pt>
                <pt idx="520">
                  <v>10</v>
                </pt>
                <pt idx="521">
                  <v>10</v>
                </pt>
                <pt idx="522">
                  <v>10</v>
                </pt>
                <pt idx="523">
                  <v>10</v>
                </pt>
                <pt idx="524">
                  <v>10</v>
                </pt>
                <pt idx="525">
                  <v>10</v>
                </pt>
                <pt idx="526">
                  <v>10</v>
                </pt>
                <pt idx="527">
                  <v>10</v>
                </pt>
                <pt idx="528">
                  <v>10</v>
                </pt>
                <pt idx="529">
                  <v>10</v>
                </pt>
                <pt idx="530">
                  <v>10</v>
                </pt>
                <pt idx="531">
                  <v>10</v>
                </pt>
                <pt idx="532">
                  <v>10</v>
                </pt>
                <pt idx="533">
                  <v>10</v>
                </pt>
                <pt idx="534">
                  <v>10</v>
                </pt>
                <pt idx="535">
                  <v>10</v>
                </pt>
                <pt idx="536">
                  <v>10</v>
                </pt>
                <pt idx="537">
                  <v>10</v>
                </pt>
                <pt idx="538">
                  <v>10</v>
                </pt>
                <pt idx="539">
                  <v>10</v>
                </pt>
                <pt idx="540">
                  <v>10</v>
                </pt>
                <pt idx="541">
                  <v>10</v>
                </pt>
                <pt idx="542">
                  <v>10</v>
                </pt>
                <pt idx="543">
                  <v>10</v>
                </pt>
                <pt idx="544">
                  <v>10</v>
                </pt>
                <pt idx="545">
                  <v>10</v>
                </pt>
                <pt idx="546">
                  <v>10</v>
                </pt>
                <pt idx="547">
                  <v>10</v>
                </pt>
                <pt idx="548">
                  <v>10</v>
                </pt>
                <pt idx="549">
                  <v>10</v>
                </pt>
                <pt idx="550">
                  <v>10</v>
                </pt>
                <pt idx="551">
                  <v>10</v>
                </pt>
                <pt idx="552">
                  <v>10</v>
                </pt>
                <pt idx="553">
                  <v>10</v>
                </pt>
                <pt idx="554">
                  <v>10</v>
                </pt>
                <pt idx="555">
                  <v>10</v>
                </pt>
                <pt idx="556">
                  <v>10</v>
                </pt>
                <pt idx="557">
                  <v>10</v>
                </pt>
                <pt idx="558">
                  <v>10</v>
                </pt>
                <pt idx="559">
                  <v>10</v>
                </pt>
                <pt idx="560">
                  <v>10</v>
                </pt>
                <pt idx="561">
                  <v>10</v>
                </pt>
                <pt idx="562">
                  <v>10</v>
                </pt>
                <pt idx="563">
                  <v>10</v>
                </pt>
                <pt idx="564">
                  <v>10</v>
                </pt>
                <pt idx="565">
                  <v>10</v>
                </pt>
                <pt idx="566">
                  <v>10</v>
                </pt>
                <pt idx="567">
                  <v>10</v>
                </pt>
                <pt idx="568">
                  <v>10</v>
                </pt>
                <pt idx="569">
                  <v>10</v>
                </pt>
                <pt idx="570">
                  <v>10</v>
                </pt>
                <pt idx="571">
                  <v>10</v>
                </pt>
                <pt idx="572">
                  <v>10</v>
                </pt>
                <pt idx="573">
                  <v>10</v>
                </pt>
                <pt idx="574">
                  <v>10</v>
                </pt>
                <pt idx="575">
                  <v>10</v>
                </pt>
                <pt idx="576">
                  <v>10</v>
                </pt>
                <pt idx="577">
                  <v>10</v>
                </pt>
                <pt idx="578">
                  <v>10</v>
                </pt>
                <pt idx="579">
                  <v>10</v>
                </pt>
                <pt idx="580">
                  <v>10</v>
                </pt>
                <pt idx="581">
                  <v>10</v>
                </pt>
                <pt idx="582">
                  <v>10</v>
                </pt>
                <pt idx="583">
                  <v>10</v>
                </pt>
                <pt idx="584">
                  <v>10</v>
                </pt>
                <pt idx="585">
                  <v>10</v>
                </pt>
                <pt idx="586">
                  <v>10</v>
                </pt>
                <pt idx="587">
                  <v>10</v>
                </pt>
                <pt idx="588">
                  <v>10</v>
                </pt>
                <pt idx="589">
                  <v>10</v>
                </pt>
                <pt idx="590">
                  <v>10</v>
                </pt>
                <pt idx="591">
                  <v>10</v>
                </pt>
                <pt idx="592">
                  <v>10</v>
                </pt>
                <pt idx="593">
                  <v>10</v>
                </pt>
                <pt idx="594">
                  <v>10</v>
                </pt>
                <pt idx="595">
                  <v>10</v>
                </pt>
                <pt idx="596">
                  <v>10</v>
                </pt>
                <pt idx="597">
                  <v>10</v>
                </pt>
                <pt idx="598">
                  <v>10</v>
                </pt>
                <pt idx="599">
                  <v>10</v>
                </pt>
                <pt idx="600">
                  <v>1</v>
                </pt>
                <pt idx="601">
                  <v>1</v>
                </pt>
                <pt idx="602">
                  <v>1</v>
                </pt>
                <pt idx="603">
                  <v>1</v>
                </pt>
                <pt idx="604">
                  <v>1</v>
                </pt>
                <pt idx="605">
                  <v>1</v>
                </pt>
                <pt idx="606">
                  <v>1</v>
                </pt>
                <pt idx="607">
                  <v>1</v>
                </pt>
                <pt idx="608">
                  <v>1</v>
                </pt>
                <pt idx="609">
                  <v>1</v>
                </pt>
                <pt idx="610">
                  <v>1</v>
                </pt>
                <pt idx="611">
                  <v>1</v>
                </pt>
                <pt idx="612">
                  <v>1</v>
                </pt>
                <pt idx="613">
                  <v>1</v>
                </pt>
                <pt idx="614">
                  <v>1</v>
                </pt>
                <pt idx="615">
                  <v>1</v>
                </pt>
                <pt idx="616">
                  <v>1</v>
                </pt>
                <pt idx="617">
                  <v>1</v>
                </pt>
                <pt idx="618">
                  <v>1</v>
                </pt>
                <pt idx="619">
                  <v>1</v>
                </pt>
                <pt idx="620">
                  <v>1</v>
                </pt>
                <pt idx="621">
                  <v>1</v>
                </pt>
                <pt idx="622">
                  <v>1</v>
                </pt>
                <pt idx="623">
                  <v>1</v>
                </pt>
                <pt idx="624">
                  <v>1</v>
                </pt>
                <pt idx="625">
                  <v>1</v>
                </pt>
                <pt idx="626">
                  <v>1</v>
                </pt>
                <pt idx="627">
                  <v>1</v>
                </pt>
                <pt idx="628">
                  <v>1</v>
                </pt>
                <pt idx="629">
                  <v>1</v>
                </pt>
                <pt idx="630">
                  <v>1</v>
                </pt>
                <pt idx="631">
                  <v>1</v>
                </pt>
                <pt idx="632">
                  <v>1</v>
                </pt>
                <pt idx="633">
                  <v>1</v>
                </pt>
                <pt idx="634">
                  <v>1</v>
                </pt>
                <pt idx="635">
                  <v>1</v>
                </pt>
                <pt idx="636">
                  <v>1</v>
                </pt>
                <pt idx="637">
                  <v>1</v>
                </pt>
                <pt idx="638">
                  <v>1</v>
                </pt>
                <pt idx="639">
                  <v>1</v>
                </pt>
                <pt idx="640">
                  <v>1</v>
                </pt>
                <pt idx="641">
                  <v>1</v>
                </pt>
                <pt idx="642">
                  <v>1</v>
                </pt>
                <pt idx="643">
                  <v>1</v>
                </pt>
                <pt idx="644">
                  <v>1</v>
                </pt>
                <pt idx="645">
                  <v>1</v>
                </pt>
                <pt idx="646">
                  <v>1</v>
                </pt>
                <pt idx="647">
                  <v>1</v>
                </pt>
                <pt idx="648">
                  <v>1</v>
                </pt>
                <pt idx="649">
                  <v>1</v>
                </pt>
                <pt idx="650">
                  <v>1</v>
                </pt>
                <pt idx="651">
                  <v>1</v>
                </pt>
                <pt idx="652">
                  <v>1</v>
                </pt>
                <pt idx="653">
                  <v>1</v>
                </pt>
                <pt idx="654">
                  <v>1</v>
                </pt>
                <pt idx="655">
                  <v>1</v>
                </pt>
                <pt idx="656">
                  <v>1</v>
                </pt>
                <pt idx="657">
                  <v>1</v>
                </pt>
                <pt idx="658">
                  <v>1</v>
                </pt>
                <pt idx="659">
                  <v>1</v>
                </pt>
                <pt idx="660">
                  <v>1</v>
                </pt>
                <pt idx="661">
                  <v>1</v>
                </pt>
                <pt idx="662">
                  <v>1</v>
                </pt>
                <pt idx="663">
                  <v>1</v>
                </pt>
                <pt idx="664">
                  <v>1</v>
                </pt>
                <pt idx="665">
                  <v>1</v>
                </pt>
                <pt idx="666">
                  <v>1</v>
                </pt>
                <pt idx="667">
                  <v>1</v>
                </pt>
                <pt idx="668">
                  <v>1</v>
                </pt>
                <pt idx="669">
                  <v>1</v>
                </pt>
                <pt idx="670">
                  <v>1</v>
                </pt>
                <pt idx="671">
                  <v>1</v>
                </pt>
                <pt idx="672">
                  <v>1</v>
                </pt>
                <pt idx="673">
                  <v>1</v>
                </pt>
                <pt idx="674">
                  <v>1</v>
                </pt>
                <pt idx="675">
                  <v>1</v>
                </pt>
                <pt idx="676">
                  <v>1</v>
                </pt>
                <pt idx="677">
                  <v>1</v>
                </pt>
                <pt idx="678">
                  <v>1</v>
                </pt>
                <pt idx="679">
                  <v>1</v>
                </pt>
                <pt idx="680">
                  <v>1</v>
                </pt>
                <pt idx="681">
                  <v>1</v>
                </pt>
                <pt idx="682">
                  <v>1</v>
                </pt>
                <pt idx="683">
                  <v>1</v>
                </pt>
                <pt idx="684">
                  <v>1</v>
                </pt>
                <pt idx="685">
                  <v>1</v>
                </pt>
                <pt idx="686">
                  <v>1</v>
                </pt>
                <pt idx="687">
                  <v>1</v>
                </pt>
                <pt idx="688">
                  <v>1</v>
                </pt>
                <pt idx="689">
                  <v>1</v>
                </pt>
                <pt idx="690">
                  <v>1</v>
                </pt>
                <pt idx="691">
                  <v>1</v>
                </pt>
                <pt idx="692">
                  <v>1</v>
                </pt>
                <pt idx="693">
                  <v>1</v>
                </pt>
                <pt idx="694">
                  <v>1</v>
                </pt>
                <pt idx="695">
                  <v>1</v>
                </pt>
                <pt idx="696">
                  <v>1</v>
                </pt>
                <pt idx="697">
                  <v>1</v>
                </pt>
                <pt idx="698">
                  <v>1</v>
                </pt>
                <pt idx="699">
                  <v>1</v>
                </pt>
                <pt idx="700">
                  <v>1</v>
                </pt>
                <pt idx="701">
                  <v>1</v>
                </pt>
                <pt idx="702">
                  <v>1</v>
                </pt>
                <pt idx="703">
                  <v>1</v>
                </pt>
                <pt idx="704">
                  <v>1</v>
                </pt>
                <pt idx="705">
                  <v>1</v>
                </pt>
                <pt idx="706">
                  <v>1</v>
                </pt>
                <pt idx="707">
                  <v>1</v>
                </pt>
                <pt idx="708">
                  <v>1</v>
                </pt>
                <pt idx="709">
                  <v>1</v>
                </pt>
                <pt idx="710">
                  <v>1</v>
                </pt>
                <pt idx="711">
                  <v>1</v>
                </pt>
                <pt idx="712">
                  <v>1</v>
                </pt>
                <pt idx="713">
                  <v>1</v>
                </pt>
                <pt idx="714">
                  <v>1</v>
                </pt>
                <pt idx="715">
                  <v>1</v>
                </pt>
                <pt idx="716">
                  <v>1</v>
                </pt>
                <pt idx="717">
                  <v>1</v>
                </pt>
                <pt idx="718">
                  <v>1</v>
                </pt>
                <pt idx="719">
                  <v>1</v>
                </pt>
                <pt idx="720">
                  <v>1</v>
                </pt>
                <pt idx="721">
                  <v>1</v>
                </pt>
                <pt idx="722">
                  <v>1</v>
                </pt>
                <pt idx="723">
                  <v>1</v>
                </pt>
                <pt idx="724">
                  <v>1</v>
                </pt>
                <pt idx="725">
                  <v>1</v>
                </pt>
                <pt idx="726">
                  <v>1</v>
                </pt>
                <pt idx="727">
                  <v>1</v>
                </pt>
                <pt idx="728">
                  <v>1</v>
                </pt>
                <pt idx="729">
                  <v>1</v>
                </pt>
                <pt idx="730">
                  <v>1</v>
                </pt>
                <pt idx="731">
                  <v>1</v>
                </pt>
                <pt idx="732">
                  <v>1</v>
                </pt>
                <pt idx="733">
                  <v>1</v>
                </pt>
                <pt idx="734">
                  <v>1</v>
                </pt>
                <pt idx="735">
                  <v>1</v>
                </pt>
                <pt idx="736">
                  <v>1</v>
                </pt>
                <pt idx="737">
                  <v>1</v>
                </pt>
                <pt idx="738">
                  <v>1</v>
                </pt>
                <pt idx="739">
                  <v>1</v>
                </pt>
                <pt idx="740">
                  <v>1</v>
                </pt>
                <pt idx="741">
                  <v>1</v>
                </pt>
                <pt idx="742">
                  <v>1</v>
                </pt>
                <pt idx="743">
                  <v>1</v>
                </pt>
                <pt idx="744">
                  <v>1</v>
                </pt>
                <pt idx="745">
                  <v>1</v>
                </pt>
                <pt idx="746">
                  <v>1</v>
                </pt>
                <pt idx="747">
                  <v>1</v>
                </pt>
                <pt idx="748">
                  <v>1</v>
                </pt>
                <pt idx="749">
                  <v>1</v>
                </pt>
                <pt idx="750">
                  <v>1</v>
                </pt>
                <pt idx="751">
                  <v>1</v>
                </pt>
                <pt idx="752">
                  <v>1</v>
                </pt>
                <pt idx="753">
                  <v>1</v>
                </pt>
                <pt idx="754">
                  <v>1</v>
                </pt>
                <pt idx="755">
                  <v>1</v>
                </pt>
                <pt idx="756">
                  <v>1</v>
                </pt>
                <pt idx="757">
                  <v>1</v>
                </pt>
                <pt idx="758">
                  <v>1</v>
                </pt>
                <pt idx="759">
                  <v>1</v>
                </pt>
                <pt idx="760">
                  <v>1</v>
                </pt>
                <pt idx="761">
                  <v>1</v>
                </pt>
                <pt idx="762">
                  <v>1</v>
                </pt>
                <pt idx="763">
                  <v>1</v>
                </pt>
                <pt idx="764">
                  <v>1</v>
                </pt>
                <pt idx="765">
                  <v>1</v>
                </pt>
                <pt idx="766">
                  <v>1</v>
                </pt>
                <pt idx="767">
                  <v>1</v>
                </pt>
                <pt idx="768">
                  <v>1</v>
                </pt>
                <pt idx="769">
                  <v>1</v>
                </pt>
                <pt idx="770">
                  <v>1</v>
                </pt>
                <pt idx="771">
                  <v>1</v>
                </pt>
                <pt idx="772">
                  <v>1</v>
                </pt>
                <pt idx="773">
                  <v>1</v>
                </pt>
                <pt idx="774">
                  <v>1</v>
                </pt>
                <pt idx="775">
                  <v>1</v>
                </pt>
                <pt idx="776">
                  <v>1</v>
                </pt>
                <pt idx="777">
                  <v>1</v>
                </pt>
                <pt idx="778">
                  <v>1</v>
                </pt>
                <pt idx="779">
                  <v>1</v>
                </pt>
                <pt idx="780">
                  <v>1</v>
                </pt>
                <pt idx="781">
                  <v>1</v>
                </pt>
                <pt idx="782">
                  <v>1</v>
                </pt>
                <pt idx="783">
                  <v>1</v>
                </pt>
                <pt idx="784">
                  <v>1</v>
                </pt>
                <pt idx="785">
                  <v>1</v>
                </pt>
                <pt idx="786">
                  <v>1</v>
                </pt>
                <pt idx="787">
                  <v>1</v>
                </pt>
                <pt idx="788">
                  <v>1</v>
                </pt>
                <pt idx="789">
                  <v>1</v>
                </pt>
                <pt idx="790">
                  <v>1</v>
                </pt>
                <pt idx="791">
                  <v>1</v>
                </pt>
                <pt idx="792">
                  <v>1</v>
                </pt>
                <pt idx="793">
                  <v>1</v>
                </pt>
                <pt idx="794">
                  <v>1</v>
                </pt>
                <pt idx="795">
                  <v>1</v>
                </pt>
                <pt idx="796">
                  <v>1</v>
                </pt>
                <pt idx="797">
                  <v>1</v>
                </pt>
                <pt idx="798">
                  <v>1</v>
                </pt>
                <pt idx="799">
                  <v>1</v>
                </pt>
                <pt idx="800">
                  <v>1</v>
                </pt>
                <pt idx="801">
                  <v>1</v>
                </pt>
                <pt idx="802">
                  <v>1</v>
                </pt>
                <pt idx="803">
                  <v>1</v>
                </pt>
                <pt idx="804">
                  <v>1</v>
                </pt>
                <pt idx="805">
                  <v>1</v>
                </pt>
                <pt idx="806">
                  <v>1</v>
                </pt>
                <pt idx="807">
                  <v>1</v>
                </pt>
                <pt idx="808">
                  <v>1</v>
                </pt>
                <pt idx="809">
                  <v>1</v>
                </pt>
                <pt idx="810">
                  <v>1</v>
                </pt>
                <pt idx="811">
                  <v>1</v>
                </pt>
                <pt idx="812">
                  <v>1</v>
                </pt>
                <pt idx="813">
                  <v>1</v>
                </pt>
                <pt idx="814">
                  <v>1</v>
                </pt>
                <pt idx="815">
                  <v>1</v>
                </pt>
                <pt idx="816">
                  <v>1</v>
                </pt>
                <pt idx="817">
                  <v>1</v>
                </pt>
                <pt idx="818">
                  <v>1</v>
                </pt>
                <pt idx="819">
                  <v>1</v>
                </pt>
                <pt idx="820">
                  <v>1</v>
                </pt>
                <pt idx="821">
                  <v>1</v>
                </pt>
                <pt idx="822">
                  <v>1</v>
                </pt>
                <pt idx="823">
                  <v>1</v>
                </pt>
                <pt idx="824">
                  <v>1</v>
                </pt>
                <pt idx="825">
                  <v>1</v>
                </pt>
                <pt idx="826">
                  <v>1</v>
                </pt>
                <pt idx="827">
                  <v>1</v>
                </pt>
                <pt idx="828">
                  <v>1</v>
                </pt>
                <pt idx="829">
                  <v>1</v>
                </pt>
                <pt idx="830">
                  <v>1</v>
                </pt>
                <pt idx="831">
                  <v>1</v>
                </pt>
                <pt idx="832">
                  <v>1</v>
                </pt>
                <pt idx="833">
                  <v>1</v>
                </pt>
                <pt idx="834">
                  <v>1</v>
                </pt>
                <pt idx="835">
                  <v>1</v>
                </pt>
                <pt idx="836">
                  <v>1</v>
                </pt>
                <pt idx="837">
                  <v>1</v>
                </pt>
                <pt idx="838">
                  <v>1</v>
                </pt>
                <pt idx="839">
                  <v>1</v>
                </pt>
                <pt idx="840">
                  <v>1</v>
                </pt>
                <pt idx="841">
                  <v>1</v>
                </pt>
                <pt idx="842">
                  <v>1</v>
                </pt>
                <pt idx="843">
                  <v>1</v>
                </pt>
                <pt idx="844">
                  <v>1</v>
                </pt>
                <pt idx="845">
                  <v>1</v>
                </pt>
                <pt idx="846">
                  <v>1</v>
                </pt>
                <pt idx="847">
                  <v>1</v>
                </pt>
                <pt idx="848">
                  <v>1</v>
                </pt>
                <pt idx="849">
                  <v>1</v>
                </pt>
                <pt idx="850">
                  <v>1</v>
                </pt>
                <pt idx="851">
                  <v>1</v>
                </pt>
                <pt idx="852">
                  <v>1</v>
                </pt>
                <pt idx="853">
                  <v>1</v>
                </pt>
                <pt idx="854">
                  <v>1</v>
                </pt>
                <pt idx="855">
                  <v>1</v>
                </pt>
                <pt idx="856">
                  <v>1</v>
                </pt>
                <pt idx="857">
                  <v>1</v>
                </pt>
                <pt idx="858">
                  <v>1</v>
                </pt>
                <pt idx="859">
                  <v>1</v>
                </pt>
                <pt idx="860">
                  <v>1</v>
                </pt>
                <pt idx="861">
                  <v>1</v>
                </pt>
                <pt idx="862">
                  <v>1</v>
                </pt>
                <pt idx="863">
                  <v>1</v>
                </pt>
                <pt idx="864">
                  <v>1</v>
                </pt>
                <pt idx="865">
                  <v>1</v>
                </pt>
                <pt idx="866">
                  <v>1</v>
                </pt>
                <pt idx="867">
                  <v>1</v>
                </pt>
                <pt idx="868">
                  <v>1</v>
                </pt>
                <pt idx="869">
                  <v>1</v>
                </pt>
                <pt idx="870">
                  <v>1</v>
                </pt>
                <pt idx="871">
                  <v>1</v>
                </pt>
                <pt idx="872">
                  <v>1</v>
                </pt>
                <pt idx="873">
                  <v>1</v>
                </pt>
                <pt idx="874">
                  <v>1</v>
                </pt>
                <pt idx="875">
                  <v>1</v>
                </pt>
                <pt idx="876">
                  <v>1</v>
                </pt>
                <pt idx="877">
                  <v>1</v>
                </pt>
                <pt idx="878">
                  <v>1</v>
                </pt>
                <pt idx="879">
                  <v>1</v>
                </pt>
                <pt idx="880">
                  <v>1</v>
                </pt>
                <pt idx="881">
                  <v>1</v>
                </pt>
                <pt idx="882">
                  <v>1</v>
                </pt>
                <pt idx="883">
                  <v>1</v>
                </pt>
                <pt idx="884">
                  <v>1</v>
                </pt>
                <pt idx="885">
                  <v>1</v>
                </pt>
                <pt idx="886">
                  <v>1</v>
                </pt>
                <pt idx="887">
                  <v>1</v>
                </pt>
                <pt idx="888">
                  <v>1</v>
                </pt>
                <pt idx="889">
                  <v>1</v>
                </pt>
                <pt idx="890">
                  <v>1</v>
                </pt>
                <pt idx="891">
                  <v>1</v>
                </pt>
                <pt idx="892">
                  <v>1</v>
                </pt>
                <pt idx="893">
                  <v>1</v>
                </pt>
                <pt idx="894">
                  <v>1</v>
                </pt>
                <pt idx="895">
                  <v>1</v>
                </pt>
                <pt idx="896">
                  <v>1</v>
                </pt>
                <pt idx="897">
                  <v>1</v>
                </pt>
                <pt idx="898">
                  <v>1</v>
                </pt>
                <pt idx="899">
                  <v>1</v>
                </pt>
                <pt idx="900">
                  <v>1</v>
                </pt>
                <pt idx="901">
                  <v>1</v>
                </pt>
                <pt idx="902">
                  <v>1</v>
                </pt>
                <pt idx="903">
                  <v>1</v>
                </pt>
                <pt idx="904">
                  <v>1</v>
                </pt>
                <pt idx="905">
                  <v>1</v>
                </pt>
                <pt idx="906">
                  <v>1</v>
                </pt>
                <pt idx="907">
                  <v>1</v>
                </pt>
                <pt idx="908">
                  <v>1</v>
                </pt>
                <pt idx="909">
                  <v>1</v>
                </pt>
                <pt idx="910">
                  <v>1</v>
                </pt>
                <pt idx="911">
                  <v>1</v>
                </pt>
                <pt idx="912">
                  <v>1</v>
                </pt>
                <pt idx="913">
                  <v>1</v>
                </pt>
                <pt idx="914">
                  <v>1</v>
                </pt>
                <pt idx="915">
                  <v>1</v>
                </pt>
                <pt idx="916">
                  <v>1</v>
                </pt>
                <pt idx="917">
                  <v>1</v>
                </pt>
                <pt idx="918">
                  <v>1</v>
                </pt>
                <pt idx="919">
                  <v>1</v>
                </pt>
                <pt idx="920">
                  <v>1</v>
                </pt>
                <pt idx="921">
                  <v>1</v>
                </pt>
                <pt idx="922">
                  <v>1</v>
                </pt>
                <pt idx="923">
                  <v>1</v>
                </pt>
                <pt idx="924">
                  <v>1</v>
                </pt>
                <pt idx="925">
                  <v>1</v>
                </pt>
                <pt idx="926">
                  <v>1</v>
                </pt>
                <pt idx="927">
                  <v>1</v>
                </pt>
                <pt idx="928">
                  <v>1</v>
                </pt>
                <pt idx="929">
                  <v>1</v>
                </pt>
                <pt idx="930">
                  <v>1</v>
                </pt>
                <pt idx="931">
                  <v>1</v>
                </pt>
                <pt idx="932">
                  <v>1</v>
                </pt>
                <pt idx="933">
                  <v>1</v>
                </pt>
                <pt idx="934">
                  <v>1</v>
                </pt>
                <pt idx="935">
                  <v>1</v>
                </pt>
                <pt idx="936">
                  <v>1</v>
                </pt>
                <pt idx="937">
                  <v>1</v>
                </pt>
                <pt idx="938">
                  <v>1</v>
                </pt>
                <pt idx="939">
                  <v>1</v>
                </pt>
                <pt idx="940">
                  <v>1</v>
                </pt>
                <pt idx="941">
                  <v>1</v>
                </pt>
                <pt idx="942">
                  <v>1</v>
                </pt>
                <pt idx="943">
                  <v>1</v>
                </pt>
                <pt idx="944">
                  <v>1</v>
                </pt>
                <pt idx="945">
                  <v>1</v>
                </pt>
                <pt idx="946">
                  <v>1</v>
                </pt>
                <pt idx="947">
                  <v>1</v>
                </pt>
                <pt idx="948">
                  <v>1</v>
                </pt>
                <pt idx="949">
                  <v>1</v>
                </pt>
                <pt idx="950">
                  <v>1</v>
                </pt>
                <pt idx="951">
                  <v>1</v>
                </pt>
                <pt idx="952">
                  <v>1</v>
                </pt>
                <pt idx="953">
                  <v>1</v>
                </pt>
                <pt idx="954">
                  <v>1</v>
                </pt>
                <pt idx="955">
                  <v>1</v>
                </pt>
                <pt idx="956">
                  <v>1</v>
                </pt>
                <pt idx="957">
                  <v>1</v>
                </pt>
                <pt idx="958">
                  <v>1</v>
                </pt>
                <pt idx="959">
                  <v>1</v>
                </pt>
                <pt idx="960">
                  <v>1</v>
                </pt>
                <pt idx="961">
                  <v>1</v>
                </pt>
                <pt idx="962">
                  <v>1</v>
                </pt>
                <pt idx="963">
                  <v>1</v>
                </pt>
                <pt idx="964">
                  <v>1</v>
                </pt>
                <pt idx="965">
                  <v>1</v>
                </pt>
                <pt idx="966">
                  <v>1</v>
                </pt>
                <pt idx="967">
                  <v>1</v>
                </pt>
                <pt idx="968">
                  <v>1</v>
                </pt>
                <pt idx="969">
                  <v>1</v>
                </pt>
                <pt idx="970">
                  <v>1</v>
                </pt>
                <pt idx="971">
                  <v>1</v>
                </pt>
                <pt idx="972">
                  <v>1</v>
                </pt>
                <pt idx="973">
                  <v>1</v>
                </pt>
                <pt idx="974">
                  <v>1</v>
                </pt>
                <pt idx="975">
                  <v>1</v>
                </pt>
                <pt idx="976">
                  <v>1</v>
                </pt>
                <pt idx="977">
                  <v>1</v>
                </pt>
                <pt idx="978">
                  <v>1</v>
                </pt>
                <pt idx="979">
                  <v>1</v>
                </pt>
                <pt idx="980">
                  <v>1</v>
                </pt>
                <pt idx="981">
                  <v>1</v>
                </pt>
                <pt idx="982">
                  <v>1</v>
                </pt>
                <pt idx="983">
                  <v>1</v>
                </pt>
                <pt idx="984">
                  <v>1</v>
                </pt>
                <pt idx="985">
                  <v>1</v>
                </pt>
                <pt idx="986">
                  <v>1</v>
                </pt>
                <pt idx="987">
                  <v>1</v>
                </pt>
                <pt idx="988">
                  <v>1</v>
                </pt>
                <pt idx="989">
                  <v>1</v>
                </pt>
                <pt idx="990">
                  <v>1</v>
                </pt>
                <pt idx="991">
                  <v>1</v>
                </pt>
                <pt idx="992">
                  <v>1</v>
                </pt>
                <pt idx="993">
                  <v>1</v>
                </pt>
                <pt idx="994">
                  <v>1</v>
                </pt>
                <pt idx="995">
                  <v>1</v>
                </pt>
                <pt idx="996">
                  <v>1</v>
                </pt>
                <pt idx="997">
                  <v>1</v>
                </pt>
                <pt idx="998">
                  <v>1</v>
                </pt>
                <pt idx="999">
                  <v>1</v>
                </pt>
                <pt idx="1000">
                  <v>1</v>
                </pt>
              </numCache>
            </numRef>
          </val>
          <smooth val="0"/>
        </ser>
        <ser>
          <idx val="2"/>
          <order val="2"/>
          <tx>
            <strRef>
              <f>Лист3!$Q$1</f>
              <strCache>
                <ptCount val="1"/>
                <pt idx="0">
                  <v>f(t)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Лист3!$Q$2:$Q$1002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1</v>
                </pt>
                <pt idx="301">
                  <v>1</v>
                </pt>
                <pt idx="302">
                  <v>1</v>
                </pt>
                <pt idx="303">
                  <v>1</v>
                </pt>
                <pt idx="304">
                  <v>1</v>
                </pt>
                <pt idx="305">
                  <v>1</v>
                </pt>
                <pt idx="306">
                  <v>1</v>
                </pt>
                <pt idx="307">
                  <v>1</v>
                </pt>
                <pt idx="308">
                  <v>1</v>
                </pt>
                <pt idx="309">
                  <v>1</v>
                </pt>
                <pt idx="310">
                  <v>1</v>
                </pt>
                <pt idx="311">
                  <v>1</v>
                </pt>
                <pt idx="312">
                  <v>1</v>
                </pt>
                <pt idx="313">
                  <v>1</v>
                </pt>
                <pt idx="314">
                  <v>1</v>
                </pt>
                <pt idx="315">
                  <v>1</v>
                </pt>
                <pt idx="316">
                  <v>1</v>
                </pt>
                <pt idx="317">
                  <v>1</v>
                </pt>
                <pt idx="318">
                  <v>1</v>
                </pt>
                <pt idx="319">
                  <v>1</v>
                </pt>
                <pt idx="320">
                  <v>1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</numCache>
            </numRef>
          </val>
          <smooth val="0"/>
        </ser>
        <ser>
          <idx val="3"/>
          <order val="3"/>
          <tx>
            <strRef>
              <f>Лист3!$X$1</f>
              <strCache>
                <ptCount val="1"/>
                <pt idx="0">
                  <v>Граница верх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Лист3!$X$2:$X$1002</f>
              <numCache>
                <formatCode>0.000</formatCode>
                <ptCount val="1001"/>
                <pt idx="0">
                  <v>1.05</v>
                </pt>
                <pt idx="1">
                  <v>1.05</v>
                </pt>
                <pt idx="2">
                  <v>1.05</v>
                </pt>
                <pt idx="3">
                  <v>1.05</v>
                </pt>
                <pt idx="4">
                  <v>1.05</v>
                </pt>
                <pt idx="5">
                  <v>1.05</v>
                </pt>
                <pt idx="6">
                  <v>1.05</v>
                </pt>
                <pt idx="7">
                  <v>1.05</v>
                </pt>
                <pt idx="8">
                  <v>1.05</v>
                </pt>
                <pt idx="9">
                  <v>1.05</v>
                </pt>
                <pt idx="10">
                  <v>1.05</v>
                </pt>
                <pt idx="11">
                  <v>1.05</v>
                </pt>
                <pt idx="12">
                  <v>1.05</v>
                </pt>
                <pt idx="13">
                  <v>1.05</v>
                </pt>
                <pt idx="14">
                  <v>1.05</v>
                </pt>
                <pt idx="15">
                  <v>1.05</v>
                </pt>
                <pt idx="16">
                  <v>1.05</v>
                </pt>
                <pt idx="17">
                  <v>1.05</v>
                </pt>
                <pt idx="18">
                  <v>1.05</v>
                </pt>
                <pt idx="19">
                  <v>1.05</v>
                </pt>
                <pt idx="20">
                  <v>1.05</v>
                </pt>
                <pt idx="21">
                  <v>1.05</v>
                </pt>
                <pt idx="22">
                  <v>1.05</v>
                </pt>
                <pt idx="23">
                  <v>1.05</v>
                </pt>
                <pt idx="24">
                  <v>1.05</v>
                </pt>
                <pt idx="25">
                  <v>1.05</v>
                </pt>
                <pt idx="26">
                  <v>1.05</v>
                </pt>
                <pt idx="27">
                  <v>1.05</v>
                </pt>
                <pt idx="28">
                  <v>1.05</v>
                </pt>
                <pt idx="29">
                  <v>1.05</v>
                </pt>
                <pt idx="30">
                  <v>1.05</v>
                </pt>
                <pt idx="31">
                  <v>1.05</v>
                </pt>
                <pt idx="32">
                  <v>1.05</v>
                </pt>
                <pt idx="33">
                  <v>1.05</v>
                </pt>
                <pt idx="34">
                  <v>1.05</v>
                </pt>
                <pt idx="35">
                  <v>1.05</v>
                </pt>
                <pt idx="36">
                  <v>1.05</v>
                </pt>
                <pt idx="37">
                  <v>1.05</v>
                </pt>
                <pt idx="38">
                  <v>1.05</v>
                </pt>
                <pt idx="39">
                  <v>1.05</v>
                </pt>
                <pt idx="40">
                  <v>10.5</v>
                </pt>
                <pt idx="41">
                  <v>10.5</v>
                </pt>
                <pt idx="42">
                  <v>10.5</v>
                </pt>
                <pt idx="43">
                  <v>10.5</v>
                </pt>
                <pt idx="44">
                  <v>10.5</v>
                </pt>
                <pt idx="45">
                  <v>10.5</v>
                </pt>
                <pt idx="46">
                  <v>10.5</v>
                </pt>
                <pt idx="47">
                  <v>10.5</v>
                </pt>
                <pt idx="48">
                  <v>10.5</v>
                </pt>
                <pt idx="49">
                  <v>10.5</v>
                </pt>
                <pt idx="50">
                  <v>10.5</v>
                </pt>
                <pt idx="51">
                  <v>10.5</v>
                </pt>
                <pt idx="52">
                  <v>10.5</v>
                </pt>
                <pt idx="53">
                  <v>10.5</v>
                </pt>
                <pt idx="54">
                  <v>10.5</v>
                </pt>
                <pt idx="55">
                  <v>10.5</v>
                </pt>
                <pt idx="56">
                  <v>10.5</v>
                </pt>
                <pt idx="57">
                  <v>10.5</v>
                </pt>
                <pt idx="58">
                  <v>10.5</v>
                </pt>
                <pt idx="59">
                  <v>10.5</v>
                </pt>
                <pt idx="60">
                  <v>10.5</v>
                </pt>
                <pt idx="61">
                  <v>10.5</v>
                </pt>
                <pt idx="62">
                  <v>10.5</v>
                </pt>
                <pt idx="63">
                  <v>10.5</v>
                </pt>
                <pt idx="64">
                  <v>10.5</v>
                </pt>
                <pt idx="65">
                  <v>10.5</v>
                </pt>
                <pt idx="66">
                  <v>10.5</v>
                </pt>
                <pt idx="67">
                  <v>10.5</v>
                </pt>
                <pt idx="68">
                  <v>10.5</v>
                </pt>
                <pt idx="69">
                  <v>10.5</v>
                </pt>
                <pt idx="70">
                  <v>10.5</v>
                </pt>
                <pt idx="71">
                  <v>10.5</v>
                </pt>
                <pt idx="72">
                  <v>10.5</v>
                </pt>
                <pt idx="73">
                  <v>10.5</v>
                </pt>
                <pt idx="74">
                  <v>10.5</v>
                </pt>
                <pt idx="75">
                  <v>10.5</v>
                </pt>
                <pt idx="76">
                  <v>10.5</v>
                </pt>
                <pt idx="77">
                  <v>10.5</v>
                </pt>
                <pt idx="78">
                  <v>10.5</v>
                </pt>
                <pt idx="79">
                  <v>10.5</v>
                </pt>
                <pt idx="80">
                  <v>10.5</v>
                </pt>
                <pt idx="81">
                  <v>10.5</v>
                </pt>
                <pt idx="82">
                  <v>10.5</v>
                </pt>
                <pt idx="83">
                  <v>10.5</v>
                </pt>
                <pt idx="84">
                  <v>10.5</v>
                </pt>
                <pt idx="85">
                  <v>10.5</v>
                </pt>
                <pt idx="86">
                  <v>10.5</v>
                </pt>
                <pt idx="87">
                  <v>10.5</v>
                </pt>
                <pt idx="88">
                  <v>10.5</v>
                </pt>
                <pt idx="89">
                  <v>10.5</v>
                </pt>
                <pt idx="90">
                  <v>10.5</v>
                </pt>
                <pt idx="91">
                  <v>10.5</v>
                </pt>
                <pt idx="92">
                  <v>10.5</v>
                </pt>
                <pt idx="93">
                  <v>10.5</v>
                </pt>
                <pt idx="94">
                  <v>10.5</v>
                </pt>
                <pt idx="95">
                  <v>10.5</v>
                </pt>
                <pt idx="96">
                  <v>10.5</v>
                </pt>
                <pt idx="97">
                  <v>10.5</v>
                </pt>
                <pt idx="98">
                  <v>10.5</v>
                </pt>
                <pt idx="99">
                  <v>10.5</v>
                </pt>
                <pt idx="100">
                  <v>10.5</v>
                </pt>
                <pt idx="101">
                  <v>10.5</v>
                </pt>
                <pt idx="102">
                  <v>10.5</v>
                </pt>
                <pt idx="103">
                  <v>10.5</v>
                </pt>
                <pt idx="104">
                  <v>10.5</v>
                </pt>
                <pt idx="105">
                  <v>10.5</v>
                </pt>
                <pt idx="106">
                  <v>10.5</v>
                </pt>
                <pt idx="107">
                  <v>10.5</v>
                </pt>
                <pt idx="108">
                  <v>10.5</v>
                </pt>
                <pt idx="109">
                  <v>10.5</v>
                </pt>
                <pt idx="110">
                  <v>10.5</v>
                </pt>
                <pt idx="111">
                  <v>10.5</v>
                </pt>
                <pt idx="112">
                  <v>10.5</v>
                </pt>
                <pt idx="113">
                  <v>10.5</v>
                </pt>
                <pt idx="114">
                  <v>10.5</v>
                </pt>
                <pt idx="115">
                  <v>10.5</v>
                </pt>
                <pt idx="116">
                  <v>10.5</v>
                </pt>
                <pt idx="117">
                  <v>10.5</v>
                </pt>
                <pt idx="118">
                  <v>10.5</v>
                </pt>
                <pt idx="119">
                  <v>10.5</v>
                </pt>
                <pt idx="120">
                  <v>10.5</v>
                </pt>
                <pt idx="121">
                  <v>10.5</v>
                </pt>
                <pt idx="122">
                  <v>10.5</v>
                </pt>
                <pt idx="123">
                  <v>10.5</v>
                </pt>
                <pt idx="124">
                  <v>10.5</v>
                </pt>
                <pt idx="125">
                  <v>10.5</v>
                </pt>
                <pt idx="126">
                  <v>10.5</v>
                </pt>
                <pt idx="127">
                  <v>10.5</v>
                </pt>
                <pt idx="128">
                  <v>10.5</v>
                </pt>
                <pt idx="129">
                  <v>10.5</v>
                </pt>
                <pt idx="130">
                  <v>10.5</v>
                </pt>
                <pt idx="131">
                  <v>10.5</v>
                </pt>
                <pt idx="132">
                  <v>10.5</v>
                </pt>
                <pt idx="133">
                  <v>10.5</v>
                </pt>
                <pt idx="134">
                  <v>10.5</v>
                </pt>
                <pt idx="135">
                  <v>10.5</v>
                </pt>
                <pt idx="136">
                  <v>10.5</v>
                </pt>
                <pt idx="137">
                  <v>10.5</v>
                </pt>
                <pt idx="138">
                  <v>10.5</v>
                </pt>
                <pt idx="139">
                  <v>10.5</v>
                </pt>
                <pt idx="140">
                  <v>10.5</v>
                </pt>
                <pt idx="141">
                  <v>10.5</v>
                </pt>
                <pt idx="142">
                  <v>10.5</v>
                </pt>
                <pt idx="143">
                  <v>10.5</v>
                </pt>
                <pt idx="144">
                  <v>10.5</v>
                </pt>
                <pt idx="145">
                  <v>10.5</v>
                </pt>
                <pt idx="146">
                  <v>10.5</v>
                </pt>
                <pt idx="147">
                  <v>10.5</v>
                </pt>
                <pt idx="148">
                  <v>10.5</v>
                </pt>
                <pt idx="149">
                  <v>10.5</v>
                </pt>
                <pt idx="150">
                  <v>10.5</v>
                </pt>
                <pt idx="151">
                  <v>10.5</v>
                </pt>
                <pt idx="152">
                  <v>10.5</v>
                </pt>
                <pt idx="153">
                  <v>10.5</v>
                </pt>
                <pt idx="154">
                  <v>10.5</v>
                </pt>
                <pt idx="155">
                  <v>10.5</v>
                </pt>
                <pt idx="156">
                  <v>10.5</v>
                </pt>
                <pt idx="157">
                  <v>10.5</v>
                </pt>
                <pt idx="158">
                  <v>10.5</v>
                </pt>
                <pt idx="159">
                  <v>10.5</v>
                </pt>
                <pt idx="160">
                  <v>10.5</v>
                </pt>
                <pt idx="161">
                  <v>10.5</v>
                </pt>
                <pt idx="162">
                  <v>10.5</v>
                </pt>
                <pt idx="163">
                  <v>10.5</v>
                </pt>
                <pt idx="164">
                  <v>10.5</v>
                </pt>
                <pt idx="165">
                  <v>10.5</v>
                </pt>
                <pt idx="166">
                  <v>10.5</v>
                </pt>
                <pt idx="167">
                  <v>10.5</v>
                </pt>
                <pt idx="168">
                  <v>10.5</v>
                </pt>
                <pt idx="169">
                  <v>10.5</v>
                </pt>
                <pt idx="170">
                  <v>10.5</v>
                </pt>
                <pt idx="171">
                  <v>10.5</v>
                </pt>
                <pt idx="172">
                  <v>10.5</v>
                </pt>
                <pt idx="173">
                  <v>10.5</v>
                </pt>
                <pt idx="174">
                  <v>10.5</v>
                </pt>
                <pt idx="175">
                  <v>10.5</v>
                </pt>
                <pt idx="176">
                  <v>10.5</v>
                </pt>
                <pt idx="177">
                  <v>10.5</v>
                </pt>
                <pt idx="178">
                  <v>10.5</v>
                </pt>
                <pt idx="179">
                  <v>10.5</v>
                </pt>
                <pt idx="180">
                  <v>10.5</v>
                </pt>
                <pt idx="181">
                  <v>10.5</v>
                </pt>
                <pt idx="182">
                  <v>10.5</v>
                </pt>
                <pt idx="183">
                  <v>10.5</v>
                </pt>
                <pt idx="184">
                  <v>10.5</v>
                </pt>
                <pt idx="185">
                  <v>10.5</v>
                </pt>
                <pt idx="186">
                  <v>10.5</v>
                </pt>
                <pt idx="187">
                  <v>10.5</v>
                </pt>
                <pt idx="188">
                  <v>10.5</v>
                </pt>
                <pt idx="189">
                  <v>10.5</v>
                </pt>
                <pt idx="190">
                  <v>10.5</v>
                </pt>
                <pt idx="191">
                  <v>10.5</v>
                </pt>
                <pt idx="192">
                  <v>10.5</v>
                </pt>
                <pt idx="193">
                  <v>10.5</v>
                </pt>
                <pt idx="194">
                  <v>10.5</v>
                </pt>
                <pt idx="195">
                  <v>10.5</v>
                </pt>
                <pt idx="196">
                  <v>10.5</v>
                </pt>
                <pt idx="197">
                  <v>10.5</v>
                </pt>
                <pt idx="198">
                  <v>10.5</v>
                </pt>
                <pt idx="199">
                  <v>10.5</v>
                </pt>
                <pt idx="200">
                  <v>10.5</v>
                </pt>
                <pt idx="201">
                  <v>10.5</v>
                </pt>
                <pt idx="202">
                  <v>10.5</v>
                </pt>
                <pt idx="203">
                  <v>10.5</v>
                </pt>
                <pt idx="204">
                  <v>10.5</v>
                </pt>
                <pt idx="205">
                  <v>10.5</v>
                </pt>
                <pt idx="206">
                  <v>10.5</v>
                </pt>
                <pt idx="207">
                  <v>10.5</v>
                </pt>
                <pt idx="208">
                  <v>10.5</v>
                </pt>
                <pt idx="209">
                  <v>10.5</v>
                </pt>
                <pt idx="210">
                  <v>10.5</v>
                </pt>
                <pt idx="211">
                  <v>10.5</v>
                </pt>
                <pt idx="212">
                  <v>10.5</v>
                </pt>
                <pt idx="213">
                  <v>10.5</v>
                </pt>
                <pt idx="214">
                  <v>10.5</v>
                </pt>
                <pt idx="215">
                  <v>10.5</v>
                </pt>
                <pt idx="216">
                  <v>10.5</v>
                </pt>
                <pt idx="217">
                  <v>10.5</v>
                </pt>
                <pt idx="218">
                  <v>10.5</v>
                </pt>
                <pt idx="219">
                  <v>10.5</v>
                </pt>
                <pt idx="220">
                  <v>10.5</v>
                </pt>
                <pt idx="221">
                  <v>10.5</v>
                </pt>
                <pt idx="222">
                  <v>10.5</v>
                </pt>
                <pt idx="223">
                  <v>10.5</v>
                </pt>
                <pt idx="224">
                  <v>10.5</v>
                </pt>
                <pt idx="225">
                  <v>10.5</v>
                </pt>
                <pt idx="226">
                  <v>10.5</v>
                </pt>
                <pt idx="227">
                  <v>10.5</v>
                </pt>
                <pt idx="228">
                  <v>10.5</v>
                </pt>
                <pt idx="229">
                  <v>10.5</v>
                </pt>
                <pt idx="230">
                  <v>10.5</v>
                </pt>
                <pt idx="231">
                  <v>10.5</v>
                </pt>
                <pt idx="232">
                  <v>10.5</v>
                </pt>
                <pt idx="233">
                  <v>10.5</v>
                </pt>
                <pt idx="234">
                  <v>10.5</v>
                </pt>
                <pt idx="235">
                  <v>10.5</v>
                </pt>
                <pt idx="236">
                  <v>10.5</v>
                </pt>
                <pt idx="237">
                  <v>10.5</v>
                </pt>
                <pt idx="238">
                  <v>10.5</v>
                </pt>
                <pt idx="239">
                  <v>10.5</v>
                </pt>
                <pt idx="240">
                  <v>10.5</v>
                </pt>
                <pt idx="241">
                  <v>10.5</v>
                </pt>
                <pt idx="242">
                  <v>10.5</v>
                </pt>
                <pt idx="243">
                  <v>10.5</v>
                </pt>
                <pt idx="244">
                  <v>10.5</v>
                </pt>
                <pt idx="245">
                  <v>10.5</v>
                </pt>
                <pt idx="246">
                  <v>10.5</v>
                </pt>
                <pt idx="247">
                  <v>10.5</v>
                </pt>
                <pt idx="248">
                  <v>10.5</v>
                </pt>
                <pt idx="249">
                  <v>10.5</v>
                </pt>
                <pt idx="250">
                  <v>10.5</v>
                </pt>
                <pt idx="251">
                  <v>10.5</v>
                </pt>
                <pt idx="252">
                  <v>10.5</v>
                </pt>
                <pt idx="253">
                  <v>10.5</v>
                </pt>
                <pt idx="254">
                  <v>10.5</v>
                </pt>
                <pt idx="255">
                  <v>10.5</v>
                </pt>
                <pt idx="256">
                  <v>10.5</v>
                </pt>
                <pt idx="257">
                  <v>10.5</v>
                </pt>
                <pt idx="258">
                  <v>10.5</v>
                </pt>
                <pt idx="259">
                  <v>10.5</v>
                </pt>
                <pt idx="260">
                  <v>10.5</v>
                </pt>
                <pt idx="261">
                  <v>10.5</v>
                </pt>
                <pt idx="262">
                  <v>10.5</v>
                </pt>
                <pt idx="263">
                  <v>10.5</v>
                </pt>
                <pt idx="264">
                  <v>10.5</v>
                </pt>
                <pt idx="265">
                  <v>10.5</v>
                </pt>
                <pt idx="266">
                  <v>10.5</v>
                </pt>
                <pt idx="267">
                  <v>10.5</v>
                </pt>
                <pt idx="268">
                  <v>10.5</v>
                </pt>
                <pt idx="269">
                  <v>10.5</v>
                </pt>
                <pt idx="270">
                  <v>10.5</v>
                </pt>
                <pt idx="271">
                  <v>10.5</v>
                </pt>
                <pt idx="272">
                  <v>10.5</v>
                </pt>
                <pt idx="273">
                  <v>10.5</v>
                </pt>
                <pt idx="274">
                  <v>10.5</v>
                </pt>
                <pt idx="275">
                  <v>10.5</v>
                </pt>
                <pt idx="276">
                  <v>10.5</v>
                </pt>
                <pt idx="277">
                  <v>10.5</v>
                </pt>
                <pt idx="278">
                  <v>10.5</v>
                </pt>
                <pt idx="279">
                  <v>10.5</v>
                </pt>
                <pt idx="280">
                  <v>10.5</v>
                </pt>
                <pt idx="281">
                  <v>10.5</v>
                </pt>
                <pt idx="282">
                  <v>10.5</v>
                </pt>
                <pt idx="283">
                  <v>10.5</v>
                </pt>
                <pt idx="284">
                  <v>10.5</v>
                </pt>
                <pt idx="285">
                  <v>10.5</v>
                </pt>
                <pt idx="286">
                  <v>10.5</v>
                </pt>
                <pt idx="287">
                  <v>10.5</v>
                </pt>
                <pt idx="288">
                  <v>10.5</v>
                </pt>
                <pt idx="289">
                  <v>10.5</v>
                </pt>
                <pt idx="290">
                  <v>10.5</v>
                </pt>
                <pt idx="291">
                  <v>10.5</v>
                </pt>
                <pt idx="292">
                  <v>10.5</v>
                </pt>
                <pt idx="293">
                  <v>10.5</v>
                </pt>
                <pt idx="294">
                  <v>10.5</v>
                </pt>
                <pt idx="295">
                  <v>10.5</v>
                </pt>
                <pt idx="296">
                  <v>10.5</v>
                </pt>
                <pt idx="297">
                  <v>10.5</v>
                </pt>
                <pt idx="298">
                  <v>10.5</v>
                </pt>
                <pt idx="299">
                  <v>10.5</v>
                </pt>
                <pt idx="300">
                  <v>10.5</v>
                </pt>
                <pt idx="301">
                  <v>10.5</v>
                </pt>
                <pt idx="302">
                  <v>10.5</v>
                </pt>
                <pt idx="303">
                  <v>10.5</v>
                </pt>
                <pt idx="304">
                  <v>10.5</v>
                </pt>
                <pt idx="305">
                  <v>10.5</v>
                </pt>
                <pt idx="306">
                  <v>10.5</v>
                </pt>
                <pt idx="307">
                  <v>10.5</v>
                </pt>
                <pt idx="308">
                  <v>10.5</v>
                </pt>
                <pt idx="309">
                  <v>10.5</v>
                </pt>
                <pt idx="310">
                  <v>10.5</v>
                </pt>
                <pt idx="311">
                  <v>10.5</v>
                </pt>
                <pt idx="312">
                  <v>10.5</v>
                </pt>
                <pt idx="313">
                  <v>10.5</v>
                </pt>
                <pt idx="314">
                  <v>10.5</v>
                </pt>
                <pt idx="315">
                  <v>10.5</v>
                </pt>
                <pt idx="316">
                  <v>10.5</v>
                </pt>
                <pt idx="317">
                  <v>10.5</v>
                </pt>
                <pt idx="318">
                  <v>10.5</v>
                </pt>
                <pt idx="319">
                  <v>10.5</v>
                </pt>
                <pt idx="320">
                  <v>10.5</v>
                </pt>
                <pt idx="321">
                  <v>10.5</v>
                </pt>
                <pt idx="322">
                  <v>10.5</v>
                </pt>
                <pt idx="323">
                  <v>10.5</v>
                </pt>
                <pt idx="324">
                  <v>10.5</v>
                </pt>
                <pt idx="325">
                  <v>10.5</v>
                </pt>
                <pt idx="326">
                  <v>10.5</v>
                </pt>
                <pt idx="327">
                  <v>10.5</v>
                </pt>
                <pt idx="328">
                  <v>10.5</v>
                </pt>
                <pt idx="329">
                  <v>10.5</v>
                </pt>
                <pt idx="330">
                  <v>10.5</v>
                </pt>
                <pt idx="331">
                  <v>10.5</v>
                </pt>
                <pt idx="332">
                  <v>10.5</v>
                </pt>
                <pt idx="333">
                  <v>10.5</v>
                </pt>
                <pt idx="334">
                  <v>10.5</v>
                </pt>
                <pt idx="335">
                  <v>10.5</v>
                </pt>
                <pt idx="336">
                  <v>10.5</v>
                </pt>
                <pt idx="337">
                  <v>10.5</v>
                </pt>
                <pt idx="338">
                  <v>10.5</v>
                </pt>
                <pt idx="339">
                  <v>10.5</v>
                </pt>
                <pt idx="340">
                  <v>10.5</v>
                </pt>
                <pt idx="341">
                  <v>10.5</v>
                </pt>
                <pt idx="342">
                  <v>10.5</v>
                </pt>
                <pt idx="343">
                  <v>10.5</v>
                </pt>
                <pt idx="344">
                  <v>10.5</v>
                </pt>
                <pt idx="345">
                  <v>10.5</v>
                </pt>
                <pt idx="346">
                  <v>10.5</v>
                </pt>
                <pt idx="347">
                  <v>10.5</v>
                </pt>
                <pt idx="348">
                  <v>10.5</v>
                </pt>
                <pt idx="349">
                  <v>10.5</v>
                </pt>
                <pt idx="350">
                  <v>10.5</v>
                </pt>
                <pt idx="351">
                  <v>10.5</v>
                </pt>
                <pt idx="352">
                  <v>10.5</v>
                </pt>
                <pt idx="353">
                  <v>10.5</v>
                </pt>
                <pt idx="354">
                  <v>10.5</v>
                </pt>
                <pt idx="355">
                  <v>10.5</v>
                </pt>
                <pt idx="356">
                  <v>10.5</v>
                </pt>
                <pt idx="357">
                  <v>10.5</v>
                </pt>
                <pt idx="358">
                  <v>10.5</v>
                </pt>
                <pt idx="359">
                  <v>10.5</v>
                </pt>
                <pt idx="360">
                  <v>10.5</v>
                </pt>
                <pt idx="361">
                  <v>10.5</v>
                </pt>
                <pt idx="362">
                  <v>10.5</v>
                </pt>
                <pt idx="363">
                  <v>10.5</v>
                </pt>
                <pt idx="364">
                  <v>10.5</v>
                </pt>
                <pt idx="365">
                  <v>10.5</v>
                </pt>
                <pt idx="366">
                  <v>10.5</v>
                </pt>
                <pt idx="367">
                  <v>10.5</v>
                </pt>
                <pt idx="368">
                  <v>10.5</v>
                </pt>
                <pt idx="369">
                  <v>10.5</v>
                </pt>
                <pt idx="370">
                  <v>10.5</v>
                </pt>
                <pt idx="371">
                  <v>10.5</v>
                </pt>
                <pt idx="372">
                  <v>10.5</v>
                </pt>
                <pt idx="373">
                  <v>10.5</v>
                </pt>
                <pt idx="374">
                  <v>10.5</v>
                </pt>
                <pt idx="375">
                  <v>10.5</v>
                </pt>
                <pt idx="376">
                  <v>10.5</v>
                </pt>
                <pt idx="377">
                  <v>10.5</v>
                </pt>
                <pt idx="378">
                  <v>10.5</v>
                </pt>
                <pt idx="379">
                  <v>10.5</v>
                </pt>
                <pt idx="380">
                  <v>10.5</v>
                </pt>
                <pt idx="381">
                  <v>10.5</v>
                </pt>
                <pt idx="382">
                  <v>10.5</v>
                </pt>
                <pt idx="383">
                  <v>10.5</v>
                </pt>
                <pt idx="384">
                  <v>10.5</v>
                </pt>
                <pt idx="385">
                  <v>10.5</v>
                </pt>
                <pt idx="386">
                  <v>10.5</v>
                </pt>
                <pt idx="387">
                  <v>10.5</v>
                </pt>
                <pt idx="388">
                  <v>10.5</v>
                </pt>
                <pt idx="389">
                  <v>10.5</v>
                </pt>
                <pt idx="390">
                  <v>10.5</v>
                </pt>
                <pt idx="391">
                  <v>10.5</v>
                </pt>
                <pt idx="392">
                  <v>10.5</v>
                </pt>
                <pt idx="393">
                  <v>10.5</v>
                </pt>
                <pt idx="394">
                  <v>10.5</v>
                </pt>
                <pt idx="395">
                  <v>10.5</v>
                </pt>
                <pt idx="396">
                  <v>10.5</v>
                </pt>
                <pt idx="397">
                  <v>10.5</v>
                </pt>
                <pt idx="398">
                  <v>10.5</v>
                </pt>
                <pt idx="399">
                  <v>10.5</v>
                </pt>
                <pt idx="400">
                  <v>10.5</v>
                </pt>
                <pt idx="401">
                  <v>10.5</v>
                </pt>
                <pt idx="402">
                  <v>10.5</v>
                </pt>
                <pt idx="403">
                  <v>10.5</v>
                </pt>
                <pt idx="404">
                  <v>10.5</v>
                </pt>
                <pt idx="405">
                  <v>10.5</v>
                </pt>
                <pt idx="406">
                  <v>10.5</v>
                </pt>
                <pt idx="407">
                  <v>10.5</v>
                </pt>
                <pt idx="408">
                  <v>10.5</v>
                </pt>
                <pt idx="409">
                  <v>10.5</v>
                </pt>
                <pt idx="410">
                  <v>10.5</v>
                </pt>
                <pt idx="411">
                  <v>10.5</v>
                </pt>
                <pt idx="412">
                  <v>10.5</v>
                </pt>
                <pt idx="413">
                  <v>10.5</v>
                </pt>
                <pt idx="414">
                  <v>10.5</v>
                </pt>
                <pt idx="415">
                  <v>10.5</v>
                </pt>
                <pt idx="416">
                  <v>10.5</v>
                </pt>
                <pt idx="417">
                  <v>10.5</v>
                </pt>
                <pt idx="418">
                  <v>10.5</v>
                </pt>
                <pt idx="419">
                  <v>10.5</v>
                </pt>
                <pt idx="420">
                  <v>10.5</v>
                </pt>
                <pt idx="421">
                  <v>10.5</v>
                </pt>
                <pt idx="422">
                  <v>10.5</v>
                </pt>
                <pt idx="423">
                  <v>10.5</v>
                </pt>
                <pt idx="424">
                  <v>10.5</v>
                </pt>
                <pt idx="425">
                  <v>10.5</v>
                </pt>
                <pt idx="426">
                  <v>10.5</v>
                </pt>
                <pt idx="427">
                  <v>10.5</v>
                </pt>
                <pt idx="428">
                  <v>10.5</v>
                </pt>
                <pt idx="429">
                  <v>10.5</v>
                </pt>
                <pt idx="430">
                  <v>10.5</v>
                </pt>
                <pt idx="431">
                  <v>10.5</v>
                </pt>
                <pt idx="432">
                  <v>10.5</v>
                </pt>
                <pt idx="433">
                  <v>10.5</v>
                </pt>
                <pt idx="434">
                  <v>10.5</v>
                </pt>
                <pt idx="435">
                  <v>10.5</v>
                </pt>
                <pt idx="436">
                  <v>10.5</v>
                </pt>
                <pt idx="437">
                  <v>10.5</v>
                </pt>
                <pt idx="438">
                  <v>10.5</v>
                </pt>
                <pt idx="439">
                  <v>10.5</v>
                </pt>
                <pt idx="440">
                  <v>10.5</v>
                </pt>
                <pt idx="441">
                  <v>10.5</v>
                </pt>
                <pt idx="442">
                  <v>10.5</v>
                </pt>
                <pt idx="443">
                  <v>10.5</v>
                </pt>
                <pt idx="444">
                  <v>10.5</v>
                </pt>
                <pt idx="445">
                  <v>10.5</v>
                </pt>
                <pt idx="446">
                  <v>10.5</v>
                </pt>
                <pt idx="447">
                  <v>10.5</v>
                </pt>
                <pt idx="448">
                  <v>10.5</v>
                </pt>
                <pt idx="449">
                  <v>10.5</v>
                </pt>
                <pt idx="450">
                  <v>10.5</v>
                </pt>
                <pt idx="451">
                  <v>10.5</v>
                </pt>
                <pt idx="452">
                  <v>10.5</v>
                </pt>
                <pt idx="453">
                  <v>10.5</v>
                </pt>
                <pt idx="454">
                  <v>10.5</v>
                </pt>
                <pt idx="455">
                  <v>10.5</v>
                </pt>
                <pt idx="456">
                  <v>10.5</v>
                </pt>
                <pt idx="457">
                  <v>10.5</v>
                </pt>
                <pt idx="458">
                  <v>10.5</v>
                </pt>
                <pt idx="459">
                  <v>10.5</v>
                </pt>
                <pt idx="460">
                  <v>10.5</v>
                </pt>
                <pt idx="461">
                  <v>10.5</v>
                </pt>
                <pt idx="462">
                  <v>10.5</v>
                </pt>
                <pt idx="463">
                  <v>10.5</v>
                </pt>
                <pt idx="464">
                  <v>10.5</v>
                </pt>
                <pt idx="465">
                  <v>10.5</v>
                </pt>
                <pt idx="466">
                  <v>10.5</v>
                </pt>
                <pt idx="467">
                  <v>10.5</v>
                </pt>
                <pt idx="468">
                  <v>10.5</v>
                </pt>
                <pt idx="469">
                  <v>10.5</v>
                </pt>
                <pt idx="470">
                  <v>10.5</v>
                </pt>
                <pt idx="471">
                  <v>10.5</v>
                </pt>
                <pt idx="472">
                  <v>10.5</v>
                </pt>
                <pt idx="473">
                  <v>10.5</v>
                </pt>
                <pt idx="474">
                  <v>10.5</v>
                </pt>
                <pt idx="475">
                  <v>10.5</v>
                </pt>
                <pt idx="476">
                  <v>10.5</v>
                </pt>
                <pt idx="477">
                  <v>10.5</v>
                </pt>
                <pt idx="478">
                  <v>10.5</v>
                </pt>
                <pt idx="479">
                  <v>10.5</v>
                </pt>
                <pt idx="480">
                  <v>10.5</v>
                </pt>
                <pt idx="481">
                  <v>10.5</v>
                </pt>
                <pt idx="482">
                  <v>10.5</v>
                </pt>
                <pt idx="483">
                  <v>10.5</v>
                </pt>
                <pt idx="484">
                  <v>10.5</v>
                </pt>
                <pt idx="485">
                  <v>10.5</v>
                </pt>
                <pt idx="486">
                  <v>10.5</v>
                </pt>
                <pt idx="487">
                  <v>10.5</v>
                </pt>
                <pt idx="488">
                  <v>10.5</v>
                </pt>
                <pt idx="489">
                  <v>10.5</v>
                </pt>
                <pt idx="490">
                  <v>10.5</v>
                </pt>
                <pt idx="491">
                  <v>10.5</v>
                </pt>
                <pt idx="492">
                  <v>10.5</v>
                </pt>
                <pt idx="493">
                  <v>10.5</v>
                </pt>
                <pt idx="494">
                  <v>10.5</v>
                </pt>
                <pt idx="495">
                  <v>10.5</v>
                </pt>
                <pt idx="496">
                  <v>10.5</v>
                </pt>
                <pt idx="497">
                  <v>10.5</v>
                </pt>
                <pt idx="498">
                  <v>10.5</v>
                </pt>
                <pt idx="499">
                  <v>10.5</v>
                </pt>
                <pt idx="500">
                  <v>10.5</v>
                </pt>
                <pt idx="501">
                  <v>10.5</v>
                </pt>
                <pt idx="502">
                  <v>10.5</v>
                </pt>
                <pt idx="503">
                  <v>10.5</v>
                </pt>
                <pt idx="504">
                  <v>10.5</v>
                </pt>
                <pt idx="505">
                  <v>10.5</v>
                </pt>
                <pt idx="506">
                  <v>10.5</v>
                </pt>
                <pt idx="507">
                  <v>10.5</v>
                </pt>
                <pt idx="508">
                  <v>10.5</v>
                </pt>
                <pt idx="509">
                  <v>10.5</v>
                </pt>
                <pt idx="510">
                  <v>10.5</v>
                </pt>
                <pt idx="511">
                  <v>10.5</v>
                </pt>
                <pt idx="512">
                  <v>10.5</v>
                </pt>
                <pt idx="513">
                  <v>10.5</v>
                </pt>
                <pt idx="514">
                  <v>10.5</v>
                </pt>
                <pt idx="515">
                  <v>10.5</v>
                </pt>
                <pt idx="516">
                  <v>10.5</v>
                </pt>
                <pt idx="517">
                  <v>10.5</v>
                </pt>
                <pt idx="518">
                  <v>10.5</v>
                </pt>
                <pt idx="519">
                  <v>10.5</v>
                </pt>
                <pt idx="520">
                  <v>10.5</v>
                </pt>
                <pt idx="521">
                  <v>10.5</v>
                </pt>
                <pt idx="522">
                  <v>10.5</v>
                </pt>
                <pt idx="523">
                  <v>10.5</v>
                </pt>
                <pt idx="524">
                  <v>10.5</v>
                </pt>
                <pt idx="525">
                  <v>10.5</v>
                </pt>
                <pt idx="526">
                  <v>10.5</v>
                </pt>
                <pt idx="527">
                  <v>10.5</v>
                </pt>
                <pt idx="528">
                  <v>10.5</v>
                </pt>
                <pt idx="529">
                  <v>10.5</v>
                </pt>
                <pt idx="530">
                  <v>10.5</v>
                </pt>
                <pt idx="531">
                  <v>10.5</v>
                </pt>
                <pt idx="532">
                  <v>10.5</v>
                </pt>
                <pt idx="533">
                  <v>10.5</v>
                </pt>
                <pt idx="534">
                  <v>10.5</v>
                </pt>
                <pt idx="535">
                  <v>10.5</v>
                </pt>
                <pt idx="536">
                  <v>10.5</v>
                </pt>
                <pt idx="537">
                  <v>10.5</v>
                </pt>
                <pt idx="538">
                  <v>10.5</v>
                </pt>
                <pt idx="539">
                  <v>10.5</v>
                </pt>
                <pt idx="540">
                  <v>10.5</v>
                </pt>
                <pt idx="541">
                  <v>10.5</v>
                </pt>
                <pt idx="542">
                  <v>10.5</v>
                </pt>
                <pt idx="543">
                  <v>10.5</v>
                </pt>
                <pt idx="544">
                  <v>10.5</v>
                </pt>
                <pt idx="545">
                  <v>10.5</v>
                </pt>
                <pt idx="546">
                  <v>10.5</v>
                </pt>
                <pt idx="547">
                  <v>10.5</v>
                </pt>
                <pt idx="548">
                  <v>10.5</v>
                </pt>
                <pt idx="549">
                  <v>10.5</v>
                </pt>
                <pt idx="550">
                  <v>10.5</v>
                </pt>
                <pt idx="551">
                  <v>10.5</v>
                </pt>
                <pt idx="552">
                  <v>10.5</v>
                </pt>
                <pt idx="553">
                  <v>10.5</v>
                </pt>
                <pt idx="554">
                  <v>10.5</v>
                </pt>
                <pt idx="555">
                  <v>10.5</v>
                </pt>
                <pt idx="556">
                  <v>10.5</v>
                </pt>
                <pt idx="557">
                  <v>10.5</v>
                </pt>
                <pt idx="558">
                  <v>10.5</v>
                </pt>
                <pt idx="559">
                  <v>10.5</v>
                </pt>
                <pt idx="560">
                  <v>10.5</v>
                </pt>
                <pt idx="561">
                  <v>10.5</v>
                </pt>
                <pt idx="562">
                  <v>10.5</v>
                </pt>
                <pt idx="563">
                  <v>10.5</v>
                </pt>
                <pt idx="564">
                  <v>10.5</v>
                </pt>
                <pt idx="565">
                  <v>10.5</v>
                </pt>
                <pt idx="566">
                  <v>10.5</v>
                </pt>
                <pt idx="567">
                  <v>10.5</v>
                </pt>
                <pt idx="568">
                  <v>10.5</v>
                </pt>
                <pt idx="569">
                  <v>10.5</v>
                </pt>
                <pt idx="570">
                  <v>10.5</v>
                </pt>
                <pt idx="571">
                  <v>10.5</v>
                </pt>
                <pt idx="572">
                  <v>10.5</v>
                </pt>
                <pt idx="573">
                  <v>10.5</v>
                </pt>
                <pt idx="574">
                  <v>10.5</v>
                </pt>
                <pt idx="575">
                  <v>10.5</v>
                </pt>
                <pt idx="576">
                  <v>10.5</v>
                </pt>
                <pt idx="577">
                  <v>10.5</v>
                </pt>
                <pt idx="578">
                  <v>10.5</v>
                </pt>
                <pt idx="579">
                  <v>10.5</v>
                </pt>
                <pt idx="580">
                  <v>10.5</v>
                </pt>
                <pt idx="581">
                  <v>10.5</v>
                </pt>
                <pt idx="582">
                  <v>10.5</v>
                </pt>
                <pt idx="583">
                  <v>10.5</v>
                </pt>
                <pt idx="584">
                  <v>10.5</v>
                </pt>
                <pt idx="585">
                  <v>10.5</v>
                </pt>
                <pt idx="586">
                  <v>10.5</v>
                </pt>
                <pt idx="587">
                  <v>10.5</v>
                </pt>
                <pt idx="588">
                  <v>10.5</v>
                </pt>
                <pt idx="589">
                  <v>10.5</v>
                </pt>
                <pt idx="590">
                  <v>10.5</v>
                </pt>
                <pt idx="591">
                  <v>10.5</v>
                </pt>
                <pt idx="592">
                  <v>10.5</v>
                </pt>
                <pt idx="593">
                  <v>10.5</v>
                </pt>
                <pt idx="594">
                  <v>10.5</v>
                </pt>
                <pt idx="595">
                  <v>10.5</v>
                </pt>
                <pt idx="596">
                  <v>10.5</v>
                </pt>
                <pt idx="597">
                  <v>10.5</v>
                </pt>
                <pt idx="598">
                  <v>10.5</v>
                </pt>
                <pt idx="599">
                  <v>10.5</v>
                </pt>
                <pt idx="600">
                  <v>1.05</v>
                </pt>
                <pt idx="601">
                  <v>1.05</v>
                </pt>
                <pt idx="602">
                  <v>1.05</v>
                </pt>
                <pt idx="603">
                  <v>1.05</v>
                </pt>
                <pt idx="604">
                  <v>1.05</v>
                </pt>
                <pt idx="605">
                  <v>1.05</v>
                </pt>
                <pt idx="606">
                  <v>1.05</v>
                </pt>
                <pt idx="607">
                  <v>1.05</v>
                </pt>
                <pt idx="608">
                  <v>1.05</v>
                </pt>
                <pt idx="609">
                  <v>1.05</v>
                </pt>
                <pt idx="610">
                  <v>1.05</v>
                </pt>
                <pt idx="611">
                  <v>1.05</v>
                </pt>
                <pt idx="612">
                  <v>1.05</v>
                </pt>
                <pt idx="613">
                  <v>1.05</v>
                </pt>
                <pt idx="614">
                  <v>1.05</v>
                </pt>
                <pt idx="615">
                  <v>1.05</v>
                </pt>
                <pt idx="616">
                  <v>1.05</v>
                </pt>
                <pt idx="617">
                  <v>1.05</v>
                </pt>
                <pt idx="618">
                  <v>1.05</v>
                </pt>
                <pt idx="619">
                  <v>1.05</v>
                </pt>
                <pt idx="620">
                  <v>1.05</v>
                </pt>
                <pt idx="621">
                  <v>1.05</v>
                </pt>
                <pt idx="622">
                  <v>1.05</v>
                </pt>
                <pt idx="623">
                  <v>1.05</v>
                </pt>
                <pt idx="624">
                  <v>1.05</v>
                </pt>
                <pt idx="625">
                  <v>1.05</v>
                </pt>
                <pt idx="626">
                  <v>1.05</v>
                </pt>
                <pt idx="627">
                  <v>1.05</v>
                </pt>
                <pt idx="628">
                  <v>1.05</v>
                </pt>
                <pt idx="629">
                  <v>1.05</v>
                </pt>
                <pt idx="630">
                  <v>1.05</v>
                </pt>
                <pt idx="631">
                  <v>1.05</v>
                </pt>
                <pt idx="632">
                  <v>1.05</v>
                </pt>
                <pt idx="633">
                  <v>1.05</v>
                </pt>
                <pt idx="634">
                  <v>1.05</v>
                </pt>
                <pt idx="635">
                  <v>1.05</v>
                </pt>
                <pt idx="636">
                  <v>1.05</v>
                </pt>
                <pt idx="637">
                  <v>1.05</v>
                </pt>
                <pt idx="638">
                  <v>1.05</v>
                </pt>
                <pt idx="639">
                  <v>1.05</v>
                </pt>
                <pt idx="640">
                  <v>1.05</v>
                </pt>
                <pt idx="641">
                  <v>1.05</v>
                </pt>
                <pt idx="642">
                  <v>1.05</v>
                </pt>
                <pt idx="643">
                  <v>1.05</v>
                </pt>
                <pt idx="644">
                  <v>1.05</v>
                </pt>
                <pt idx="645">
                  <v>1.05</v>
                </pt>
                <pt idx="646">
                  <v>1.05</v>
                </pt>
                <pt idx="647">
                  <v>1.05</v>
                </pt>
                <pt idx="648">
                  <v>1.05</v>
                </pt>
                <pt idx="649">
                  <v>1.05</v>
                </pt>
                <pt idx="650">
                  <v>1.05</v>
                </pt>
                <pt idx="651">
                  <v>1.05</v>
                </pt>
                <pt idx="652">
                  <v>1.05</v>
                </pt>
                <pt idx="653">
                  <v>1.05</v>
                </pt>
                <pt idx="654">
                  <v>1.05</v>
                </pt>
                <pt idx="655">
                  <v>1.05</v>
                </pt>
                <pt idx="656">
                  <v>1.05</v>
                </pt>
                <pt idx="657">
                  <v>1.05</v>
                </pt>
                <pt idx="658">
                  <v>1.05</v>
                </pt>
                <pt idx="659">
                  <v>1.05</v>
                </pt>
                <pt idx="660">
                  <v>1.05</v>
                </pt>
                <pt idx="661">
                  <v>1.05</v>
                </pt>
                <pt idx="662">
                  <v>1.05</v>
                </pt>
                <pt idx="663">
                  <v>1.05</v>
                </pt>
                <pt idx="664">
                  <v>1.05</v>
                </pt>
                <pt idx="665">
                  <v>1.05</v>
                </pt>
                <pt idx="666">
                  <v>1.05</v>
                </pt>
                <pt idx="667">
                  <v>1.05</v>
                </pt>
                <pt idx="668">
                  <v>1.05</v>
                </pt>
                <pt idx="669">
                  <v>1.05</v>
                </pt>
                <pt idx="670">
                  <v>1.05</v>
                </pt>
                <pt idx="671">
                  <v>1.05</v>
                </pt>
                <pt idx="672">
                  <v>1.05</v>
                </pt>
                <pt idx="673">
                  <v>1.05</v>
                </pt>
                <pt idx="674">
                  <v>1.05</v>
                </pt>
                <pt idx="675">
                  <v>1.05</v>
                </pt>
                <pt idx="676">
                  <v>1.05</v>
                </pt>
                <pt idx="677">
                  <v>1.05</v>
                </pt>
                <pt idx="678">
                  <v>1.05</v>
                </pt>
                <pt idx="679">
                  <v>1.05</v>
                </pt>
                <pt idx="680">
                  <v>1.05</v>
                </pt>
                <pt idx="681">
                  <v>1.05</v>
                </pt>
                <pt idx="682">
                  <v>1.05</v>
                </pt>
                <pt idx="683">
                  <v>1.05</v>
                </pt>
                <pt idx="684">
                  <v>1.05</v>
                </pt>
                <pt idx="685">
                  <v>1.05</v>
                </pt>
                <pt idx="686">
                  <v>1.05</v>
                </pt>
                <pt idx="687">
                  <v>1.05</v>
                </pt>
                <pt idx="688">
                  <v>1.05</v>
                </pt>
                <pt idx="689">
                  <v>1.05</v>
                </pt>
                <pt idx="690">
                  <v>1.05</v>
                </pt>
                <pt idx="691">
                  <v>1.05</v>
                </pt>
                <pt idx="692">
                  <v>1.05</v>
                </pt>
                <pt idx="693">
                  <v>1.05</v>
                </pt>
                <pt idx="694">
                  <v>1.05</v>
                </pt>
                <pt idx="695">
                  <v>1.05</v>
                </pt>
                <pt idx="696">
                  <v>1.05</v>
                </pt>
                <pt idx="697">
                  <v>1.05</v>
                </pt>
                <pt idx="698">
                  <v>1.05</v>
                </pt>
                <pt idx="699">
                  <v>1.05</v>
                </pt>
                <pt idx="700">
                  <v>1.05</v>
                </pt>
                <pt idx="701">
                  <v>1.05</v>
                </pt>
                <pt idx="702">
                  <v>1.05</v>
                </pt>
                <pt idx="703">
                  <v>1.05</v>
                </pt>
                <pt idx="704">
                  <v>1.05</v>
                </pt>
                <pt idx="705">
                  <v>1.05</v>
                </pt>
                <pt idx="706">
                  <v>1.05</v>
                </pt>
                <pt idx="707">
                  <v>1.05</v>
                </pt>
                <pt idx="708">
                  <v>1.05</v>
                </pt>
                <pt idx="709">
                  <v>1.05</v>
                </pt>
                <pt idx="710">
                  <v>1.05</v>
                </pt>
                <pt idx="711">
                  <v>1.05</v>
                </pt>
                <pt idx="712">
                  <v>1.05</v>
                </pt>
                <pt idx="713">
                  <v>1.05</v>
                </pt>
                <pt idx="714">
                  <v>1.05</v>
                </pt>
                <pt idx="715">
                  <v>1.05</v>
                </pt>
                <pt idx="716">
                  <v>1.05</v>
                </pt>
                <pt idx="717">
                  <v>1.05</v>
                </pt>
                <pt idx="718">
                  <v>1.05</v>
                </pt>
                <pt idx="719">
                  <v>1.05</v>
                </pt>
                <pt idx="720">
                  <v>1.05</v>
                </pt>
                <pt idx="721">
                  <v>1.05</v>
                </pt>
                <pt idx="722">
                  <v>1.05</v>
                </pt>
                <pt idx="723">
                  <v>1.05</v>
                </pt>
                <pt idx="724">
                  <v>1.05</v>
                </pt>
                <pt idx="725">
                  <v>1.05</v>
                </pt>
                <pt idx="726">
                  <v>1.05</v>
                </pt>
                <pt idx="727">
                  <v>1.05</v>
                </pt>
                <pt idx="728">
                  <v>1.05</v>
                </pt>
                <pt idx="729">
                  <v>1.05</v>
                </pt>
                <pt idx="730">
                  <v>1.05</v>
                </pt>
                <pt idx="731">
                  <v>1.05</v>
                </pt>
                <pt idx="732">
                  <v>1.05</v>
                </pt>
                <pt idx="733">
                  <v>1.05</v>
                </pt>
                <pt idx="734">
                  <v>1.05</v>
                </pt>
                <pt idx="735">
                  <v>1.05</v>
                </pt>
                <pt idx="736">
                  <v>1.05</v>
                </pt>
                <pt idx="737">
                  <v>1.05</v>
                </pt>
                <pt idx="738">
                  <v>1.05</v>
                </pt>
                <pt idx="739">
                  <v>1.05</v>
                </pt>
                <pt idx="740">
                  <v>1.05</v>
                </pt>
                <pt idx="741">
                  <v>1.05</v>
                </pt>
                <pt idx="742">
                  <v>1.05</v>
                </pt>
                <pt idx="743">
                  <v>1.05</v>
                </pt>
                <pt idx="744">
                  <v>1.05</v>
                </pt>
                <pt idx="745">
                  <v>1.05</v>
                </pt>
                <pt idx="746">
                  <v>1.05</v>
                </pt>
                <pt idx="747">
                  <v>1.05</v>
                </pt>
                <pt idx="748">
                  <v>1.05</v>
                </pt>
                <pt idx="749">
                  <v>1.05</v>
                </pt>
                <pt idx="750">
                  <v>1.05</v>
                </pt>
                <pt idx="751">
                  <v>1.05</v>
                </pt>
                <pt idx="752">
                  <v>1.05</v>
                </pt>
                <pt idx="753">
                  <v>1.05</v>
                </pt>
                <pt idx="754">
                  <v>1.05</v>
                </pt>
                <pt idx="755">
                  <v>1.05</v>
                </pt>
                <pt idx="756">
                  <v>1.05</v>
                </pt>
                <pt idx="757">
                  <v>1.05</v>
                </pt>
                <pt idx="758">
                  <v>1.05</v>
                </pt>
                <pt idx="759">
                  <v>1.05</v>
                </pt>
                <pt idx="760">
                  <v>1.05</v>
                </pt>
                <pt idx="761">
                  <v>1.05</v>
                </pt>
                <pt idx="762">
                  <v>1.05</v>
                </pt>
                <pt idx="763">
                  <v>1.05</v>
                </pt>
                <pt idx="764">
                  <v>1.05</v>
                </pt>
                <pt idx="765">
                  <v>1.05</v>
                </pt>
                <pt idx="766">
                  <v>1.05</v>
                </pt>
                <pt idx="767">
                  <v>1.05</v>
                </pt>
                <pt idx="768">
                  <v>1.05</v>
                </pt>
                <pt idx="769">
                  <v>1.05</v>
                </pt>
                <pt idx="770">
                  <v>1.05</v>
                </pt>
                <pt idx="771">
                  <v>1.05</v>
                </pt>
                <pt idx="772">
                  <v>1.05</v>
                </pt>
                <pt idx="773">
                  <v>1.05</v>
                </pt>
                <pt idx="774">
                  <v>1.05</v>
                </pt>
                <pt idx="775">
                  <v>1.05</v>
                </pt>
                <pt idx="776">
                  <v>1.05</v>
                </pt>
                <pt idx="777">
                  <v>1.05</v>
                </pt>
                <pt idx="778">
                  <v>1.05</v>
                </pt>
                <pt idx="779">
                  <v>1.05</v>
                </pt>
                <pt idx="780">
                  <v>1.05</v>
                </pt>
                <pt idx="781">
                  <v>1.05</v>
                </pt>
                <pt idx="782">
                  <v>1.05</v>
                </pt>
                <pt idx="783">
                  <v>1.05</v>
                </pt>
                <pt idx="784">
                  <v>1.05</v>
                </pt>
                <pt idx="785">
                  <v>1.05</v>
                </pt>
                <pt idx="786">
                  <v>1.05</v>
                </pt>
                <pt idx="787">
                  <v>1.05</v>
                </pt>
                <pt idx="788">
                  <v>1.05</v>
                </pt>
                <pt idx="789">
                  <v>1.05</v>
                </pt>
                <pt idx="790">
                  <v>1.05</v>
                </pt>
                <pt idx="791">
                  <v>1.05</v>
                </pt>
                <pt idx="792">
                  <v>1.05</v>
                </pt>
                <pt idx="793">
                  <v>1.05</v>
                </pt>
                <pt idx="794">
                  <v>1.05</v>
                </pt>
                <pt idx="795">
                  <v>1.05</v>
                </pt>
                <pt idx="796">
                  <v>1.05</v>
                </pt>
                <pt idx="797">
                  <v>1.05</v>
                </pt>
                <pt idx="798">
                  <v>1.05</v>
                </pt>
                <pt idx="799">
                  <v>1.05</v>
                </pt>
                <pt idx="800">
                  <v>1.05</v>
                </pt>
                <pt idx="801">
                  <v>1.05</v>
                </pt>
                <pt idx="802">
                  <v>1.05</v>
                </pt>
                <pt idx="803">
                  <v>1.05</v>
                </pt>
                <pt idx="804">
                  <v>1.05</v>
                </pt>
                <pt idx="805">
                  <v>1.05</v>
                </pt>
                <pt idx="806">
                  <v>1.05</v>
                </pt>
                <pt idx="807">
                  <v>1.05</v>
                </pt>
                <pt idx="808">
                  <v>1.05</v>
                </pt>
                <pt idx="809">
                  <v>1.05</v>
                </pt>
                <pt idx="810">
                  <v>1.05</v>
                </pt>
                <pt idx="811">
                  <v>1.05</v>
                </pt>
                <pt idx="812">
                  <v>1.05</v>
                </pt>
                <pt idx="813">
                  <v>1.05</v>
                </pt>
                <pt idx="814">
                  <v>1.05</v>
                </pt>
                <pt idx="815">
                  <v>1.05</v>
                </pt>
                <pt idx="816">
                  <v>1.05</v>
                </pt>
                <pt idx="817">
                  <v>1.05</v>
                </pt>
                <pt idx="818">
                  <v>1.05</v>
                </pt>
                <pt idx="819">
                  <v>1.05</v>
                </pt>
                <pt idx="820">
                  <v>1.05</v>
                </pt>
                <pt idx="821">
                  <v>1.05</v>
                </pt>
                <pt idx="822">
                  <v>1.05</v>
                </pt>
                <pt idx="823">
                  <v>1.05</v>
                </pt>
                <pt idx="824">
                  <v>1.05</v>
                </pt>
                <pt idx="825">
                  <v>1.05</v>
                </pt>
                <pt idx="826">
                  <v>1.05</v>
                </pt>
                <pt idx="827">
                  <v>1.05</v>
                </pt>
                <pt idx="828">
                  <v>1.05</v>
                </pt>
                <pt idx="829">
                  <v>1.05</v>
                </pt>
                <pt idx="830">
                  <v>1.05</v>
                </pt>
                <pt idx="831">
                  <v>1.05</v>
                </pt>
                <pt idx="832">
                  <v>1.05</v>
                </pt>
                <pt idx="833">
                  <v>1.05</v>
                </pt>
                <pt idx="834">
                  <v>1.05</v>
                </pt>
                <pt idx="835">
                  <v>1.05</v>
                </pt>
                <pt idx="836">
                  <v>1.05</v>
                </pt>
                <pt idx="837">
                  <v>1.05</v>
                </pt>
                <pt idx="838">
                  <v>1.05</v>
                </pt>
                <pt idx="839">
                  <v>1.05</v>
                </pt>
                <pt idx="840">
                  <v>1.05</v>
                </pt>
                <pt idx="841">
                  <v>1.05</v>
                </pt>
                <pt idx="842">
                  <v>1.05</v>
                </pt>
                <pt idx="843">
                  <v>1.05</v>
                </pt>
                <pt idx="844">
                  <v>1.05</v>
                </pt>
                <pt idx="845">
                  <v>1.05</v>
                </pt>
                <pt idx="846">
                  <v>1.05</v>
                </pt>
                <pt idx="847">
                  <v>1.05</v>
                </pt>
                <pt idx="848">
                  <v>1.05</v>
                </pt>
                <pt idx="849">
                  <v>1.05</v>
                </pt>
                <pt idx="850">
                  <v>1.05</v>
                </pt>
                <pt idx="851">
                  <v>1.05</v>
                </pt>
                <pt idx="852">
                  <v>1.05</v>
                </pt>
                <pt idx="853">
                  <v>1.05</v>
                </pt>
                <pt idx="854">
                  <v>1.05</v>
                </pt>
                <pt idx="855">
                  <v>1.05</v>
                </pt>
                <pt idx="856">
                  <v>1.05</v>
                </pt>
                <pt idx="857">
                  <v>1.05</v>
                </pt>
                <pt idx="858">
                  <v>1.05</v>
                </pt>
                <pt idx="859">
                  <v>1.05</v>
                </pt>
                <pt idx="860">
                  <v>1.05</v>
                </pt>
                <pt idx="861">
                  <v>1.05</v>
                </pt>
                <pt idx="862">
                  <v>1.05</v>
                </pt>
                <pt idx="863">
                  <v>1.05</v>
                </pt>
                <pt idx="864">
                  <v>1.05</v>
                </pt>
                <pt idx="865">
                  <v>1.05</v>
                </pt>
                <pt idx="866">
                  <v>1.05</v>
                </pt>
                <pt idx="867">
                  <v>1.05</v>
                </pt>
                <pt idx="868">
                  <v>1.05</v>
                </pt>
                <pt idx="869">
                  <v>1.05</v>
                </pt>
                <pt idx="870">
                  <v>1.05</v>
                </pt>
                <pt idx="871">
                  <v>1.05</v>
                </pt>
                <pt idx="872">
                  <v>1.05</v>
                </pt>
                <pt idx="873">
                  <v>1.05</v>
                </pt>
                <pt idx="874">
                  <v>1.05</v>
                </pt>
                <pt idx="875">
                  <v>1.05</v>
                </pt>
                <pt idx="876">
                  <v>1.05</v>
                </pt>
                <pt idx="877">
                  <v>1.05</v>
                </pt>
                <pt idx="878">
                  <v>1.05</v>
                </pt>
                <pt idx="879">
                  <v>1.05</v>
                </pt>
                <pt idx="880">
                  <v>1.05</v>
                </pt>
                <pt idx="881">
                  <v>1.05</v>
                </pt>
                <pt idx="882">
                  <v>1.05</v>
                </pt>
                <pt idx="883">
                  <v>1.05</v>
                </pt>
                <pt idx="884">
                  <v>1.05</v>
                </pt>
                <pt idx="885">
                  <v>1.05</v>
                </pt>
                <pt idx="886">
                  <v>1.05</v>
                </pt>
                <pt idx="887">
                  <v>1.05</v>
                </pt>
                <pt idx="888">
                  <v>1.05</v>
                </pt>
                <pt idx="889">
                  <v>1.05</v>
                </pt>
                <pt idx="890">
                  <v>1.05</v>
                </pt>
                <pt idx="891">
                  <v>1.05</v>
                </pt>
                <pt idx="892">
                  <v>1.05</v>
                </pt>
                <pt idx="893">
                  <v>1.05</v>
                </pt>
                <pt idx="894">
                  <v>1.05</v>
                </pt>
                <pt idx="895">
                  <v>1.05</v>
                </pt>
                <pt idx="896">
                  <v>1.05</v>
                </pt>
                <pt idx="897">
                  <v>1.05</v>
                </pt>
                <pt idx="898">
                  <v>1.05</v>
                </pt>
                <pt idx="899">
                  <v>1.05</v>
                </pt>
                <pt idx="900">
                  <v>1.05</v>
                </pt>
                <pt idx="901">
                  <v>1.05</v>
                </pt>
                <pt idx="902">
                  <v>1.05</v>
                </pt>
                <pt idx="903">
                  <v>1.05</v>
                </pt>
                <pt idx="904">
                  <v>1.05</v>
                </pt>
                <pt idx="905">
                  <v>1.05</v>
                </pt>
                <pt idx="906">
                  <v>1.05</v>
                </pt>
                <pt idx="907">
                  <v>1.05</v>
                </pt>
                <pt idx="908">
                  <v>1.05</v>
                </pt>
                <pt idx="909">
                  <v>1.05</v>
                </pt>
                <pt idx="910">
                  <v>1.05</v>
                </pt>
                <pt idx="911">
                  <v>1.05</v>
                </pt>
                <pt idx="912">
                  <v>1.05</v>
                </pt>
                <pt idx="913">
                  <v>1.05</v>
                </pt>
                <pt idx="914">
                  <v>1.05</v>
                </pt>
                <pt idx="915">
                  <v>1.05</v>
                </pt>
                <pt idx="916">
                  <v>1.05</v>
                </pt>
                <pt idx="917">
                  <v>1.05</v>
                </pt>
                <pt idx="918">
                  <v>1.05</v>
                </pt>
                <pt idx="919">
                  <v>1.05</v>
                </pt>
                <pt idx="920">
                  <v>1.05</v>
                </pt>
                <pt idx="921">
                  <v>1.05</v>
                </pt>
                <pt idx="922">
                  <v>1.05</v>
                </pt>
                <pt idx="923">
                  <v>1.05</v>
                </pt>
                <pt idx="924">
                  <v>1.05</v>
                </pt>
                <pt idx="925">
                  <v>1.05</v>
                </pt>
                <pt idx="926">
                  <v>1.05</v>
                </pt>
                <pt idx="927">
                  <v>1.05</v>
                </pt>
                <pt idx="928">
                  <v>1.05</v>
                </pt>
                <pt idx="929">
                  <v>1.05</v>
                </pt>
                <pt idx="930">
                  <v>1.05</v>
                </pt>
                <pt idx="931">
                  <v>1.05</v>
                </pt>
                <pt idx="932">
                  <v>1.05</v>
                </pt>
                <pt idx="933">
                  <v>1.05</v>
                </pt>
                <pt idx="934">
                  <v>1.05</v>
                </pt>
                <pt idx="935">
                  <v>1.05</v>
                </pt>
                <pt idx="936">
                  <v>1.05</v>
                </pt>
                <pt idx="937">
                  <v>1.05</v>
                </pt>
                <pt idx="938">
                  <v>1.05</v>
                </pt>
                <pt idx="939">
                  <v>1.05</v>
                </pt>
                <pt idx="940">
                  <v>1.05</v>
                </pt>
                <pt idx="941">
                  <v>1.05</v>
                </pt>
                <pt idx="942">
                  <v>1.05</v>
                </pt>
                <pt idx="943">
                  <v>1.05</v>
                </pt>
                <pt idx="944">
                  <v>1.05</v>
                </pt>
                <pt idx="945">
                  <v>1.05</v>
                </pt>
                <pt idx="946">
                  <v>1.05</v>
                </pt>
                <pt idx="947">
                  <v>1.05</v>
                </pt>
                <pt idx="948">
                  <v>1.05</v>
                </pt>
                <pt idx="949">
                  <v>1.05</v>
                </pt>
                <pt idx="950">
                  <v>1.05</v>
                </pt>
                <pt idx="951">
                  <v>1.05</v>
                </pt>
                <pt idx="952">
                  <v>1.05</v>
                </pt>
                <pt idx="953">
                  <v>1.05</v>
                </pt>
                <pt idx="954">
                  <v>1.05</v>
                </pt>
                <pt idx="955">
                  <v>1.05</v>
                </pt>
                <pt idx="956">
                  <v>1.05</v>
                </pt>
                <pt idx="957">
                  <v>1.05</v>
                </pt>
                <pt idx="958">
                  <v>1.05</v>
                </pt>
                <pt idx="959">
                  <v>1.05</v>
                </pt>
                <pt idx="960">
                  <v>1.05</v>
                </pt>
                <pt idx="961">
                  <v>1.05</v>
                </pt>
                <pt idx="962">
                  <v>1.05</v>
                </pt>
                <pt idx="963">
                  <v>1.05</v>
                </pt>
                <pt idx="964">
                  <v>1.05</v>
                </pt>
                <pt idx="965">
                  <v>1.05</v>
                </pt>
                <pt idx="966">
                  <v>1.05</v>
                </pt>
                <pt idx="967">
                  <v>1.05</v>
                </pt>
                <pt idx="968">
                  <v>1.05</v>
                </pt>
                <pt idx="969">
                  <v>1.05</v>
                </pt>
                <pt idx="970">
                  <v>1.05</v>
                </pt>
                <pt idx="971">
                  <v>1.05</v>
                </pt>
                <pt idx="972">
                  <v>1.05</v>
                </pt>
                <pt idx="973">
                  <v>1.05</v>
                </pt>
                <pt idx="974">
                  <v>1.05</v>
                </pt>
                <pt idx="975">
                  <v>1.05</v>
                </pt>
                <pt idx="976">
                  <v>1.05</v>
                </pt>
                <pt idx="977">
                  <v>1.05</v>
                </pt>
                <pt idx="978">
                  <v>1.05</v>
                </pt>
                <pt idx="979">
                  <v>1.05</v>
                </pt>
                <pt idx="980">
                  <v>1.05</v>
                </pt>
                <pt idx="981">
                  <v>1.05</v>
                </pt>
                <pt idx="982">
                  <v>1.05</v>
                </pt>
                <pt idx="983">
                  <v>1.05</v>
                </pt>
                <pt idx="984">
                  <v>1.05</v>
                </pt>
                <pt idx="985">
                  <v>1.05</v>
                </pt>
                <pt idx="986">
                  <v>1.05</v>
                </pt>
                <pt idx="987">
                  <v>1.05</v>
                </pt>
                <pt idx="988">
                  <v>1.05</v>
                </pt>
                <pt idx="989">
                  <v>1.05</v>
                </pt>
                <pt idx="990">
                  <v>1.05</v>
                </pt>
                <pt idx="991">
                  <v>1.05</v>
                </pt>
                <pt idx="992">
                  <v>1.05</v>
                </pt>
                <pt idx="993">
                  <v>1.05</v>
                </pt>
                <pt idx="994">
                  <v>1.05</v>
                </pt>
                <pt idx="995">
                  <v>1.05</v>
                </pt>
                <pt idx="996">
                  <v>1.05</v>
                </pt>
                <pt idx="997">
                  <v>1.05</v>
                </pt>
                <pt idx="998">
                  <v>1.05</v>
                </pt>
                <pt idx="999">
                  <v>1.05</v>
                </pt>
                <pt idx="1000">
                  <v>1.05</v>
                </pt>
              </numCache>
            </numRef>
          </val>
          <smooth val="0"/>
        </ser>
        <ser>
          <idx val="4"/>
          <order val="4"/>
          <tx>
            <strRef>
              <f>Лист3!$Y$1</f>
              <strCache>
                <ptCount val="1"/>
                <pt idx="0">
                  <v>Граница низ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Лист3!$Y$2:$Y$1002</f>
              <numCache>
                <formatCode>0.000</formatCode>
                <ptCount val="1001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  <pt idx="12">
                  <v>0.95</v>
                </pt>
                <pt idx="13">
                  <v>0.95</v>
                </pt>
                <pt idx="14">
                  <v>0.95</v>
                </pt>
                <pt idx="15">
                  <v>0.95</v>
                </pt>
                <pt idx="16">
                  <v>0.95</v>
                </pt>
                <pt idx="17">
                  <v>0.95</v>
                </pt>
                <pt idx="18">
                  <v>0.95</v>
                </pt>
                <pt idx="19">
                  <v>0.95</v>
                </pt>
                <pt idx="20">
                  <v>0.95</v>
                </pt>
                <pt idx="21">
                  <v>0.95</v>
                </pt>
                <pt idx="22">
                  <v>0.95</v>
                </pt>
                <pt idx="23">
                  <v>0.95</v>
                </pt>
                <pt idx="24">
                  <v>0.95</v>
                </pt>
                <pt idx="25">
                  <v>0.95</v>
                </pt>
                <pt idx="26">
                  <v>0.95</v>
                </pt>
                <pt idx="27">
                  <v>0.95</v>
                </pt>
                <pt idx="28">
                  <v>0.95</v>
                </pt>
                <pt idx="29">
                  <v>0.95</v>
                </pt>
                <pt idx="30">
                  <v>0.95</v>
                </pt>
                <pt idx="31">
                  <v>0.95</v>
                </pt>
                <pt idx="32">
                  <v>0.95</v>
                </pt>
                <pt idx="33">
                  <v>0.95</v>
                </pt>
                <pt idx="34">
                  <v>0.95</v>
                </pt>
                <pt idx="35">
                  <v>0.95</v>
                </pt>
                <pt idx="36">
                  <v>0.95</v>
                </pt>
                <pt idx="37">
                  <v>0.95</v>
                </pt>
                <pt idx="38">
                  <v>0.95</v>
                </pt>
                <pt idx="39">
                  <v>0.95</v>
                </pt>
                <pt idx="40">
                  <v>9.5</v>
                </pt>
                <pt idx="41">
                  <v>9.5</v>
                </pt>
                <pt idx="42">
                  <v>9.5</v>
                </pt>
                <pt idx="43">
                  <v>9.5</v>
                </pt>
                <pt idx="44">
                  <v>9.5</v>
                </pt>
                <pt idx="45">
                  <v>9.5</v>
                </pt>
                <pt idx="46">
                  <v>9.5</v>
                </pt>
                <pt idx="47">
                  <v>9.5</v>
                </pt>
                <pt idx="48">
                  <v>9.5</v>
                </pt>
                <pt idx="49">
                  <v>9.5</v>
                </pt>
                <pt idx="50">
                  <v>9.5</v>
                </pt>
                <pt idx="51">
                  <v>9.5</v>
                </pt>
                <pt idx="52">
                  <v>9.5</v>
                </pt>
                <pt idx="53">
                  <v>9.5</v>
                </pt>
                <pt idx="54">
                  <v>9.5</v>
                </pt>
                <pt idx="55">
                  <v>9.5</v>
                </pt>
                <pt idx="56">
                  <v>9.5</v>
                </pt>
                <pt idx="57">
                  <v>9.5</v>
                </pt>
                <pt idx="58">
                  <v>9.5</v>
                </pt>
                <pt idx="59">
                  <v>9.5</v>
                </pt>
                <pt idx="60">
                  <v>9.5</v>
                </pt>
                <pt idx="61">
                  <v>9.5</v>
                </pt>
                <pt idx="62">
                  <v>9.5</v>
                </pt>
                <pt idx="63">
                  <v>9.5</v>
                </pt>
                <pt idx="64">
                  <v>9.5</v>
                </pt>
                <pt idx="65">
                  <v>9.5</v>
                </pt>
                <pt idx="66">
                  <v>9.5</v>
                </pt>
                <pt idx="67">
                  <v>9.5</v>
                </pt>
                <pt idx="68">
                  <v>9.5</v>
                </pt>
                <pt idx="69">
                  <v>9.5</v>
                </pt>
                <pt idx="70">
                  <v>9.5</v>
                </pt>
                <pt idx="71">
                  <v>9.5</v>
                </pt>
                <pt idx="72">
                  <v>9.5</v>
                </pt>
                <pt idx="73">
                  <v>9.5</v>
                </pt>
                <pt idx="74">
                  <v>9.5</v>
                </pt>
                <pt idx="75">
                  <v>9.5</v>
                </pt>
                <pt idx="76">
                  <v>9.5</v>
                </pt>
                <pt idx="77">
                  <v>9.5</v>
                </pt>
                <pt idx="78">
                  <v>9.5</v>
                </pt>
                <pt idx="79">
                  <v>9.5</v>
                </pt>
                <pt idx="80">
                  <v>9.5</v>
                </pt>
                <pt idx="81">
                  <v>9.5</v>
                </pt>
                <pt idx="82">
                  <v>9.5</v>
                </pt>
                <pt idx="83">
                  <v>9.5</v>
                </pt>
                <pt idx="84">
                  <v>9.5</v>
                </pt>
                <pt idx="85">
                  <v>9.5</v>
                </pt>
                <pt idx="86">
                  <v>9.5</v>
                </pt>
                <pt idx="87">
                  <v>9.5</v>
                </pt>
                <pt idx="88">
                  <v>9.5</v>
                </pt>
                <pt idx="89">
                  <v>9.5</v>
                </pt>
                <pt idx="90">
                  <v>9.5</v>
                </pt>
                <pt idx="91">
                  <v>9.5</v>
                </pt>
                <pt idx="92">
                  <v>9.5</v>
                </pt>
                <pt idx="93">
                  <v>9.5</v>
                </pt>
                <pt idx="94">
                  <v>9.5</v>
                </pt>
                <pt idx="95">
                  <v>9.5</v>
                </pt>
                <pt idx="96">
                  <v>9.5</v>
                </pt>
                <pt idx="97">
                  <v>9.5</v>
                </pt>
                <pt idx="98">
                  <v>9.5</v>
                </pt>
                <pt idx="99">
                  <v>9.5</v>
                </pt>
                <pt idx="100">
                  <v>9.5</v>
                </pt>
                <pt idx="101">
                  <v>9.5</v>
                </pt>
                <pt idx="102">
                  <v>9.5</v>
                </pt>
                <pt idx="103">
                  <v>9.5</v>
                </pt>
                <pt idx="104">
                  <v>9.5</v>
                </pt>
                <pt idx="105">
                  <v>9.5</v>
                </pt>
                <pt idx="106">
                  <v>9.5</v>
                </pt>
                <pt idx="107">
                  <v>9.5</v>
                </pt>
                <pt idx="108">
                  <v>9.5</v>
                </pt>
                <pt idx="109">
                  <v>9.5</v>
                </pt>
                <pt idx="110">
                  <v>9.5</v>
                </pt>
                <pt idx="111">
                  <v>9.5</v>
                </pt>
                <pt idx="112">
                  <v>9.5</v>
                </pt>
                <pt idx="113">
                  <v>9.5</v>
                </pt>
                <pt idx="114">
                  <v>9.5</v>
                </pt>
                <pt idx="115">
                  <v>9.5</v>
                </pt>
                <pt idx="116">
                  <v>9.5</v>
                </pt>
                <pt idx="117">
                  <v>9.5</v>
                </pt>
                <pt idx="118">
                  <v>9.5</v>
                </pt>
                <pt idx="119">
                  <v>9.5</v>
                </pt>
                <pt idx="120">
                  <v>9.5</v>
                </pt>
                <pt idx="121">
                  <v>9.5</v>
                </pt>
                <pt idx="122">
                  <v>9.5</v>
                </pt>
                <pt idx="123">
                  <v>9.5</v>
                </pt>
                <pt idx="124">
                  <v>9.5</v>
                </pt>
                <pt idx="125">
                  <v>9.5</v>
                </pt>
                <pt idx="126">
                  <v>9.5</v>
                </pt>
                <pt idx="127">
                  <v>9.5</v>
                </pt>
                <pt idx="128">
                  <v>9.5</v>
                </pt>
                <pt idx="129">
                  <v>9.5</v>
                </pt>
                <pt idx="130">
                  <v>9.5</v>
                </pt>
                <pt idx="131">
                  <v>9.5</v>
                </pt>
                <pt idx="132">
                  <v>9.5</v>
                </pt>
                <pt idx="133">
                  <v>9.5</v>
                </pt>
                <pt idx="134">
                  <v>9.5</v>
                </pt>
                <pt idx="135">
                  <v>9.5</v>
                </pt>
                <pt idx="136">
                  <v>9.5</v>
                </pt>
                <pt idx="137">
                  <v>9.5</v>
                </pt>
                <pt idx="138">
                  <v>9.5</v>
                </pt>
                <pt idx="139">
                  <v>9.5</v>
                </pt>
                <pt idx="140">
                  <v>9.5</v>
                </pt>
                <pt idx="141">
                  <v>9.5</v>
                </pt>
                <pt idx="142">
                  <v>9.5</v>
                </pt>
                <pt idx="143">
                  <v>9.5</v>
                </pt>
                <pt idx="144">
                  <v>9.5</v>
                </pt>
                <pt idx="145">
                  <v>9.5</v>
                </pt>
                <pt idx="146">
                  <v>9.5</v>
                </pt>
                <pt idx="147">
                  <v>9.5</v>
                </pt>
                <pt idx="148">
                  <v>9.5</v>
                </pt>
                <pt idx="149">
                  <v>9.5</v>
                </pt>
                <pt idx="150">
                  <v>9.5</v>
                </pt>
                <pt idx="151">
                  <v>9.5</v>
                </pt>
                <pt idx="152">
                  <v>9.5</v>
                </pt>
                <pt idx="153">
                  <v>9.5</v>
                </pt>
                <pt idx="154">
                  <v>9.5</v>
                </pt>
                <pt idx="155">
                  <v>9.5</v>
                </pt>
                <pt idx="156">
                  <v>9.5</v>
                </pt>
                <pt idx="157">
                  <v>9.5</v>
                </pt>
                <pt idx="158">
                  <v>9.5</v>
                </pt>
                <pt idx="159">
                  <v>9.5</v>
                </pt>
                <pt idx="160">
                  <v>9.5</v>
                </pt>
                <pt idx="161">
                  <v>9.5</v>
                </pt>
                <pt idx="162">
                  <v>9.5</v>
                </pt>
                <pt idx="163">
                  <v>9.5</v>
                </pt>
                <pt idx="164">
                  <v>9.5</v>
                </pt>
                <pt idx="165">
                  <v>9.5</v>
                </pt>
                <pt idx="166">
                  <v>9.5</v>
                </pt>
                <pt idx="167">
                  <v>9.5</v>
                </pt>
                <pt idx="168">
                  <v>9.5</v>
                </pt>
                <pt idx="169">
                  <v>9.5</v>
                </pt>
                <pt idx="170">
                  <v>9.5</v>
                </pt>
                <pt idx="171">
                  <v>9.5</v>
                </pt>
                <pt idx="172">
                  <v>9.5</v>
                </pt>
                <pt idx="173">
                  <v>9.5</v>
                </pt>
                <pt idx="174">
                  <v>9.5</v>
                </pt>
                <pt idx="175">
                  <v>9.5</v>
                </pt>
                <pt idx="176">
                  <v>9.5</v>
                </pt>
                <pt idx="177">
                  <v>9.5</v>
                </pt>
                <pt idx="178">
                  <v>9.5</v>
                </pt>
                <pt idx="179">
                  <v>9.5</v>
                </pt>
                <pt idx="180">
                  <v>9.5</v>
                </pt>
                <pt idx="181">
                  <v>9.5</v>
                </pt>
                <pt idx="182">
                  <v>9.5</v>
                </pt>
                <pt idx="183">
                  <v>9.5</v>
                </pt>
                <pt idx="184">
                  <v>9.5</v>
                </pt>
                <pt idx="185">
                  <v>9.5</v>
                </pt>
                <pt idx="186">
                  <v>9.5</v>
                </pt>
                <pt idx="187">
                  <v>9.5</v>
                </pt>
                <pt idx="188">
                  <v>9.5</v>
                </pt>
                <pt idx="189">
                  <v>9.5</v>
                </pt>
                <pt idx="190">
                  <v>9.5</v>
                </pt>
                <pt idx="191">
                  <v>9.5</v>
                </pt>
                <pt idx="192">
                  <v>9.5</v>
                </pt>
                <pt idx="193">
                  <v>9.5</v>
                </pt>
                <pt idx="194">
                  <v>9.5</v>
                </pt>
                <pt idx="195">
                  <v>9.5</v>
                </pt>
                <pt idx="196">
                  <v>9.5</v>
                </pt>
                <pt idx="197">
                  <v>9.5</v>
                </pt>
                <pt idx="198">
                  <v>9.5</v>
                </pt>
                <pt idx="199">
                  <v>9.5</v>
                </pt>
                <pt idx="200">
                  <v>9.5</v>
                </pt>
                <pt idx="201">
                  <v>9.5</v>
                </pt>
                <pt idx="202">
                  <v>9.5</v>
                </pt>
                <pt idx="203">
                  <v>9.5</v>
                </pt>
                <pt idx="204">
                  <v>9.5</v>
                </pt>
                <pt idx="205">
                  <v>9.5</v>
                </pt>
                <pt idx="206">
                  <v>9.5</v>
                </pt>
                <pt idx="207">
                  <v>9.5</v>
                </pt>
                <pt idx="208">
                  <v>9.5</v>
                </pt>
                <pt idx="209">
                  <v>9.5</v>
                </pt>
                <pt idx="210">
                  <v>9.5</v>
                </pt>
                <pt idx="211">
                  <v>9.5</v>
                </pt>
                <pt idx="212">
                  <v>9.5</v>
                </pt>
                <pt idx="213">
                  <v>9.5</v>
                </pt>
                <pt idx="214">
                  <v>9.5</v>
                </pt>
                <pt idx="215">
                  <v>9.5</v>
                </pt>
                <pt idx="216">
                  <v>9.5</v>
                </pt>
                <pt idx="217">
                  <v>9.5</v>
                </pt>
                <pt idx="218">
                  <v>9.5</v>
                </pt>
                <pt idx="219">
                  <v>9.5</v>
                </pt>
                <pt idx="220">
                  <v>9.5</v>
                </pt>
                <pt idx="221">
                  <v>9.5</v>
                </pt>
                <pt idx="222">
                  <v>9.5</v>
                </pt>
                <pt idx="223">
                  <v>9.5</v>
                </pt>
                <pt idx="224">
                  <v>9.5</v>
                </pt>
                <pt idx="225">
                  <v>9.5</v>
                </pt>
                <pt idx="226">
                  <v>9.5</v>
                </pt>
                <pt idx="227">
                  <v>9.5</v>
                </pt>
                <pt idx="228">
                  <v>9.5</v>
                </pt>
                <pt idx="229">
                  <v>9.5</v>
                </pt>
                <pt idx="230">
                  <v>9.5</v>
                </pt>
                <pt idx="231">
                  <v>9.5</v>
                </pt>
                <pt idx="232">
                  <v>9.5</v>
                </pt>
                <pt idx="233">
                  <v>9.5</v>
                </pt>
                <pt idx="234">
                  <v>9.5</v>
                </pt>
                <pt idx="235">
                  <v>9.5</v>
                </pt>
                <pt idx="236">
                  <v>9.5</v>
                </pt>
                <pt idx="237">
                  <v>9.5</v>
                </pt>
                <pt idx="238">
                  <v>9.5</v>
                </pt>
                <pt idx="239">
                  <v>9.5</v>
                </pt>
                <pt idx="240">
                  <v>9.5</v>
                </pt>
                <pt idx="241">
                  <v>9.5</v>
                </pt>
                <pt idx="242">
                  <v>9.5</v>
                </pt>
                <pt idx="243">
                  <v>9.5</v>
                </pt>
                <pt idx="244">
                  <v>9.5</v>
                </pt>
                <pt idx="245">
                  <v>9.5</v>
                </pt>
                <pt idx="246">
                  <v>9.5</v>
                </pt>
                <pt idx="247">
                  <v>9.5</v>
                </pt>
                <pt idx="248">
                  <v>9.5</v>
                </pt>
                <pt idx="249">
                  <v>9.5</v>
                </pt>
                <pt idx="250">
                  <v>9.5</v>
                </pt>
                <pt idx="251">
                  <v>9.5</v>
                </pt>
                <pt idx="252">
                  <v>9.5</v>
                </pt>
                <pt idx="253">
                  <v>9.5</v>
                </pt>
                <pt idx="254">
                  <v>9.5</v>
                </pt>
                <pt idx="255">
                  <v>9.5</v>
                </pt>
                <pt idx="256">
                  <v>9.5</v>
                </pt>
                <pt idx="257">
                  <v>9.5</v>
                </pt>
                <pt idx="258">
                  <v>9.5</v>
                </pt>
                <pt idx="259">
                  <v>9.5</v>
                </pt>
                <pt idx="260">
                  <v>9.5</v>
                </pt>
                <pt idx="261">
                  <v>9.5</v>
                </pt>
                <pt idx="262">
                  <v>9.5</v>
                </pt>
                <pt idx="263">
                  <v>9.5</v>
                </pt>
                <pt idx="264">
                  <v>9.5</v>
                </pt>
                <pt idx="265">
                  <v>9.5</v>
                </pt>
                <pt idx="266">
                  <v>9.5</v>
                </pt>
                <pt idx="267">
                  <v>9.5</v>
                </pt>
                <pt idx="268">
                  <v>9.5</v>
                </pt>
                <pt idx="269">
                  <v>9.5</v>
                </pt>
                <pt idx="270">
                  <v>9.5</v>
                </pt>
                <pt idx="271">
                  <v>9.5</v>
                </pt>
                <pt idx="272">
                  <v>9.5</v>
                </pt>
                <pt idx="273">
                  <v>9.5</v>
                </pt>
                <pt idx="274">
                  <v>9.5</v>
                </pt>
                <pt idx="275">
                  <v>9.5</v>
                </pt>
                <pt idx="276">
                  <v>9.5</v>
                </pt>
                <pt idx="277">
                  <v>9.5</v>
                </pt>
                <pt idx="278">
                  <v>9.5</v>
                </pt>
                <pt idx="279">
                  <v>9.5</v>
                </pt>
                <pt idx="280">
                  <v>9.5</v>
                </pt>
                <pt idx="281">
                  <v>9.5</v>
                </pt>
                <pt idx="282">
                  <v>9.5</v>
                </pt>
                <pt idx="283">
                  <v>9.5</v>
                </pt>
                <pt idx="284">
                  <v>9.5</v>
                </pt>
                <pt idx="285">
                  <v>9.5</v>
                </pt>
                <pt idx="286">
                  <v>9.5</v>
                </pt>
                <pt idx="287">
                  <v>9.5</v>
                </pt>
                <pt idx="288">
                  <v>9.5</v>
                </pt>
                <pt idx="289">
                  <v>9.5</v>
                </pt>
                <pt idx="290">
                  <v>9.5</v>
                </pt>
                <pt idx="291">
                  <v>9.5</v>
                </pt>
                <pt idx="292">
                  <v>9.5</v>
                </pt>
                <pt idx="293">
                  <v>9.5</v>
                </pt>
                <pt idx="294">
                  <v>9.5</v>
                </pt>
                <pt idx="295">
                  <v>9.5</v>
                </pt>
                <pt idx="296">
                  <v>9.5</v>
                </pt>
                <pt idx="297">
                  <v>9.5</v>
                </pt>
                <pt idx="298">
                  <v>9.5</v>
                </pt>
                <pt idx="299">
                  <v>9.5</v>
                </pt>
                <pt idx="300">
                  <v>9.5</v>
                </pt>
                <pt idx="301">
                  <v>9.5</v>
                </pt>
                <pt idx="302">
                  <v>9.5</v>
                </pt>
                <pt idx="303">
                  <v>9.5</v>
                </pt>
                <pt idx="304">
                  <v>9.5</v>
                </pt>
                <pt idx="305">
                  <v>9.5</v>
                </pt>
                <pt idx="306">
                  <v>9.5</v>
                </pt>
                <pt idx="307">
                  <v>9.5</v>
                </pt>
                <pt idx="308">
                  <v>9.5</v>
                </pt>
                <pt idx="309">
                  <v>9.5</v>
                </pt>
                <pt idx="310">
                  <v>9.5</v>
                </pt>
                <pt idx="311">
                  <v>9.5</v>
                </pt>
                <pt idx="312">
                  <v>9.5</v>
                </pt>
                <pt idx="313">
                  <v>9.5</v>
                </pt>
                <pt idx="314">
                  <v>9.5</v>
                </pt>
                <pt idx="315">
                  <v>9.5</v>
                </pt>
                <pt idx="316">
                  <v>9.5</v>
                </pt>
                <pt idx="317">
                  <v>9.5</v>
                </pt>
                <pt idx="318">
                  <v>9.5</v>
                </pt>
                <pt idx="319">
                  <v>9.5</v>
                </pt>
                <pt idx="320">
                  <v>9.5</v>
                </pt>
                <pt idx="321">
                  <v>9.5</v>
                </pt>
                <pt idx="322">
                  <v>9.5</v>
                </pt>
                <pt idx="323">
                  <v>9.5</v>
                </pt>
                <pt idx="324">
                  <v>9.5</v>
                </pt>
                <pt idx="325">
                  <v>9.5</v>
                </pt>
                <pt idx="326">
                  <v>9.5</v>
                </pt>
                <pt idx="327">
                  <v>9.5</v>
                </pt>
                <pt idx="328">
                  <v>9.5</v>
                </pt>
                <pt idx="329">
                  <v>9.5</v>
                </pt>
                <pt idx="330">
                  <v>9.5</v>
                </pt>
                <pt idx="331">
                  <v>9.5</v>
                </pt>
                <pt idx="332">
                  <v>9.5</v>
                </pt>
                <pt idx="333">
                  <v>9.5</v>
                </pt>
                <pt idx="334">
                  <v>9.5</v>
                </pt>
                <pt idx="335">
                  <v>9.5</v>
                </pt>
                <pt idx="336">
                  <v>9.5</v>
                </pt>
                <pt idx="337">
                  <v>9.5</v>
                </pt>
                <pt idx="338">
                  <v>9.5</v>
                </pt>
                <pt idx="339">
                  <v>9.5</v>
                </pt>
                <pt idx="340">
                  <v>9.5</v>
                </pt>
                <pt idx="341">
                  <v>9.5</v>
                </pt>
                <pt idx="342">
                  <v>9.5</v>
                </pt>
                <pt idx="343">
                  <v>9.5</v>
                </pt>
                <pt idx="344">
                  <v>9.5</v>
                </pt>
                <pt idx="345">
                  <v>9.5</v>
                </pt>
                <pt idx="346">
                  <v>9.5</v>
                </pt>
                <pt idx="347">
                  <v>9.5</v>
                </pt>
                <pt idx="348">
                  <v>9.5</v>
                </pt>
                <pt idx="349">
                  <v>9.5</v>
                </pt>
                <pt idx="350">
                  <v>9.5</v>
                </pt>
                <pt idx="351">
                  <v>9.5</v>
                </pt>
                <pt idx="352">
                  <v>9.5</v>
                </pt>
                <pt idx="353">
                  <v>9.5</v>
                </pt>
                <pt idx="354">
                  <v>9.5</v>
                </pt>
                <pt idx="355">
                  <v>9.5</v>
                </pt>
                <pt idx="356">
                  <v>9.5</v>
                </pt>
                <pt idx="357">
                  <v>9.5</v>
                </pt>
                <pt idx="358">
                  <v>9.5</v>
                </pt>
                <pt idx="359">
                  <v>9.5</v>
                </pt>
                <pt idx="360">
                  <v>9.5</v>
                </pt>
                <pt idx="361">
                  <v>9.5</v>
                </pt>
                <pt idx="362">
                  <v>9.5</v>
                </pt>
                <pt idx="363">
                  <v>9.5</v>
                </pt>
                <pt idx="364">
                  <v>9.5</v>
                </pt>
                <pt idx="365">
                  <v>9.5</v>
                </pt>
                <pt idx="366">
                  <v>9.5</v>
                </pt>
                <pt idx="367">
                  <v>9.5</v>
                </pt>
                <pt idx="368">
                  <v>9.5</v>
                </pt>
                <pt idx="369">
                  <v>9.5</v>
                </pt>
                <pt idx="370">
                  <v>9.5</v>
                </pt>
                <pt idx="371">
                  <v>9.5</v>
                </pt>
                <pt idx="372">
                  <v>9.5</v>
                </pt>
                <pt idx="373">
                  <v>9.5</v>
                </pt>
                <pt idx="374">
                  <v>9.5</v>
                </pt>
                <pt idx="375">
                  <v>9.5</v>
                </pt>
                <pt idx="376">
                  <v>9.5</v>
                </pt>
                <pt idx="377">
                  <v>9.5</v>
                </pt>
                <pt idx="378">
                  <v>9.5</v>
                </pt>
                <pt idx="379">
                  <v>9.5</v>
                </pt>
                <pt idx="380">
                  <v>9.5</v>
                </pt>
                <pt idx="381">
                  <v>9.5</v>
                </pt>
                <pt idx="382">
                  <v>9.5</v>
                </pt>
                <pt idx="383">
                  <v>9.5</v>
                </pt>
                <pt idx="384">
                  <v>9.5</v>
                </pt>
                <pt idx="385">
                  <v>9.5</v>
                </pt>
                <pt idx="386">
                  <v>9.5</v>
                </pt>
                <pt idx="387">
                  <v>9.5</v>
                </pt>
                <pt idx="388">
                  <v>9.5</v>
                </pt>
                <pt idx="389">
                  <v>9.5</v>
                </pt>
                <pt idx="390">
                  <v>9.5</v>
                </pt>
                <pt idx="391">
                  <v>9.5</v>
                </pt>
                <pt idx="392">
                  <v>9.5</v>
                </pt>
                <pt idx="393">
                  <v>9.5</v>
                </pt>
                <pt idx="394">
                  <v>9.5</v>
                </pt>
                <pt idx="395">
                  <v>9.5</v>
                </pt>
                <pt idx="396">
                  <v>9.5</v>
                </pt>
                <pt idx="397">
                  <v>9.5</v>
                </pt>
                <pt idx="398">
                  <v>9.5</v>
                </pt>
                <pt idx="399">
                  <v>9.5</v>
                </pt>
                <pt idx="400">
                  <v>9.5</v>
                </pt>
                <pt idx="401">
                  <v>9.5</v>
                </pt>
                <pt idx="402">
                  <v>9.5</v>
                </pt>
                <pt idx="403">
                  <v>9.5</v>
                </pt>
                <pt idx="404">
                  <v>9.5</v>
                </pt>
                <pt idx="405">
                  <v>9.5</v>
                </pt>
                <pt idx="406">
                  <v>9.5</v>
                </pt>
                <pt idx="407">
                  <v>9.5</v>
                </pt>
                <pt idx="408">
                  <v>9.5</v>
                </pt>
                <pt idx="409">
                  <v>9.5</v>
                </pt>
                <pt idx="410">
                  <v>9.5</v>
                </pt>
                <pt idx="411">
                  <v>9.5</v>
                </pt>
                <pt idx="412">
                  <v>9.5</v>
                </pt>
                <pt idx="413">
                  <v>9.5</v>
                </pt>
                <pt idx="414">
                  <v>9.5</v>
                </pt>
                <pt idx="415">
                  <v>9.5</v>
                </pt>
                <pt idx="416">
                  <v>9.5</v>
                </pt>
                <pt idx="417">
                  <v>9.5</v>
                </pt>
                <pt idx="418">
                  <v>9.5</v>
                </pt>
                <pt idx="419">
                  <v>9.5</v>
                </pt>
                <pt idx="420">
                  <v>9.5</v>
                </pt>
                <pt idx="421">
                  <v>9.5</v>
                </pt>
                <pt idx="422">
                  <v>9.5</v>
                </pt>
                <pt idx="423">
                  <v>9.5</v>
                </pt>
                <pt idx="424">
                  <v>9.5</v>
                </pt>
                <pt idx="425">
                  <v>9.5</v>
                </pt>
                <pt idx="426">
                  <v>9.5</v>
                </pt>
                <pt idx="427">
                  <v>9.5</v>
                </pt>
                <pt idx="428">
                  <v>9.5</v>
                </pt>
                <pt idx="429">
                  <v>9.5</v>
                </pt>
                <pt idx="430">
                  <v>9.5</v>
                </pt>
                <pt idx="431">
                  <v>9.5</v>
                </pt>
                <pt idx="432">
                  <v>9.5</v>
                </pt>
                <pt idx="433">
                  <v>9.5</v>
                </pt>
                <pt idx="434">
                  <v>9.5</v>
                </pt>
                <pt idx="435">
                  <v>9.5</v>
                </pt>
                <pt idx="436">
                  <v>9.5</v>
                </pt>
                <pt idx="437">
                  <v>9.5</v>
                </pt>
                <pt idx="438">
                  <v>9.5</v>
                </pt>
                <pt idx="439">
                  <v>9.5</v>
                </pt>
                <pt idx="440">
                  <v>9.5</v>
                </pt>
                <pt idx="441">
                  <v>9.5</v>
                </pt>
                <pt idx="442">
                  <v>9.5</v>
                </pt>
                <pt idx="443">
                  <v>9.5</v>
                </pt>
                <pt idx="444">
                  <v>9.5</v>
                </pt>
                <pt idx="445">
                  <v>9.5</v>
                </pt>
                <pt idx="446">
                  <v>9.5</v>
                </pt>
                <pt idx="447">
                  <v>9.5</v>
                </pt>
                <pt idx="448">
                  <v>9.5</v>
                </pt>
                <pt idx="449">
                  <v>9.5</v>
                </pt>
                <pt idx="450">
                  <v>9.5</v>
                </pt>
                <pt idx="451">
                  <v>9.5</v>
                </pt>
                <pt idx="452">
                  <v>9.5</v>
                </pt>
                <pt idx="453">
                  <v>9.5</v>
                </pt>
                <pt idx="454">
                  <v>9.5</v>
                </pt>
                <pt idx="455">
                  <v>9.5</v>
                </pt>
                <pt idx="456">
                  <v>9.5</v>
                </pt>
                <pt idx="457">
                  <v>9.5</v>
                </pt>
                <pt idx="458">
                  <v>9.5</v>
                </pt>
                <pt idx="459">
                  <v>9.5</v>
                </pt>
                <pt idx="460">
                  <v>9.5</v>
                </pt>
                <pt idx="461">
                  <v>9.5</v>
                </pt>
                <pt idx="462">
                  <v>9.5</v>
                </pt>
                <pt idx="463">
                  <v>9.5</v>
                </pt>
                <pt idx="464">
                  <v>9.5</v>
                </pt>
                <pt idx="465">
                  <v>9.5</v>
                </pt>
                <pt idx="466">
                  <v>9.5</v>
                </pt>
                <pt idx="467">
                  <v>9.5</v>
                </pt>
                <pt idx="468">
                  <v>9.5</v>
                </pt>
                <pt idx="469">
                  <v>9.5</v>
                </pt>
                <pt idx="470">
                  <v>9.5</v>
                </pt>
                <pt idx="471">
                  <v>9.5</v>
                </pt>
                <pt idx="472">
                  <v>9.5</v>
                </pt>
                <pt idx="473">
                  <v>9.5</v>
                </pt>
                <pt idx="474">
                  <v>9.5</v>
                </pt>
                <pt idx="475">
                  <v>9.5</v>
                </pt>
                <pt idx="476">
                  <v>9.5</v>
                </pt>
                <pt idx="477">
                  <v>9.5</v>
                </pt>
                <pt idx="478">
                  <v>9.5</v>
                </pt>
                <pt idx="479">
                  <v>9.5</v>
                </pt>
                <pt idx="480">
                  <v>9.5</v>
                </pt>
                <pt idx="481">
                  <v>9.5</v>
                </pt>
                <pt idx="482">
                  <v>9.5</v>
                </pt>
                <pt idx="483">
                  <v>9.5</v>
                </pt>
                <pt idx="484">
                  <v>9.5</v>
                </pt>
                <pt idx="485">
                  <v>9.5</v>
                </pt>
                <pt idx="486">
                  <v>9.5</v>
                </pt>
                <pt idx="487">
                  <v>9.5</v>
                </pt>
                <pt idx="488">
                  <v>9.5</v>
                </pt>
                <pt idx="489">
                  <v>9.5</v>
                </pt>
                <pt idx="490">
                  <v>9.5</v>
                </pt>
                <pt idx="491">
                  <v>9.5</v>
                </pt>
                <pt idx="492">
                  <v>9.5</v>
                </pt>
                <pt idx="493">
                  <v>9.5</v>
                </pt>
                <pt idx="494">
                  <v>9.5</v>
                </pt>
                <pt idx="495">
                  <v>9.5</v>
                </pt>
                <pt idx="496">
                  <v>9.5</v>
                </pt>
                <pt idx="497">
                  <v>9.5</v>
                </pt>
                <pt idx="498">
                  <v>9.5</v>
                </pt>
                <pt idx="499">
                  <v>9.5</v>
                </pt>
                <pt idx="500">
                  <v>9.5</v>
                </pt>
                <pt idx="501">
                  <v>9.5</v>
                </pt>
                <pt idx="502">
                  <v>9.5</v>
                </pt>
                <pt idx="503">
                  <v>9.5</v>
                </pt>
                <pt idx="504">
                  <v>9.5</v>
                </pt>
                <pt idx="505">
                  <v>9.5</v>
                </pt>
                <pt idx="506">
                  <v>9.5</v>
                </pt>
                <pt idx="507">
                  <v>9.5</v>
                </pt>
                <pt idx="508">
                  <v>9.5</v>
                </pt>
                <pt idx="509">
                  <v>9.5</v>
                </pt>
                <pt idx="510">
                  <v>9.5</v>
                </pt>
                <pt idx="511">
                  <v>9.5</v>
                </pt>
                <pt idx="512">
                  <v>9.5</v>
                </pt>
                <pt idx="513">
                  <v>9.5</v>
                </pt>
                <pt idx="514">
                  <v>9.5</v>
                </pt>
                <pt idx="515">
                  <v>9.5</v>
                </pt>
                <pt idx="516">
                  <v>9.5</v>
                </pt>
                <pt idx="517">
                  <v>9.5</v>
                </pt>
                <pt idx="518">
                  <v>9.5</v>
                </pt>
                <pt idx="519">
                  <v>9.5</v>
                </pt>
                <pt idx="520">
                  <v>9.5</v>
                </pt>
                <pt idx="521">
                  <v>9.5</v>
                </pt>
                <pt idx="522">
                  <v>9.5</v>
                </pt>
                <pt idx="523">
                  <v>9.5</v>
                </pt>
                <pt idx="524">
                  <v>9.5</v>
                </pt>
                <pt idx="525">
                  <v>9.5</v>
                </pt>
                <pt idx="526">
                  <v>9.5</v>
                </pt>
                <pt idx="527">
                  <v>9.5</v>
                </pt>
                <pt idx="528">
                  <v>9.5</v>
                </pt>
                <pt idx="529">
                  <v>9.5</v>
                </pt>
                <pt idx="530">
                  <v>9.5</v>
                </pt>
                <pt idx="531">
                  <v>9.5</v>
                </pt>
                <pt idx="532">
                  <v>9.5</v>
                </pt>
                <pt idx="533">
                  <v>9.5</v>
                </pt>
                <pt idx="534">
                  <v>9.5</v>
                </pt>
                <pt idx="535">
                  <v>9.5</v>
                </pt>
                <pt idx="536">
                  <v>9.5</v>
                </pt>
                <pt idx="537">
                  <v>9.5</v>
                </pt>
                <pt idx="538">
                  <v>9.5</v>
                </pt>
                <pt idx="539">
                  <v>9.5</v>
                </pt>
                <pt idx="540">
                  <v>9.5</v>
                </pt>
                <pt idx="541">
                  <v>9.5</v>
                </pt>
                <pt idx="542">
                  <v>9.5</v>
                </pt>
                <pt idx="543">
                  <v>9.5</v>
                </pt>
                <pt idx="544">
                  <v>9.5</v>
                </pt>
                <pt idx="545">
                  <v>9.5</v>
                </pt>
                <pt idx="546">
                  <v>9.5</v>
                </pt>
                <pt idx="547">
                  <v>9.5</v>
                </pt>
                <pt idx="548">
                  <v>9.5</v>
                </pt>
                <pt idx="549">
                  <v>9.5</v>
                </pt>
                <pt idx="550">
                  <v>9.5</v>
                </pt>
                <pt idx="551">
                  <v>9.5</v>
                </pt>
                <pt idx="552">
                  <v>9.5</v>
                </pt>
                <pt idx="553">
                  <v>9.5</v>
                </pt>
                <pt idx="554">
                  <v>9.5</v>
                </pt>
                <pt idx="555">
                  <v>9.5</v>
                </pt>
                <pt idx="556">
                  <v>9.5</v>
                </pt>
                <pt idx="557">
                  <v>9.5</v>
                </pt>
                <pt idx="558">
                  <v>9.5</v>
                </pt>
                <pt idx="559">
                  <v>9.5</v>
                </pt>
                <pt idx="560">
                  <v>9.5</v>
                </pt>
                <pt idx="561">
                  <v>9.5</v>
                </pt>
                <pt idx="562">
                  <v>9.5</v>
                </pt>
                <pt idx="563">
                  <v>9.5</v>
                </pt>
                <pt idx="564">
                  <v>9.5</v>
                </pt>
                <pt idx="565">
                  <v>9.5</v>
                </pt>
                <pt idx="566">
                  <v>9.5</v>
                </pt>
                <pt idx="567">
                  <v>9.5</v>
                </pt>
                <pt idx="568">
                  <v>9.5</v>
                </pt>
                <pt idx="569">
                  <v>9.5</v>
                </pt>
                <pt idx="570">
                  <v>9.5</v>
                </pt>
                <pt idx="571">
                  <v>9.5</v>
                </pt>
                <pt idx="572">
                  <v>9.5</v>
                </pt>
                <pt idx="573">
                  <v>9.5</v>
                </pt>
                <pt idx="574">
                  <v>9.5</v>
                </pt>
                <pt idx="575">
                  <v>9.5</v>
                </pt>
                <pt idx="576">
                  <v>9.5</v>
                </pt>
                <pt idx="577">
                  <v>9.5</v>
                </pt>
                <pt idx="578">
                  <v>9.5</v>
                </pt>
                <pt idx="579">
                  <v>9.5</v>
                </pt>
                <pt idx="580">
                  <v>9.5</v>
                </pt>
                <pt idx="581">
                  <v>9.5</v>
                </pt>
                <pt idx="582">
                  <v>9.5</v>
                </pt>
                <pt idx="583">
                  <v>9.5</v>
                </pt>
                <pt idx="584">
                  <v>9.5</v>
                </pt>
                <pt idx="585">
                  <v>9.5</v>
                </pt>
                <pt idx="586">
                  <v>9.5</v>
                </pt>
                <pt idx="587">
                  <v>9.5</v>
                </pt>
                <pt idx="588">
                  <v>9.5</v>
                </pt>
                <pt idx="589">
                  <v>9.5</v>
                </pt>
                <pt idx="590">
                  <v>9.5</v>
                </pt>
                <pt idx="591">
                  <v>9.5</v>
                </pt>
                <pt idx="592">
                  <v>9.5</v>
                </pt>
                <pt idx="593">
                  <v>9.5</v>
                </pt>
                <pt idx="594">
                  <v>9.5</v>
                </pt>
                <pt idx="595">
                  <v>9.5</v>
                </pt>
                <pt idx="596">
                  <v>9.5</v>
                </pt>
                <pt idx="597">
                  <v>9.5</v>
                </pt>
                <pt idx="598">
                  <v>9.5</v>
                </pt>
                <pt idx="599">
                  <v>9.5</v>
                </pt>
                <pt idx="600">
                  <v>0.95</v>
                </pt>
                <pt idx="601">
                  <v>0.95</v>
                </pt>
                <pt idx="602">
                  <v>0.95</v>
                </pt>
                <pt idx="603">
                  <v>0.95</v>
                </pt>
                <pt idx="604">
                  <v>0.95</v>
                </pt>
                <pt idx="605">
                  <v>0.95</v>
                </pt>
                <pt idx="606">
                  <v>0.95</v>
                </pt>
                <pt idx="607">
                  <v>0.95</v>
                </pt>
                <pt idx="608">
                  <v>0.95</v>
                </pt>
                <pt idx="609">
                  <v>0.95</v>
                </pt>
                <pt idx="610">
                  <v>0.95</v>
                </pt>
                <pt idx="611">
                  <v>0.95</v>
                </pt>
                <pt idx="612">
                  <v>0.95</v>
                </pt>
                <pt idx="613">
                  <v>0.95</v>
                </pt>
                <pt idx="614">
                  <v>0.95</v>
                </pt>
                <pt idx="615">
                  <v>0.95</v>
                </pt>
                <pt idx="616">
                  <v>0.95</v>
                </pt>
                <pt idx="617">
                  <v>0.95</v>
                </pt>
                <pt idx="618">
                  <v>0.95</v>
                </pt>
                <pt idx="619">
                  <v>0.95</v>
                </pt>
                <pt idx="620">
                  <v>0.95</v>
                </pt>
                <pt idx="621">
                  <v>0.95</v>
                </pt>
                <pt idx="622">
                  <v>0.95</v>
                </pt>
                <pt idx="623">
                  <v>0.95</v>
                </pt>
                <pt idx="624">
                  <v>0.95</v>
                </pt>
                <pt idx="625">
                  <v>0.95</v>
                </pt>
                <pt idx="626">
                  <v>0.95</v>
                </pt>
                <pt idx="627">
                  <v>0.95</v>
                </pt>
                <pt idx="628">
                  <v>0.95</v>
                </pt>
                <pt idx="629">
                  <v>0.95</v>
                </pt>
                <pt idx="630">
                  <v>0.95</v>
                </pt>
                <pt idx="631">
                  <v>0.95</v>
                </pt>
                <pt idx="632">
                  <v>0.95</v>
                </pt>
                <pt idx="633">
                  <v>0.95</v>
                </pt>
                <pt idx="634">
                  <v>0.95</v>
                </pt>
                <pt idx="635">
                  <v>0.95</v>
                </pt>
                <pt idx="636">
                  <v>0.95</v>
                </pt>
                <pt idx="637">
                  <v>0.95</v>
                </pt>
                <pt idx="638">
                  <v>0.95</v>
                </pt>
                <pt idx="639">
                  <v>0.95</v>
                </pt>
                <pt idx="640">
                  <v>0.95</v>
                </pt>
                <pt idx="641">
                  <v>0.95</v>
                </pt>
                <pt idx="642">
                  <v>0.95</v>
                </pt>
                <pt idx="643">
                  <v>0.95</v>
                </pt>
                <pt idx="644">
                  <v>0.95</v>
                </pt>
                <pt idx="645">
                  <v>0.95</v>
                </pt>
                <pt idx="646">
                  <v>0.95</v>
                </pt>
                <pt idx="647">
                  <v>0.95</v>
                </pt>
                <pt idx="648">
                  <v>0.95</v>
                </pt>
                <pt idx="649">
                  <v>0.95</v>
                </pt>
                <pt idx="650">
                  <v>0.95</v>
                </pt>
                <pt idx="651">
                  <v>0.95</v>
                </pt>
                <pt idx="652">
                  <v>0.95</v>
                </pt>
                <pt idx="653">
                  <v>0.95</v>
                </pt>
                <pt idx="654">
                  <v>0.95</v>
                </pt>
                <pt idx="655">
                  <v>0.95</v>
                </pt>
                <pt idx="656">
                  <v>0.95</v>
                </pt>
                <pt idx="657">
                  <v>0.95</v>
                </pt>
                <pt idx="658">
                  <v>0.95</v>
                </pt>
                <pt idx="659">
                  <v>0.95</v>
                </pt>
                <pt idx="660">
                  <v>0.95</v>
                </pt>
                <pt idx="661">
                  <v>0.95</v>
                </pt>
                <pt idx="662">
                  <v>0.95</v>
                </pt>
                <pt idx="663">
                  <v>0.95</v>
                </pt>
                <pt idx="664">
                  <v>0.95</v>
                </pt>
                <pt idx="665">
                  <v>0.95</v>
                </pt>
                <pt idx="666">
                  <v>0.95</v>
                </pt>
                <pt idx="667">
                  <v>0.95</v>
                </pt>
                <pt idx="668">
                  <v>0.95</v>
                </pt>
                <pt idx="669">
                  <v>0.95</v>
                </pt>
                <pt idx="670">
                  <v>0.95</v>
                </pt>
                <pt idx="671">
                  <v>0.95</v>
                </pt>
                <pt idx="672">
                  <v>0.95</v>
                </pt>
                <pt idx="673">
                  <v>0.95</v>
                </pt>
                <pt idx="674">
                  <v>0.95</v>
                </pt>
                <pt idx="675">
                  <v>0.95</v>
                </pt>
                <pt idx="676">
                  <v>0.95</v>
                </pt>
                <pt idx="677">
                  <v>0.95</v>
                </pt>
                <pt idx="678">
                  <v>0.95</v>
                </pt>
                <pt idx="679">
                  <v>0.95</v>
                </pt>
                <pt idx="680">
                  <v>0.95</v>
                </pt>
                <pt idx="681">
                  <v>0.95</v>
                </pt>
                <pt idx="682">
                  <v>0.95</v>
                </pt>
                <pt idx="683">
                  <v>0.95</v>
                </pt>
                <pt idx="684">
                  <v>0.95</v>
                </pt>
                <pt idx="685">
                  <v>0.95</v>
                </pt>
                <pt idx="686">
                  <v>0.95</v>
                </pt>
                <pt idx="687">
                  <v>0.95</v>
                </pt>
                <pt idx="688">
                  <v>0.95</v>
                </pt>
                <pt idx="689">
                  <v>0.95</v>
                </pt>
                <pt idx="690">
                  <v>0.95</v>
                </pt>
                <pt idx="691">
                  <v>0.95</v>
                </pt>
                <pt idx="692">
                  <v>0.95</v>
                </pt>
                <pt idx="693">
                  <v>0.95</v>
                </pt>
                <pt idx="694">
                  <v>0.95</v>
                </pt>
                <pt idx="695">
                  <v>0.95</v>
                </pt>
                <pt idx="696">
                  <v>0.95</v>
                </pt>
                <pt idx="697">
                  <v>0.95</v>
                </pt>
                <pt idx="698">
                  <v>0.95</v>
                </pt>
                <pt idx="699">
                  <v>0.95</v>
                </pt>
                <pt idx="700">
                  <v>0.95</v>
                </pt>
                <pt idx="701">
                  <v>0.95</v>
                </pt>
                <pt idx="702">
                  <v>0.95</v>
                </pt>
                <pt idx="703">
                  <v>0.95</v>
                </pt>
                <pt idx="704">
                  <v>0.95</v>
                </pt>
                <pt idx="705">
                  <v>0.95</v>
                </pt>
                <pt idx="706">
                  <v>0.95</v>
                </pt>
                <pt idx="707">
                  <v>0.95</v>
                </pt>
                <pt idx="708">
                  <v>0.95</v>
                </pt>
                <pt idx="709">
                  <v>0.95</v>
                </pt>
                <pt idx="710">
                  <v>0.95</v>
                </pt>
                <pt idx="711">
                  <v>0.95</v>
                </pt>
                <pt idx="712">
                  <v>0.95</v>
                </pt>
                <pt idx="713">
                  <v>0.95</v>
                </pt>
                <pt idx="714">
                  <v>0.95</v>
                </pt>
                <pt idx="715">
                  <v>0.95</v>
                </pt>
                <pt idx="716">
                  <v>0.95</v>
                </pt>
                <pt idx="717">
                  <v>0.95</v>
                </pt>
                <pt idx="718">
                  <v>0.95</v>
                </pt>
                <pt idx="719">
                  <v>0.95</v>
                </pt>
                <pt idx="720">
                  <v>0.95</v>
                </pt>
                <pt idx="721">
                  <v>0.95</v>
                </pt>
                <pt idx="722">
                  <v>0.95</v>
                </pt>
                <pt idx="723">
                  <v>0.95</v>
                </pt>
                <pt idx="724">
                  <v>0.95</v>
                </pt>
                <pt idx="725">
                  <v>0.95</v>
                </pt>
                <pt idx="726">
                  <v>0.95</v>
                </pt>
                <pt idx="727">
                  <v>0.95</v>
                </pt>
                <pt idx="728">
                  <v>0.95</v>
                </pt>
                <pt idx="729">
                  <v>0.95</v>
                </pt>
                <pt idx="730">
                  <v>0.95</v>
                </pt>
                <pt idx="731">
                  <v>0.95</v>
                </pt>
                <pt idx="732">
                  <v>0.95</v>
                </pt>
                <pt idx="733">
                  <v>0.95</v>
                </pt>
                <pt idx="734">
                  <v>0.95</v>
                </pt>
                <pt idx="735">
                  <v>0.95</v>
                </pt>
                <pt idx="736">
                  <v>0.95</v>
                </pt>
                <pt idx="737">
                  <v>0.95</v>
                </pt>
                <pt idx="738">
                  <v>0.95</v>
                </pt>
                <pt idx="739">
                  <v>0.95</v>
                </pt>
                <pt idx="740">
                  <v>0.95</v>
                </pt>
                <pt idx="741">
                  <v>0.95</v>
                </pt>
                <pt idx="742">
                  <v>0.95</v>
                </pt>
                <pt idx="743">
                  <v>0.95</v>
                </pt>
                <pt idx="744">
                  <v>0.95</v>
                </pt>
                <pt idx="745">
                  <v>0.95</v>
                </pt>
                <pt idx="746">
                  <v>0.95</v>
                </pt>
                <pt idx="747">
                  <v>0.95</v>
                </pt>
                <pt idx="748">
                  <v>0.95</v>
                </pt>
                <pt idx="749">
                  <v>0.95</v>
                </pt>
                <pt idx="750">
                  <v>0.95</v>
                </pt>
                <pt idx="751">
                  <v>0.95</v>
                </pt>
                <pt idx="752">
                  <v>0.95</v>
                </pt>
                <pt idx="753">
                  <v>0.95</v>
                </pt>
                <pt idx="754">
                  <v>0.95</v>
                </pt>
                <pt idx="755">
                  <v>0.95</v>
                </pt>
                <pt idx="756">
                  <v>0.95</v>
                </pt>
                <pt idx="757">
                  <v>0.95</v>
                </pt>
                <pt idx="758">
                  <v>0.95</v>
                </pt>
                <pt idx="759">
                  <v>0.95</v>
                </pt>
                <pt idx="760">
                  <v>0.95</v>
                </pt>
                <pt idx="761">
                  <v>0.95</v>
                </pt>
                <pt idx="762">
                  <v>0.95</v>
                </pt>
                <pt idx="763">
                  <v>0.95</v>
                </pt>
                <pt idx="764">
                  <v>0.95</v>
                </pt>
                <pt idx="765">
                  <v>0.95</v>
                </pt>
                <pt idx="766">
                  <v>0.95</v>
                </pt>
                <pt idx="767">
                  <v>0.95</v>
                </pt>
                <pt idx="768">
                  <v>0.95</v>
                </pt>
                <pt idx="769">
                  <v>0.95</v>
                </pt>
                <pt idx="770">
                  <v>0.95</v>
                </pt>
                <pt idx="771">
                  <v>0.95</v>
                </pt>
                <pt idx="772">
                  <v>0.95</v>
                </pt>
                <pt idx="773">
                  <v>0.95</v>
                </pt>
                <pt idx="774">
                  <v>0.95</v>
                </pt>
                <pt idx="775">
                  <v>0.95</v>
                </pt>
                <pt idx="776">
                  <v>0.95</v>
                </pt>
                <pt idx="777">
                  <v>0.95</v>
                </pt>
                <pt idx="778">
                  <v>0.95</v>
                </pt>
                <pt idx="779">
                  <v>0.95</v>
                </pt>
                <pt idx="780">
                  <v>0.95</v>
                </pt>
                <pt idx="781">
                  <v>0.95</v>
                </pt>
                <pt idx="782">
                  <v>0.95</v>
                </pt>
                <pt idx="783">
                  <v>0.95</v>
                </pt>
                <pt idx="784">
                  <v>0.95</v>
                </pt>
                <pt idx="785">
                  <v>0.95</v>
                </pt>
                <pt idx="786">
                  <v>0.95</v>
                </pt>
                <pt idx="787">
                  <v>0.95</v>
                </pt>
                <pt idx="788">
                  <v>0.95</v>
                </pt>
                <pt idx="789">
                  <v>0.95</v>
                </pt>
                <pt idx="790">
                  <v>0.95</v>
                </pt>
                <pt idx="791">
                  <v>0.95</v>
                </pt>
                <pt idx="792">
                  <v>0.95</v>
                </pt>
                <pt idx="793">
                  <v>0.95</v>
                </pt>
                <pt idx="794">
                  <v>0.95</v>
                </pt>
                <pt idx="795">
                  <v>0.95</v>
                </pt>
                <pt idx="796">
                  <v>0.95</v>
                </pt>
                <pt idx="797">
                  <v>0.95</v>
                </pt>
                <pt idx="798">
                  <v>0.95</v>
                </pt>
                <pt idx="799">
                  <v>0.95</v>
                </pt>
                <pt idx="800">
                  <v>0.95</v>
                </pt>
                <pt idx="801">
                  <v>0.95</v>
                </pt>
                <pt idx="802">
                  <v>0.95</v>
                </pt>
                <pt idx="803">
                  <v>0.95</v>
                </pt>
                <pt idx="804">
                  <v>0.95</v>
                </pt>
                <pt idx="805">
                  <v>0.95</v>
                </pt>
                <pt idx="806">
                  <v>0.95</v>
                </pt>
                <pt idx="807">
                  <v>0.95</v>
                </pt>
                <pt idx="808">
                  <v>0.95</v>
                </pt>
                <pt idx="809">
                  <v>0.95</v>
                </pt>
                <pt idx="810">
                  <v>0.95</v>
                </pt>
                <pt idx="811">
                  <v>0.95</v>
                </pt>
                <pt idx="812">
                  <v>0.95</v>
                </pt>
                <pt idx="813">
                  <v>0.95</v>
                </pt>
                <pt idx="814">
                  <v>0.95</v>
                </pt>
                <pt idx="815">
                  <v>0.95</v>
                </pt>
                <pt idx="816">
                  <v>0.95</v>
                </pt>
                <pt idx="817">
                  <v>0.95</v>
                </pt>
                <pt idx="818">
                  <v>0.95</v>
                </pt>
                <pt idx="819">
                  <v>0.95</v>
                </pt>
                <pt idx="820">
                  <v>0.95</v>
                </pt>
                <pt idx="821">
                  <v>0.95</v>
                </pt>
                <pt idx="822">
                  <v>0.95</v>
                </pt>
                <pt idx="823">
                  <v>0.95</v>
                </pt>
                <pt idx="824">
                  <v>0.95</v>
                </pt>
                <pt idx="825">
                  <v>0.95</v>
                </pt>
                <pt idx="826">
                  <v>0.95</v>
                </pt>
                <pt idx="827">
                  <v>0.95</v>
                </pt>
                <pt idx="828">
                  <v>0.95</v>
                </pt>
                <pt idx="829">
                  <v>0.95</v>
                </pt>
                <pt idx="830">
                  <v>0.95</v>
                </pt>
                <pt idx="831">
                  <v>0.95</v>
                </pt>
                <pt idx="832">
                  <v>0.95</v>
                </pt>
                <pt idx="833">
                  <v>0.95</v>
                </pt>
                <pt idx="834">
                  <v>0.95</v>
                </pt>
                <pt idx="835">
                  <v>0.95</v>
                </pt>
                <pt idx="836">
                  <v>0.95</v>
                </pt>
                <pt idx="837">
                  <v>0.95</v>
                </pt>
                <pt idx="838">
                  <v>0.95</v>
                </pt>
                <pt idx="839">
                  <v>0.95</v>
                </pt>
                <pt idx="840">
                  <v>0.95</v>
                </pt>
                <pt idx="841">
                  <v>0.95</v>
                </pt>
                <pt idx="842">
                  <v>0.95</v>
                </pt>
                <pt idx="843">
                  <v>0.95</v>
                </pt>
                <pt idx="844">
                  <v>0.95</v>
                </pt>
                <pt idx="845">
                  <v>0.95</v>
                </pt>
                <pt idx="846">
                  <v>0.95</v>
                </pt>
                <pt idx="847">
                  <v>0.95</v>
                </pt>
                <pt idx="848">
                  <v>0.95</v>
                </pt>
                <pt idx="849">
                  <v>0.95</v>
                </pt>
                <pt idx="850">
                  <v>0.95</v>
                </pt>
                <pt idx="851">
                  <v>0.95</v>
                </pt>
                <pt idx="852">
                  <v>0.95</v>
                </pt>
                <pt idx="853">
                  <v>0.95</v>
                </pt>
                <pt idx="854">
                  <v>0.95</v>
                </pt>
                <pt idx="855">
                  <v>0.95</v>
                </pt>
                <pt idx="856">
                  <v>0.95</v>
                </pt>
                <pt idx="857">
                  <v>0.95</v>
                </pt>
                <pt idx="858">
                  <v>0.95</v>
                </pt>
                <pt idx="859">
                  <v>0.95</v>
                </pt>
                <pt idx="860">
                  <v>0.95</v>
                </pt>
                <pt idx="861">
                  <v>0.95</v>
                </pt>
                <pt idx="862">
                  <v>0.95</v>
                </pt>
                <pt idx="863">
                  <v>0.95</v>
                </pt>
                <pt idx="864">
                  <v>0.95</v>
                </pt>
                <pt idx="865">
                  <v>0.95</v>
                </pt>
                <pt idx="866">
                  <v>0.95</v>
                </pt>
                <pt idx="867">
                  <v>0.95</v>
                </pt>
                <pt idx="868">
                  <v>0.95</v>
                </pt>
                <pt idx="869">
                  <v>0.95</v>
                </pt>
                <pt idx="870">
                  <v>0.95</v>
                </pt>
                <pt idx="871">
                  <v>0.95</v>
                </pt>
                <pt idx="872">
                  <v>0.95</v>
                </pt>
                <pt idx="873">
                  <v>0.95</v>
                </pt>
                <pt idx="874">
                  <v>0.95</v>
                </pt>
                <pt idx="875">
                  <v>0.95</v>
                </pt>
                <pt idx="876">
                  <v>0.95</v>
                </pt>
                <pt idx="877">
                  <v>0.95</v>
                </pt>
                <pt idx="878">
                  <v>0.95</v>
                </pt>
                <pt idx="879">
                  <v>0.95</v>
                </pt>
                <pt idx="880">
                  <v>0.95</v>
                </pt>
                <pt idx="881">
                  <v>0.95</v>
                </pt>
                <pt idx="882">
                  <v>0.95</v>
                </pt>
                <pt idx="883">
                  <v>0.95</v>
                </pt>
                <pt idx="884">
                  <v>0.95</v>
                </pt>
                <pt idx="885">
                  <v>0.95</v>
                </pt>
                <pt idx="886">
                  <v>0.95</v>
                </pt>
                <pt idx="887">
                  <v>0.95</v>
                </pt>
                <pt idx="888">
                  <v>0.95</v>
                </pt>
                <pt idx="889">
                  <v>0.95</v>
                </pt>
                <pt idx="890">
                  <v>0.95</v>
                </pt>
                <pt idx="891">
                  <v>0.95</v>
                </pt>
                <pt idx="892">
                  <v>0.95</v>
                </pt>
                <pt idx="893">
                  <v>0.95</v>
                </pt>
                <pt idx="894">
                  <v>0.95</v>
                </pt>
                <pt idx="895">
                  <v>0.95</v>
                </pt>
                <pt idx="896">
                  <v>0.95</v>
                </pt>
                <pt idx="897">
                  <v>0.95</v>
                </pt>
                <pt idx="898">
                  <v>0.95</v>
                </pt>
                <pt idx="899">
                  <v>0.95</v>
                </pt>
                <pt idx="900">
                  <v>0.95</v>
                </pt>
                <pt idx="901">
                  <v>0.95</v>
                </pt>
                <pt idx="902">
                  <v>0.95</v>
                </pt>
                <pt idx="903">
                  <v>0.95</v>
                </pt>
                <pt idx="904">
                  <v>0.95</v>
                </pt>
                <pt idx="905">
                  <v>0.95</v>
                </pt>
                <pt idx="906">
                  <v>0.95</v>
                </pt>
                <pt idx="907">
                  <v>0.95</v>
                </pt>
                <pt idx="908">
                  <v>0.95</v>
                </pt>
                <pt idx="909">
                  <v>0.95</v>
                </pt>
                <pt idx="910">
                  <v>0.95</v>
                </pt>
                <pt idx="911">
                  <v>0.95</v>
                </pt>
                <pt idx="912">
                  <v>0.95</v>
                </pt>
                <pt idx="913">
                  <v>0.95</v>
                </pt>
                <pt idx="914">
                  <v>0.95</v>
                </pt>
                <pt idx="915">
                  <v>0.95</v>
                </pt>
                <pt idx="916">
                  <v>0.95</v>
                </pt>
                <pt idx="917">
                  <v>0.95</v>
                </pt>
                <pt idx="918">
                  <v>0.95</v>
                </pt>
                <pt idx="919">
                  <v>0.95</v>
                </pt>
                <pt idx="920">
                  <v>0.95</v>
                </pt>
                <pt idx="921">
                  <v>0.95</v>
                </pt>
                <pt idx="922">
                  <v>0.95</v>
                </pt>
                <pt idx="923">
                  <v>0.95</v>
                </pt>
                <pt idx="924">
                  <v>0.95</v>
                </pt>
                <pt idx="925">
                  <v>0.95</v>
                </pt>
                <pt idx="926">
                  <v>0.95</v>
                </pt>
                <pt idx="927">
                  <v>0.95</v>
                </pt>
                <pt idx="928">
                  <v>0.95</v>
                </pt>
                <pt idx="929">
                  <v>0.95</v>
                </pt>
                <pt idx="930">
                  <v>0.95</v>
                </pt>
                <pt idx="931">
                  <v>0.95</v>
                </pt>
                <pt idx="932">
                  <v>0.95</v>
                </pt>
                <pt idx="933">
                  <v>0.95</v>
                </pt>
                <pt idx="934">
                  <v>0.95</v>
                </pt>
                <pt idx="935">
                  <v>0.95</v>
                </pt>
                <pt idx="936">
                  <v>0.95</v>
                </pt>
                <pt idx="937">
                  <v>0.95</v>
                </pt>
                <pt idx="938">
                  <v>0.95</v>
                </pt>
                <pt idx="939">
                  <v>0.95</v>
                </pt>
                <pt idx="940">
                  <v>0.95</v>
                </pt>
                <pt idx="941">
                  <v>0.95</v>
                </pt>
                <pt idx="942">
                  <v>0.95</v>
                </pt>
                <pt idx="943">
                  <v>0.95</v>
                </pt>
                <pt idx="944">
                  <v>0.95</v>
                </pt>
                <pt idx="945">
                  <v>0.95</v>
                </pt>
                <pt idx="946">
                  <v>0.95</v>
                </pt>
                <pt idx="947">
                  <v>0.95</v>
                </pt>
                <pt idx="948">
                  <v>0.95</v>
                </pt>
                <pt idx="949">
                  <v>0.95</v>
                </pt>
                <pt idx="950">
                  <v>0.95</v>
                </pt>
                <pt idx="951">
                  <v>0.95</v>
                </pt>
                <pt idx="952">
                  <v>0.95</v>
                </pt>
                <pt idx="953">
                  <v>0.95</v>
                </pt>
                <pt idx="954">
                  <v>0.95</v>
                </pt>
                <pt idx="955">
                  <v>0.95</v>
                </pt>
                <pt idx="956">
                  <v>0.95</v>
                </pt>
                <pt idx="957">
                  <v>0.95</v>
                </pt>
                <pt idx="958">
                  <v>0.95</v>
                </pt>
                <pt idx="959">
                  <v>0.95</v>
                </pt>
                <pt idx="960">
                  <v>0.95</v>
                </pt>
                <pt idx="961">
                  <v>0.95</v>
                </pt>
                <pt idx="962">
                  <v>0.95</v>
                </pt>
                <pt idx="963">
                  <v>0.95</v>
                </pt>
                <pt idx="964">
                  <v>0.95</v>
                </pt>
                <pt idx="965">
                  <v>0.95</v>
                </pt>
                <pt idx="966">
                  <v>0.95</v>
                </pt>
                <pt idx="967">
                  <v>0.95</v>
                </pt>
                <pt idx="968">
                  <v>0.95</v>
                </pt>
                <pt idx="969">
                  <v>0.95</v>
                </pt>
                <pt idx="970">
                  <v>0.95</v>
                </pt>
                <pt idx="971">
                  <v>0.95</v>
                </pt>
                <pt idx="972">
                  <v>0.95</v>
                </pt>
                <pt idx="973">
                  <v>0.95</v>
                </pt>
                <pt idx="974">
                  <v>0.95</v>
                </pt>
                <pt idx="975">
                  <v>0.95</v>
                </pt>
                <pt idx="976">
                  <v>0.95</v>
                </pt>
                <pt idx="977">
                  <v>0.95</v>
                </pt>
                <pt idx="978">
                  <v>0.95</v>
                </pt>
                <pt idx="979">
                  <v>0.95</v>
                </pt>
                <pt idx="980">
                  <v>0.95</v>
                </pt>
                <pt idx="981">
                  <v>0.95</v>
                </pt>
                <pt idx="982">
                  <v>0.95</v>
                </pt>
                <pt idx="983">
                  <v>0.95</v>
                </pt>
                <pt idx="984">
                  <v>0.95</v>
                </pt>
                <pt idx="985">
                  <v>0.95</v>
                </pt>
                <pt idx="986">
                  <v>0.95</v>
                </pt>
                <pt idx="987">
                  <v>0.95</v>
                </pt>
                <pt idx="988">
                  <v>0.95</v>
                </pt>
                <pt idx="989">
                  <v>0.95</v>
                </pt>
                <pt idx="990">
                  <v>0.95</v>
                </pt>
                <pt idx="991">
                  <v>0.95</v>
                </pt>
                <pt idx="992">
                  <v>0.95</v>
                </pt>
                <pt idx="993">
                  <v>0.95</v>
                </pt>
                <pt idx="994">
                  <v>0.95</v>
                </pt>
                <pt idx="995">
                  <v>0.95</v>
                </pt>
                <pt idx="996">
                  <v>0.95</v>
                </pt>
                <pt idx="997">
                  <v>0.95</v>
                </pt>
                <pt idx="998">
                  <v>0.95</v>
                </pt>
                <pt idx="999">
                  <v>0.95</v>
                </pt>
                <pt idx="1000">
                  <v>0.95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64901887"/>
        <axId val="1564903967"/>
      </lineChart>
      <catAx>
        <axId val="156490188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 cap="flat" cmpd="sng" algn="ctr">
            <a:solidFill>
              <a:schemeClr val="tx1"/>
            </a:solidFill>
            <a:prstDash val="solid"/>
            <a:round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3967"/>
        <crosses val="autoZero"/>
        <auto val="1"/>
        <lblAlgn val="ctr"/>
        <lblOffset val="100"/>
        <tickLblSkip val="50"/>
        <tickMarkSkip val="50"/>
        <noMultiLvlLbl val="0"/>
      </catAx>
      <valAx>
        <axId val="15649039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>
            <a:solidFill>
              <a:schemeClr val="tx1"/>
            </a:solidFill>
            <a:prstDash val="solid"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18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Лист4!$V$1</f>
              <strCache>
                <ptCount val="1"/>
                <pt idx="0">
                  <v>y(nT0)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Лист4!$V$2:$V$1002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0.009155413138017853</v>
                </pt>
                <pt idx="64">
                  <v>0.03509575036240177</v>
                </pt>
                <pt idx="65">
                  <v>0.07629510948348212</v>
                </pt>
                <pt idx="66">
                  <v>0.123598077363241</v>
                </pt>
                <pt idx="67">
                  <v>0.1678492408636607</v>
                </pt>
                <pt idx="68">
                  <v>0.2105745021744106</v>
                </pt>
                <pt idx="69">
                  <v>0.251773861295491</v>
                </pt>
                <pt idx="70">
                  <v>0.2914473182269017</v>
                </pt>
                <pt idx="71">
                  <v>0.3295948729686427</v>
                </pt>
                <pt idx="72">
                  <v>0.3646906233310445</v>
                </pt>
                <pt idx="73">
                  <v>0.3997863736934462</v>
                </pt>
                <pt idx="74">
                  <v>0.434882124055848</v>
                </pt>
                <pt idx="75">
                  <v>0.4669260700389105</v>
                </pt>
                <pt idx="76">
                  <v>0.4989700160219729</v>
                </pt>
                <pt idx="77">
                  <v>0.5310139620050355</v>
                </pt>
                <pt idx="78">
                  <v>0.5615320057984283</v>
                </pt>
                <pt idx="79">
                  <v>0.5905241474021515</v>
                </pt>
                <pt idx="80">
                  <v>0.6195162890058747</v>
                </pt>
                <pt idx="81">
                  <v>0.648508430609598</v>
                </pt>
                <pt idx="82">
                  <v>0.6759746700236515</v>
                </pt>
                <pt idx="83">
                  <v>0.7034409094377051</v>
                </pt>
                <pt idx="84">
                  <v>0.7309071488517586</v>
                </pt>
                <pt idx="85">
                  <v>0.7583733882658121</v>
                </pt>
                <pt idx="86">
                  <v>0.7843137254901961</v>
                </pt>
                <pt idx="87">
                  <v>0.8087281605249105</v>
                </pt>
                <pt idx="88">
                  <v>0.831616693369955</v>
                </pt>
                <pt idx="89">
                  <v>0.8514534218356603</v>
                </pt>
                <pt idx="90">
                  <v>0.8697642481116961</v>
                </pt>
                <pt idx="91">
                  <v>0.8865491721980621</v>
                </pt>
                <pt idx="92">
                  <v>0.9018081940947584</v>
                </pt>
                <pt idx="93">
                  <v>0.9140154116121157</v>
                </pt>
                <pt idx="94">
                  <v>0.9262226291294728</v>
                </pt>
                <pt idx="95">
                  <v>0.9353780422674907</v>
                </pt>
                <pt idx="96">
                  <v>0.9445334554055085</v>
                </pt>
                <pt idx="97">
                  <v>0.9521629663538568</v>
                </pt>
                <pt idx="98">
                  <v>0.9582665751125353</v>
                </pt>
                <pt idx="99">
                  <v>0.9643701838712139</v>
                </pt>
                <pt idx="100">
                  <v>0.9689478904402228</v>
                </pt>
                <pt idx="101">
                  <v>0.9735255970092317</v>
                </pt>
                <pt idx="102">
                  <v>0.976577401388571</v>
                </pt>
                <pt idx="103">
                  <v>0.9781033035782406</v>
                </pt>
                <pt idx="104">
                  <v>0.9796292057679102</v>
                </pt>
                <pt idx="105">
                  <v>0.9811551079575799</v>
                </pt>
                <pt idx="106">
                  <v>0.9811551079575799</v>
                </pt>
                <pt idx="107">
                  <v>0.9811551079575799</v>
                </pt>
                <pt idx="108">
                  <v>0.9796292057679102</v>
                </pt>
                <pt idx="109">
                  <v>0.9781033035782406</v>
                </pt>
                <pt idx="110">
                  <v>0.976577401388571</v>
                </pt>
                <pt idx="111">
                  <v>0.9735255970092317</v>
                </pt>
                <pt idx="112">
                  <v>0.9704737926298924</v>
                </pt>
                <pt idx="113">
                  <v>0.9674219882505531</v>
                </pt>
                <pt idx="114">
                  <v>0.9643701838712139</v>
                </pt>
                <pt idx="115">
                  <v>0.9613183794918746</v>
                </pt>
                <pt idx="116">
                  <v>0.9582665751125353</v>
                </pt>
                <pt idx="117">
                  <v>0.9536888685435264</v>
                </pt>
                <pt idx="118">
                  <v>0.950637064164187</v>
                </pt>
                <pt idx="119">
                  <v>0.9475852597848478</v>
                </pt>
                <pt idx="120">
                  <v>0.9445334554055085</v>
                </pt>
                <pt idx="121">
                  <v>0.9414816510261692</v>
                </pt>
                <pt idx="122">
                  <v>0.9384298466468299</v>
                </pt>
                <pt idx="123">
                  <v>0.9369039444571603</v>
                </pt>
                <pt idx="124">
                  <v>0.933852140077821</v>
                </pt>
                <pt idx="125">
                  <v>0.9323262378881514</v>
                </pt>
                <pt idx="126">
                  <v>0.9292744335088121</v>
                </pt>
                <pt idx="127">
                  <v>0.9277485313191425</v>
                </pt>
                <pt idx="128">
                  <v>0.9262226291294728</v>
                </pt>
                <pt idx="129">
                  <v>0.9262226291294728</v>
                </pt>
                <pt idx="130">
                  <v>0.9246967269398032</v>
                </pt>
                <pt idx="131">
                  <v>0.9246967269398032</v>
                </pt>
                <pt idx="132">
                  <v>0.9231708247501336</v>
                </pt>
                <pt idx="133">
                  <v>0.9231708247501336</v>
                </pt>
                <pt idx="134">
                  <v>0.9231708247501336</v>
                </pt>
                <pt idx="135">
                  <v>0.9246967269398032</v>
                </pt>
                <pt idx="136">
                  <v>0.9246967269398032</v>
                </pt>
                <pt idx="137">
                  <v>0.9262226291294728</v>
                </pt>
                <pt idx="138">
                  <v>0.9277485313191425</v>
                </pt>
                <pt idx="139">
                  <v>0.9277485313191425</v>
                </pt>
                <pt idx="140">
                  <v>0.9308003356984818</v>
                </pt>
                <pt idx="141">
                  <v>0.9323262378881514</v>
                </pt>
                <pt idx="142">
                  <v>0.933852140077821</v>
                </pt>
                <pt idx="143">
                  <v>0.9353780422674907</v>
                </pt>
                <pt idx="144">
                  <v>0.9384298466468299</v>
                </pt>
                <pt idx="145">
                  <v>0.9399557488364996</v>
                </pt>
                <pt idx="146">
                  <v>0.9430075532158388</v>
                </pt>
                <pt idx="147">
                  <v>0.9460593575951781</v>
                </pt>
                <pt idx="148">
                  <v>0.9475852597848478</v>
                </pt>
                <pt idx="149">
                  <v>0.950637064164187</v>
                </pt>
                <pt idx="150">
                  <v>0.9536888685435264</v>
                </pt>
                <pt idx="151">
                  <v>0.9567406729228657</v>
                </pt>
                <pt idx="152">
                  <v>0.9582665751125353</v>
                </pt>
                <pt idx="153">
                  <v>0.9613183794918746</v>
                </pt>
                <pt idx="154">
                  <v>0.9643701838712139</v>
                </pt>
                <pt idx="155">
                  <v>0.9674219882505531</v>
                </pt>
                <pt idx="156">
                  <v>0.9689478904402228</v>
                </pt>
                <pt idx="157">
                  <v>0.9719996948195621</v>
                </pt>
                <pt idx="158">
                  <v>0.9750514991989013</v>
                </pt>
                <pt idx="159">
                  <v>0.976577401388571</v>
                </pt>
                <pt idx="160">
                  <v>0.9796292057679102</v>
                </pt>
                <pt idx="161">
                  <v>0.9826810101472495</v>
                </pt>
                <pt idx="162">
                  <v>0.9842069123369191</v>
                </pt>
                <pt idx="163">
                  <v>0.9857328145265888</v>
                </pt>
                <pt idx="164">
                  <v>0.9887846189059281</v>
                </pt>
                <pt idx="165">
                  <v>0.9903105210955977</v>
                </pt>
                <pt idx="166">
                  <v>0.9918364232852673</v>
                </pt>
                <pt idx="167">
                  <v>0.993362325474937</v>
                </pt>
                <pt idx="168">
                  <v>0.9948882276646066</v>
                </pt>
                <pt idx="169">
                  <v>0.9964141298542762</v>
                </pt>
                <pt idx="170">
                  <v>0.9979400320439459</v>
                </pt>
                <pt idx="171">
                  <v>0.9994659342336155</v>
                </pt>
                <pt idx="172">
                  <v>1.000991836423285</v>
                </pt>
                <pt idx="173">
                  <v>1.002517738612955</v>
                </pt>
                <pt idx="174">
                  <v>1.002517738612955</v>
                </pt>
                <pt idx="175">
                  <v>1.004043640802625</v>
                </pt>
                <pt idx="176">
                  <v>1.004043640802625</v>
                </pt>
                <pt idx="177">
                  <v>1.005569542992294</v>
                </pt>
                <pt idx="178">
                  <v>1.005569542992294</v>
                </pt>
                <pt idx="179">
                  <v>1.005569542992294</v>
                </pt>
                <pt idx="180">
                  <v>1.007095445181964</v>
                </pt>
                <pt idx="181">
                  <v>1.007095445181964</v>
                </pt>
                <pt idx="182">
                  <v>1.007095445181964</v>
                </pt>
                <pt idx="183">
                  <v>1.007095445181964</v>
                </pt>
                <pt idx="184">
                  <v>1.007095445181964</v>
                </pt>
                <pt idx="185">
                  <v>1.007095445181964</v>
                </pt>
                <pt idx="186">
                  <v>1.007095445181964</v>
                </pt>
                <pt idx="187">
                  <v>1.007095445181964</v>
                </pt>
                <pt idx="188">
                  <v>1.007095445181964</v>
                </pt>
                <pt idx="189">
                  <v>1.007095445181964</v>
                </pt>
                <pt idx="190">
                  <v>1.007095445181964</v>
                </pt>
                <pt idx="191">
                  <v>1.007095445181964</v>
                </pt>
                <pt idx="192">
                  <v>1.005569542992294</v>
                </pt>
                <pt idx="193">
                  <v>1.005569542992294</v>
                </pt>
                <pt idx="194">
                  <v>1.005569542992294</v>
                </pt>
                <pt idx="195">
                  <v>1.005569542992294</v>
                </pt>
                <pt idx="196">
                  <v>1.004043640802625</v>
                </pt>
                <pt idx="197">
                  <v>1.004043640802625</v>
                </pt>
                <pt idx="198">
                  <v>1.004043640802625</v>
                </pt>
                <pt idx="199">
                  <v>1.004043640802625</v>
                </pt>
                <pt idx="200">
                  <v>1.002517738612955</v>
                </pt>
                <pt idx="201">
                  <v>1.002517738612955</v>
                </pt>
                <pt idx="202">
                  <v>1.002517738612955</v>
                </pt>
                <pt idx="203">
                  <v>1.002517738612955</v>
                </pt>
                <pt idx="204">
                  <v>1.000991836423285</v>
                </pt>
                <pt idx="205">
                  <v>1.000991836423285</v>
                </pt>
                <pt idx="206">
                  <v>1.000991836423285</v>
                </pt>
                <pt idx="207">
                  <v>1.000991836423285</v>
                </pt>
                <pt idx="208">
                  <v>1.000991836423285</v>
                </pt>
                <pt idx="209">
                  <v>1.000991836423285</v>
                </pt>
                <pt idx="210">
                  <v>1.000991836423285</v>
                </pt>
                <pt idx="211">
                  <v>0.9994659342336155</v>
                </pt>
                <pt idx="212">
                  <v>0.9994659342336155</v>
                </pt>
                <pt idx="213">
                  <v>0.9994659342336155</v>
                </pt>
                <pt idx="214">
                  <v>0.9994659342336155</v>
                </pt>
                <pt idx="215">
                  <v>0.9994659342336155</v>
                </pt>
                <pt idx="216">
                  <v>0.9994659342336155</v>
                </pt>
                <pt idx="217">
                  <v>0.9994659342336155</v>
                </pt>
                <pt idx="218">
                  <v>0.9994659342336155</v>
                </pt>
                <pt idx="219">
                  <v>0.9994659342336155</v>
                </pt>
                <pt idx="220">
                  <v>0.9994659342336155</v>
                </pt>
                <pt idx="221">
                  <v>0.9994659342336155</v>
                </pt>
                <pt idx="222">
                  <v>0.9994659342336155</v>
                </pt>
                <pt idx="223">
                  <v>0.9994659342336155</v>
                </pt>
                <pt idx="224">
                  <v>0.9994659342336155</v>
                </pt>
                <pt idx="225">
                  <v>0.9994659342336155</v>
                </pt>
                <pt idx="226">
                  <v>0.9994659342336155</v>
                </pt>
                <pt idx="227">
                  <v>0.9994659342336155</v>
                </pt>
                <pt idx="228">
                  <v>0.9994659342336155</v>
                </pt>
                <pt idx="229">
                  <v>0.9994659342336155</v>
                </pt>
                <pt idx="230">
                  <v>0.9994659342336155</v>
                </pt>
                <pt idx="231">
                  <v>0.9994659342336155</v>
                </pt>
                <pt idx="232">
                  <v>1.000991836423285</v>
                </pt>
                <pt idx="233">
                  <v>1.000991836423285</v>
                </pt>
                <pt idx="234">
                  <v>1.000991836423285</v>
                </pt>
                <pt idx="235">
                  <v>1.000991836423285</v>
                </pt>
                <pt idx="236">
                  <v>1.000991836423285</v>
                </pt>
                <pt idx="237">
                  <v>1.000991836423285</v>
                </pt>
                <pt idx="238">
                  <v>1.000991836423285</v>
                </pt>
                <pt idx="239">
                  <v>1.000991836423285</v>
                </pt>
                <pt idx="240">
                  <v>1.000991836423285</v>
                </pt>
                <pt idx="241">
                  <v>1.000991836423285</v>
                </pt>
                <pt idx="242">
                  <v>1.000991836423285</v>
                </pt>
                <pt idx="243">
                  <v>1.000991836423285</v>
                </pt>
                <pt idx="244">
                  <v>1.000991836423285</v>
                </pt>
                <pt idx="245">
                  <v>1.000991836423285</v>
                </pt>
                <pt idx="246">
                  <v>1.000991836423285</v>
                </pt>
                <pt idx="247">
                  <v>1.000991836423285</v>
                </pt>
                <pt idx="248">
                  <v>1.000991836423285</v>
                </pt>
                <pt idx="249">
                  <v>1.000991836423285</v>
                </pt>
                <pt idx="250">
                  <v>1.000991836423285</v>
                </pt>
                <pt idx="251">
                  <v>1.000991836423285</v>
                </pt>
                <pt idx="252">
                  <v>1.000991836423285</v>
                </pt>
                <pt idx="253">
                  <v>1.000991836423285</v>
                </pt>
                <pt idx="254">
                  <v>1.000991836423285</v>
                </pt>
                <pt idx="255">
                  <v>1.000991836423285</v>
                </pt>
                <pt idx="256">
                  <v>1.000991836423285</v>
                </pt>
                <pt idx="257">
                  <v>1.000991836423285</v>
                </pt>
                <pt idx="258">
                  <v>1.000991836423285</v>
                </pt>
                <pt idx="259">
                  <v>1.000991836423285</v>
                </pt>
                <pt idx="260">
                  <v>1.000991836423285</v>
                </pt>
                <pt idx="261">
                  <v>1.000991836423285</v>
                </pt>
                <pt idx="262">
                  <v>1.000991836423285</v>
                </pt>
                <pt idx="263">
                  <v>1.000991836423285</v>
                </pt>
                <pt idx="264">
                  <v>1.000991836423285</v>
                </pt>
                <pt idx="265">
                  <v>1.000991836423285</v>
                </pt>
                <pt idx="266">
                  <v>1.000991836423285</v>
                </pt>
                <pt idx="267">
                  <v>1.000991836423285</v>
                </pt>
                <pt idx="268">
                  <v>1.000991836423285</v>
                </pt>
                <pt idx="269">
                  <v>1.000991836423285</v>
                </pt>
                <pt idx="270">
                  <v>1.000991836423285</v>
                </pt>
                <pt idx="271">
                  <v>1.000991836423285</v>
                </pt>
                <pt idx="272">
                  <v>1.000991836423285</v>
                </pt>
                <pt idx="273">
                  <v>1.000991836423285</v>
                </pt>
                <pt idx="274">
                  <v>0.9994659342336155</v>
                </pt>
                <pt idx="275">
                  <v>0.9994659342336155</v>
                </pt>
                <pt idx="276">
                  <v>0.9994659342336155</v>
                </pt>
                <pt idx="277">
                  <v>0.9994659342336155</v>
                </pt>
                <pt idx="278">
                  <v>0.9994659342336155</v>
                </pt>
                <pt idx="279">
                  <v>0.9994659342336155</v>
                </pt>
                <pt idx="280">
                  <v>0.9994659342336155</v>
                </pt>
                <pt idx="281">
                  <v>0.9994659342336155</v>
                </pt>
                <pt idx="282">
                  <v>0.9994659342336155</v>
                </pt>
                <pt idx="283">
                  <v>0.9994659342336155</v>
                </pt>
                <pt idx="284">
                  <v>0.9994659342336155</v>
                </pt>
                <pt idx="285">
                  <v>0.9994659342336155</v>
                </pt>
                <pt idx="286">
                  <v>0.9994659342336155</v>
                </pt>
                <pt idx="287">
                  <v>0.9994659342336155</v>
                </pt>
                <pt idx="288">
                  <v>0.9994659342336155</v>
                </pt>
                <pt idx="289">
                  <v>0.9994659342336155</v>
                </pt>
                <pt idx="290">
                  <v>0.9994659342336155</v>
                </pt>
                <pt idx="291">
                  <v>0.9994659342336155</v>
                </pt>
                <pt idx="292">
                  <v>0.9994659342336155</v>
                </pt>
                <pt idx="293">
                  <v>0.9994659342336155</v>
                </pt>
                <pt idx="294">
                  <v>0.9994659342336155</v>
                </pt>
                <pt idx="295">
                  <v>0.9994659342336155</v>
                </pt>
                <pt idx="296">
                  <v>0.9994659342336155</v>
                </pt>
                <pt idx="297">
                  <v>0.9994659342336155</v>
                </pt>
                <pt idx="298">
                  <v>0.9994659342336155</v>
                </pt>
                <pt idx="299">
                  <v>1.000991836423285</v>
                </pt>
                <pt idx="300">
                  <v>1.000991836423285</v>
                </pt>
                <pt idx="301">
                  <v>1.000991836423285</v>
                </pt>
                <pt idx="302">
                  <v>1.000991836423285</v>
                </pt>
                <pt idx="303">
                  <v>1.000991836423285</v>
                </pt>
                <pt idx="304">
                  <v>1.000991836423285</v>
                </pt>
                <pt idx="305">
                  <v>1.000991836423285</v>
                </pt>
                <pt idx="306">
                  <v>1.000991836423285</v>
                </pt>
                <pt idx="307">
                  <v>1.000991836423285</v>
                </pt>
                <pt idx="308">
                  <v>1.000991836423285</v>
                </pt>
                <pt idx="309">
                  <v>1.000991836423285</v>
                </pt>
                <pt idx="310">
                  <v>1.000991836423285</v>
                </pt>
                <pt idx="311">
                  <v>1.000991836423285</v>
                </pt>
                <pt idx="312">
                  <v>1.000991836423285</v>
                </pt>
                <pt idx="313">
                  <v>1.000991836423285</v>
                </pt>
                <pt idx="314">
                  <v>1.000991836423285</v>
                </pt>
                <pt idx="315">
                  <v>1.000991836423285</v>
                </pt>
                <pt idx="316">
                  <v>1.000991836423285</v>
                </pt>
                <pt idx="317">
                  <v>1.000991836423285</v>
                </pt>
                <pt idx="318">
                  <v>1.000991836423285</v>
                </pt>
                <pt idx="319">
                  <v>1.000991836423285</v>
                </pt>
                <pt idx="320">
                  <v>1.000991836423285</v>
                </pt>
                <pt idx="321">
                  <v>1.000991836423285</v>
                </pt>
                <pt idx="322">
                  <v>1.000991836423285</v>
                </pt>
                <pt idx="323">
                  <v>1.000991836423285</v>
                </pt>
                <pt idx="324">
                  <v>1.000991836423285</v>
                </pt>
                <pt idx="325">
                  <v>1.000991836423285</v>
                </pt>
                <pt idx="326">
                  <v>1.000991836423285</v>
                </pt>
                <pt idx="327">
                  <v>1.000991836423285</v>
                </pt>
                <pt idx="328">
                  <v>0.9994659342336155</v>
                </pt>
                <pt idx="329">
                  <v>0.9994659342336155</v>
                </pt>
                <pt idx="330">
                  <v>0.9994659342336155</v>
                </pt>
                <pt idx="331">
                  <v>0.9994659342336155</v>
                </pt>
                <pt idx="332">
                  <v>0.9994659342336155</v>
                </pt>
                <pt idx="333">
                  <v>0.9994659342336155</v>
                </pt>
                <pt idx="334">
                  <v>0.9994659342336155</v>
                </pt>
                <pt idx="335">
                  <v>0.9994659342336155</v>
                </pt>
                <pt idx="336">
                  <v>0.9994659342336155</v>
                </pt>
                <pt idx="337">
                  <v>0.9994659342336155</v>
                </pt>
                <pt idx="338">
                  <v>0.9994659342336155</v>
                </pt>
                <pt idx="339">
                  <v>0.9994659342336155</v>
                </pt>
                <pt idx="340">
                  <v>0.9994659342336155</v>
                </pt>
                <pt idx="341">
                  <v>0.9994659342336155</v>
                </pt>
                <pt idx="342">
                  <v>0.9994659342336155</v>
                </pt>
                <pt idx="343">
                  <v>0.9994659342336155</v>
                </pt>
                <pt idx="344">
                  <v>0.9994659342336155</v>
                </pt>
                <pt idx="345">
                  <v>0.9994659342336155</v>
                </pt>
                <pt idx="346">
                  <v>0.9994659342336155</v>
                </pt>
                <pt idx="347">
                  <v>0.9994659342336155</v>
                </pt>
                <pt idx="348">
                  <v>0.9994659342336155</v>
                </pt>
                <pt idx="349">
                  <v>0.9994659342336155</v>
                </pt>
                <pt idx="350">
                  <v>0.9994659342336155</v>
                </pt>
                <pt idx="351">
                  <v>0.9994659342336155</v>
                </pt>
                <pt idx="352">
                  <v>0.9994659342336155</v>
                </pt>
                <pt idx="353">
                  <v>0.9994659342336155</v>
                </pt>
                <pt idx="354">
                  <v>0.9994659342336155</v>
                </pt>
                <pt idx="355">
                  <v>1.000991836423285</v>
                </pt>
                <pt idx="356">
                  <v>1.000991836423285</v>
                </pt>
                <pt idx="357">
                  <v>1.000991836423285</v>
                </pt>
                <pt idx="358">
                  <v>1.000991836423285</v>
                </pt>
                <pt idx="359">
                  <v>1.000991836423285</v>
                </pt>
                <pt idx="360">
                  <v>1.000991836423285</v>
                </pt>
                <pt idx="361">
                  <v>1.000991836423285</v>
                </pt>
                <pt idx="362">
                  <v>1.000991836423285</v>
                </pt>
                <pt idx="363">
                  <v>1.000991836423285</v>
                </pt>
                <pt idx="364">
                  <v>1.000991836423285</v>
                </pt>
                <pt idx="365">
                  <v>1.000991836423285</v>
                </pt>
                <pt idx="366">
                  <v>1.000991836423285</v>
                </pt>
                <pt idx="367">
                  <v>1.000991836423285</v>
                </pt>
                <pt idx="368">
                  <v>1.000991836423285</v>
                </pt>
                <pt idx="369">
                  <v>1.000991836423285</v>
                </pt>
                <pt idx="370">
                  <v>1.000991836423285</v>
                </pt>
                <pt idx="371">
                  <v>1.000991836423285</v>
                </pt>
                <pt idx="372">
                  <v>1.000991836423285</v>
                </pt>
                <pt idx="373">
                  <v>1.000991836423285</v>
                </pt>
                <pt idx="374">
                  <v>1.000991836423285</v>
                </pt>
                <pt idx="375">
                  <v>1.000991836423285</v>
                </pt>
                <pt idx="376">
                  <v>1.000991836423285</v>
                </pt>
                <pt idx="377">
                  <v>1.000991836423285</v>
                </pt>
                <pt idx="378">
                  <v>1.000991836423285</v>
                </pt>
                <pt idx="379">
                  <v>1.000991836423285</v>
                </pt>
                <pt idx="380">
                  <v>1.000991836423285</v>
                </pt>
                <pt idx="381">
                  <v>1.000991836423285</v>
                </pt>
                <pt idx="382">
                  <v>1.000991836423285</v>
                </pt>
                <pt idx="383">
                  <v>0.9994659342336155</v>
                </pt>
                <pt idx="384">
                  <v>0.9994659342336155</v>
                </pt>
                <pt idx="385">
                  <v>0.9994659342336155</v>
                </pt>
                <pt idx="386">
                  <v>0.9994659342336155</v>
                </pt>
                <pt idx="387">
                  <v>0.9994659342336155</v>
                </pt>
                <pt idx="388">
                  <v>0.9994659342336155</v>
                </pt>
                <pt idx="389">
                  <v>0.9994659342336155</v>
                </pt>
                <pt idx="390">
                  <v>0.9994659342336155</v>
                </pt>
                <pt idx="391">
                  <v>0.9994659342336155</v>
                </pt>
                <pt idx="392">
                  <v>0.9994659342336155</v>
                </pt>
                <pt idx="393">
                  <v>0.9994659342336155</v>
                </pt>
                <pt idx="394">
                  <v>0.9994659342336155</v>
                </pt>
                <pt idx="395">
                  <v>0.9994659342336155</v>
                </pt>
                <pt idx="396">
                  <v>0.9994659342336155</v>
                </pt>
                <pt idx="397">
                  <v>0.9994659342336155</v>
                </pt>
                <pt idx="398">
                  <v>0.9994659342336155</v>
                </pt>
                <pt idx="399">
                  <v>0.9994659342336155</v>
                </pt>
                <pt idx="400">
                  <v>0.9994659342336155</v>
                </pt>
                <pt idx="401">
                  <v>0.9994659342336155</v>
                </pt>
                <pt idx="402">
                  <v>0.9994659342336155</v>
                </pt>
                <pt idx="403">
                  <v>0.9994659342336155</v>
                </pt>
                <pt idx="404">
                  <v>0.9994659342336155</v>
                </pt>
                <pt idx="405">
                  <v>0.9994659342336155</v>
                </pt>
                <pt idx="406">
                  <v>0.9994659342336155</v>
                </pt>
                <pt idx="407">
                  <v>0.9994659342336155</v>
                </pt>
                <pt idx="408">
                  <v>0.9994659342336155</v>
                </pt>
                <pt idx="409">
                  <v>0.9994659342336155</v>
                </pt>
                <pt idx="410">
                  <v>1.000991836423285</v>
                </pt>
                <pt idx="411">
                  <v>1.000991836423285</v>
                </pt>
                <pt idx="412">
                  <v>1.000991836423285</v>
                </pt>
                <pt idx="413">
                  <v>1.000991836423285</v>
                </pt>
                <pt idx="414">
                  <v>1.000991836423285</v>
                </pt>
                <pt idx="415">
                  <v>1.000991836423285</v>
                </pt>
                <pt idx="416">
                  <v>1.000991836423285</v>
                </pt>
                <pt idx="417">
                  <v>1.000991836423285</v>
                </pt>
                <pt idx="418">
                  <v>1.000991836423285</v>
                </pt>
                <pt idx="419">
                  <v>1.000991836423285</v>
                </pt>
                <pt idx="420">
                  <v>1.000991836423285</v>
                </pt>
                <pt idx="421">
                  <v>1.000991836423285</v>
                </pt>
                <pt idx="422">
                  <v>1.000991836423285</v>
                </pt>
                <pt idx="423">
                  <v>1.000991836423285</v>
                </pt>
                <pt idx="424">
                  <v>1.000991836423285</v>
                </pt>
                <pt idx="425">
                  <v>1.000991836423285</v>
                </pt>
                <pt idx="426">
                  <v>1.000991836423285</v>
                </pt>
                <pt idx="427">
                  <v>1.000991836423285</v>
                </pt>
                <pt idx="428">
                  <v>1.000991836423285</v>
                </pt>
                <pt idx="429">
                  <v>1.000991836423285</v>
                </pt>
                <pt idx="430">
                  <v>1.000991836423285</v>
                </pt>
                <pt idx="431">
                  <v>1.000991836423285</v>
                </pt>
                <pt idx="432">
                  <v>1.000991836423285</v>
                </pt>
                <pt idx="433">
                  <v>1.000991836423285</v>
                </pt>
                <pt idx="434">
                  <v>1.000991836423285</v>
                </pt>
                <pt idx="435">
                  <v>1.000991836423285</v>
                </pt>
                <pt idx="436">
                  <v>1.000991836423285</v>
                </pt>
                <pt idx="437">
                  <v>0.9994659342336155</v>
                </pt>
                <pt idx="438">
                  <v>0.9994659342336155</v>
                </pt>
                <pt idx="439">
                  <v>0.9994659342336155</v>
                </pt>
                <pt idx="440">
                  <v>0.9994659342336155</v>
                </pt>
                <pt idx="441">
                  <v>0.9994659342336155</v>
                </pt>
                <pt idx="442">
                  <v>0.9994659342336155</v>
                </pt>
                <pt idx="443">
                  <v>0.9994659342336155</v>
                </pt>
                <pt idx="444">
                  <v>0.9994659342336155</v>
                </pt>
                <pt idx="445">
                  <v>0.9994659342336155</v>
                </pt>
                <pt idx="446">
                  <v>0.9994659342336155</v>
                </pt>
                <pt idx="447">
                  <v>0.9994659342336155</v>
                </pt>
                <pt idx="448">
                  <v>0.9994659342336155</v>
                </pt>
                <pt idx="449">
                  <v>0.9994659342336155</v>
                </pt>
                <pt idx="450">
                  <v>0.9994659342336155</v>
                </pt>
                <pt idx="451">
                  <v>0.9994659342336155</v>
                </pt>
                <pt idx="452">
                  <v>0.9994659342336155</v>
                </pt>
                <pt idx="453">
                  <v>0.9994659342336155</v>
                </pt>
                <pt idx="454">
                  <v>0.9994659342336155</v>
                </pt>
                <pt idx="455">
                  <v>0.9994659342336155</v>
                </pt>
                <pt idx="456">
                  <v>0.9994659342336155</v>
                </pt>
                <pt idx="457">
                  <v>0.9994659342336155</v>
                </pt>
                <pt idx="458">
                  <v>0.9994659342336155</v>
                </pt>
                <pt idx="459">
                  <v>0.9994659342336155</v>
                </pt>
                <pt idx="460">
                  <v>0.9994659342336155</v>
                </pt>
                <pt idx="461">
                  <v>0.9994659342336155</v>
                </pt>
                <pt idx="462">
                  <v>0.9994659342336155</v>
                </pt>
                <pt idx="463">
                  <v>0.9994659342336155</v>
                </pt>
                <pt idx="464">
                  <v>1.000991836423285</v>
                </pt>
                <pt idx="465">
                  <v>1.000991836423285</v>
                </pt>
                <pt idx="466">
                  <v>1.000991836423285</v>
                </pt>
                <pt idx="467">
                  <v>1.000991836423285</v>
                </pt>
                <pt idx="468">
                  <v>1.000991836423285</v>
                </pt>
                <pt idx="469">
                  <v>1.000991836423285</v>
                </pt>
                <pt idx="470">
                  <v>1.000991836423285</v>
                </pt>
                <pt idx="471">
                  <v>1.000991836423285</v>
                </pt>
                <pt idx="472">
                  <v>1.000991836423285</v>
                </pt>
                <pt idx="473">
                  <v>1.000991836423285</v>
                </pt>
                <pt idx="474">
                  <v>1.000991836423285</v>
                </pt>
                <pt idx="475">
                  <v>1.000991836423285</v>
                </pt>
                <pt idx="476">
                  <v>1.000991836423285</v>
                </pt>
                <pt idx="477">
                  <v>1.000991836423285</v>
                </pt>
                <pt idx="478">
                  <v>1.000991836423285</v>
                </pt>
                <pt idx="479">
                  <v>1.000991836423285</v>
                </pt>
                <pt idx="480">
                  <v>1.000991836423285</v>
                </pt>
                <pt idx="481">
                  <v>1.000991836423285</v>
                </pt>
                <pt idx="482">
                  <v>1.000991836423285</v>
                </pt>
                <pt idx="483">
                  <v>1.000991836423285</v>
                </pt>
                <pt idx="484">
                  <v>1.000991836423285</v>
                </pt>
                <pt idx="485">
                  <v>1.000991836423285</v>
                </pt>
                <pt idx="486">
                  <v>1.000991836423285</v>
                </pt>
                <pt idx="487">
                  <v>1.000991836423285</v>
                </pt>
                <pt idx="488">
                  <v>1.000991836423285</v>
                </pt>
                <pt idx="489">
                  <v>1.000991836423285</v>
                </pt>
                <pt idx="490">
                  <v>1.000991836423285</v>
                </pt>
                <pt idx="491">
                  <v>0.9994659342336155</v>
                </pt>
                <pt idx="492">
                  <v>0.9994659342336155</v>
                </pt>
                <pt idx="493">
                  <v>0.9994659342336155</v>
                </pt>
                <pt idx="494">
                  <v>0.9994659342336155</v>
                </pt>
                <pt idx="495">
                  <v>0.9994659342336155</v>
                </pt>
                <pt idx="496">
                  <v>0.9994659342336155</v>
                </pt>
                <pt idx="497">
                  <v>0.9994659342336155</v>
                </pt>
                <pt idx="498">
                  <v>0.9994659342336155</v>
                </pt>
                <pt idx="499">
                  <v>0.9994659342336155</v>
                </pt>
                <pt idx="500">
                  <v>0.9994659342336155</v>
                </pt>
                <pt idx="501">
                  <v>0.9994659342336155</v>
                </pt>
                <pt idx="502">
                  <v>0.9994659342336155</v>
                </pt>
                <pt idx="503">
                  <v>0.9994659342336155</v>
                </pt>
                <pt idx="504">
                  <v>0.9994659342336155</v>
                </pt>
                <pt idx="505">
                  <v>0.9994659342336155</v>
                </pt>
                <pt idx="506">
                  <v>0.9994659342336155</v>
                </pt>
                <pt idx="507">
                  <v>0.9994659342336155</v>
                </pt>
                <pt idx="508">
                  <v>0.9994659342336155</v>
                </pt>
                <pt idx="509">
                  <v>0.9994659342336155</v>
                </pt>
                <pt idx="510">
                  <v>0.9994659342336155</v>
                </pt>
                <pt idx="511">
                  <v>0.9994659342336155</v>
                </pt>
                <pt idx="512">
                  <v>0.9994659342336155</v>
                </pt>
                <pt idx="513">
                  <v>0.9994659342336155</v>
                </pt>
                <pt idx="514">
                  <v>0.9994659342336155</v>
                </pt>
                <pt idx="515">
                  <v>0.9994659342336155</v>
                </pt>
                <pt idx="516">
                  <v>0.9994659342336155</v>
                </pt>
                <pt idx="517">
                  <v>0.9994659342336155</v>
                </pt>
                <pt idx="518">
                  <v>1.000991836423285</v>
                </pt>
                <pt idx="519">
                  <v>1.000991836423285</v>
                </pt>
                <pt idx="520">
                  <v>1.000991836423285</v>
                </pt>
                <pt idx="521">
                  <v>1.000991836423285</v>
                </pt>
                <pt idx="522">
                  <v>1.000991836423285</v>
                </pt>
                <pt idx="523">
                  <v>1.000991836423285</v>
                </pt>
                <pt idx="524">
                  <v>1.000991836423285</v>
                </pt>
                <pt idx="525">
                  <v>1.000991836423285</v>
                </pt>
                <pt idx="526">
                  <v>1.000991836423285</v>
                </pt>
                <pt idx="527">
                  <v>1.000991836423285</v>
                </pt>
                <pt idx="528">
                  <v>1.000991836423285</v>
                </pt>
                <pt idx="529">
                  <v>1.000991836423285</v>
                </pt>
                <pt idx="530">
                  <v>1.000991836423285</v>
                </pt>
                <pt idx="531">
                  <v>1.000991836423285</v>
                </pt>
                <pt idx="532">
                  <v>1.000991836423285</v>
                </pt>
                <pt idx="533">
                  <v>1.000991836423285</v>
                </pt>
                <pt idx="534">
                  <v>1.000991836423285</v>
                </pt>
                <pt idx="535">
                  <v>1.000991836423285</v>
                </pt>
                <pt idx="536">
                  <v>1.000991836423285</v>
                </pt>
                <pt idx="537">
                  <v>1.000991836423285</v>
                </pt>
                <pt idx="538">
                  <v>1.000991836423285</v>
                </pt>
                <pt idx="539">
                  <v>1.000991836423285</v>
                </pt>
                <pt idx="540">
                  <v>1.000991836423285</v>
                </pt>
                <pt idx="541">
                  <v>1.000991836423285</v>
                </pt>
                <pt idx="542">
                  <v>1.000991836423285</v>
                </pt>
                <pt idx="543">
                  <v>1.000991836423285</v>
                </pt>
                <pt idx="544">
                  <v>1.000991836423285</v>
                </pt>
                <pt idx="545">
                  <v>0.9994659342336155</v>
                </pt>
                <pt idx="546">
                  <v>0.9994659342336155</v>
                </pt>
                <pt idx="547">
                  <v>0.9994659342336155</v>
                </pt>
                <pt idx="548">
                  <v>0.9994659342336155</v>
                </pt>
                <pt idx="549">
                  <v>0.9994659342336155</v>
                </pt>
                <pt idx="550">
                  <v>0.9994659342336155</v>
                </pt>
                <pt idx="551">
                  <v>0.9994659342336155</v>
                </pt>
                <pt idx="552">
                  <v>0.9994659342336155</v>
                </pt>
                <pt idx="553">
                  <v>0.9994659342336155</v>
                </pt>
                <pt idx="554">
                  <v>0.9994659342336155</v>
                </pt>
                <pt idx="555">
                  <v>0.9994659342336155</v>
                </pt>
                <pt idx="556">
                  <v>0.9994659342336155</v>
                </pt>
                <pt idx="557">
                  <v>0.9994659342336155</v>
                </pt>
                <pt idx="558">
                  <v>0.9994659342336155</v>
                </pt>
                <pt idx="559">
                  <v>0.9994659342336155</v>
                </pt>
                <pt idx="560">
                  <v>0.9994659342336155</v>
                </pt>
                <pt idx="561">
                  <v>0.9994659342336155</v>
                </pt>
                <pt idx="562">
                  <v>0.9994659342336155</v>
                </pt>
                <pt idx="563">
                  <v>0.9994659342336155</v>
                </pt>
                <pt idx="564">
                  <v>0.9994659342336155</v>
                </pt>
                <pt idx="565">
                  <v>0.9994659342336155</v>
                </pt>
                <pt idx="566">
                  <v>0.9994659342336155</v>
                </pt>
                <pt idx="567">
                  <v>0.9994659342336155</v>
                </pt>
                <pt idx="568">
                  <v>0.9994659342336155</v>
                </pt>
                <pt idx="569">
                  <v>0.9994659342336155</v>
                </pt>
                <pt idx="570">
                  <v>0.9994659342336155</v>
                </pt>
                <pt idx="571">
                  <v>0.9994659342336155</v>
                </pt>
                <pt idx="572">
                  <v>1.000991836423285</v>
                </pt>
                <pt idx="573">
                  <v>1.000991836423285</v>
                </pt>
                <pt idx="574">
                  <v>1.000991836423285</v>
                </pt>
                <pt idx="575">
                  <v>1.000991836423285</v>
                </pt>
                <pt idx="576">
                  <v>1.000991836423285</v>
                </pt>
                <pt idx="577">
                  <v>1.000991836423285</v>
                </pt>
                <pt idx="578">
                  <v>1.000991836423285</v>
                </pt>
                <pt idx="579">
                  <v>1.000991836423285</v>
                </pt>
                <pt idx="580">
                  <v>1.000991836423285</v>
                </pt>
                <pt idx="581">
                  <v>1.000991836423285</v>
                </pt>
                <pt idx="582">
                  <v>1.000991836423285</v>
                </pt>
                <pt idx="583">
                  <v>1.000991836423285</v>
                </pt>
                <pt idx="584">
                  <v>1.000991836423285</v>
                </pt>
                <pt idx="585">
                  <v>1.000991836423285</v>
                </pt>
                <pt idx="586">
                  <v>1.000991836423285</v>
                </pt>
                <pt idx="587">
                  <v>1.000991836423285</v>
                </pt>
                <pt idx="588">
                  <v>1.000991836423285</v>
                </pt>
                <pt idx="589">
                  <v>1.000991836423285</v>
                </pt>
                <pt idx="590">
                  <v>1.000991836423285</v>
                </pt>
                <pt idx="591">
                  <v>1.000991836423285</v>
                </pt>
                <pt idx="592">
                  <v>1.000991836423285</v>
                </pt>
                <pt idx="593">
                  <v>1.000991836423285</v>
                </pt>
                <pt idx="594">
                  <v>1.000991836423285</v>
                </pt>
                <pt idx="595">
                  <v>1.000991836423285</v>
                </pt>
                <pt idx="596">
                  <v>1.000991836423285</v>
                </pt>
                <pt idx="597">
                  <v>1.000991836423285</v>
                </pt>
                <pt idx="598">
                  <v>1.000991836423285</v>
                </pt>
                <pt idx="599">
                  <v>0.9994659342336155</v>
                </pt>
                <pt idx="600">
                  <v>0.9994659342336155</v>
                </pt>
                <pt idx="601">
                  <v>0.9994659342336155</v>
                </pt>
                <pt idx="602">
                  <v>0.9994659342336155</v>
                </pt>
                <pt idx="603">
                  <v>0.9994659342336155</v>
                </pt>
                <pt idx="604">
                  <v>0.9994659342336155</v>
                </pt>
                <pt idx="605">
                  <v>0.9994659342336155</v>
                </pt>
                <pt idx="606">
                  <v>0.9994659342336155</v>
                </pt>
                <pt idx="607">
                  <v>0.9994659342336155</v>
                </pt>
                <pt idx="608">
                  <v>0.9994659342336155</v>
                </pt>
                <pt idx="609">
                  <v>0.9994659342336155</v>
                </pt>
                <pt idx="610">
                  <v>0.9994659342336155</v>
                </pt>
                <pt idx="611">
                  <v>0.9994659342336155</v>
                </pt>
                <pt idx="612">
                  <v>0.9994659342336155</v>
                </pt>
                <pt idx="613">
                  <v>0.9994659342336155</v>
                </pt>
                <pt idx="614">
                  <v>0.9994659342336155</v>
                </pt>
                <pt idx="615">
                  <v>0.9994659342336155</v>
                </pt>
                <pt idx="616">
                  <v>0.9994659342336155</v>
                </pt>
                <pt idx="617">
                  <v>0.9994659342336155</v>
                </pt>
                <pt idx="618">
                  <v>0.9994659342336155</v>
                </pt>
                <pt idx="619">
                  <v>0.9994659342336155</v>
                </pt>
                <pt idx="620">
                  <v>0.9994659342336155</v>
                </pt>
                <pt idx="621">
                  <v>0.9994659342336155</v>
                </pt>
                <pt idx="622">
                  <v>0.9994659342336155</v>
                </pt>
                <pt idx="623">
                  <v>0.9994659342336155</v>
                </pt>
                <pt idx="624">
                  <v>0.9994659342336155</v>
                </pt>
                <pt idx="625">
                  <v>0.9994659342336155</v>
                </pt>
                <pt idx="626">
                  <v>1.000991836423285</v>
                </pt>
                <pt idx="627">
                  <v>1.000991836423285</v>
                </pt>
                <pt idx="628">
                  <v>1.000991836423285</v>
                </pt>
                <pt idx="629">
                  <v>1.000991836423285</v>
                </pt>
                <pt idx="630">
                  <v>1.000991836423285</v>
                </pt>
                <pt idx="631">
                  <v>1.000991836423285</v>
                </pt>
                <pt idx="632">
                  <v>1.000991836423285</v>
                </pt>
                <pt idx="633">
                  <v>1.000991836423285</v>
                </pt>
                <pt idx="634">
                  <v>1.000991836423285</v>
                </pt>
                <pt idx="635">
                  <v>1.000991836423285</v>
                </pt>
                <pt idx="636">
                  <v>1.000991836423285</v>
                </pt>
                <pt idx="637">
                  <v>1.000991836423285</v>
                </pt>
                <pt idx="638">
                  <v>1.000991836423285</v>
                </pt>
                <pt idx="639">
                  <v>1.000991836423285</v>
                </pt>
                <pt idx="640">
                  <v>1.000991836423285</v>
                </pt>
                <pt idx="641">
                  <v>1.000991836423285</v>
                </pt>
                <pt idx="642">
                  <v>1.000991836423285</v>
                </pt>
                <pt idx="643">
                  <v>1.000991836423285</v>
                </pt>
                <pt idx="644">
                  <v>1.000991836423285</v>
                </pt>
                <pt idx="645">
                  <v>1.000991836423285</v>
                </pt>
                <pt idx="646">
                  <v>1.000991836423285</v>
                </pt>
                <pt idx="647">
                  <v>1.000991836423285</v>
                </pt>
                <pt idx="648">
                  <v>1.000991836423285</v>
                </pt>
                <pt idx="649">
                  <v>1.000991836423285</v>
                </pt>
                <pt idx="650">
                  <v>1.000991836423285</v>
                </pt>
                <pt idx="651">
                  <v>1.000991836423285</v>
                </pt>
                <pt idx="652">
                  <v>1.000991836423285</v>
                </pt>
                <pt idx="653">
                  <v>0.9994659342336155</v>
                </pt>
                <pt idx="654">
                  <v>0.9994659342336155</v>
                </pt>
                <pt idx="655">
                  <v>0.9994659342336155</v>
                </pt>
                <pt idx="656">
                  <v>0.9994659342336155</v>
                </pt>
                <pt idx="657">
                  <v>0.9994659342336155</v>
                </pt>
                <pt idx="658">
                  <v>0.9994659342336155</v>
                </pt>
                <pt idx="659">
                  <v>0.9994659342336155</v>
                </pt>
                <pt idx="660">
                  <v>0.9994659342336155</v>
                </pt>
                <pt idx="661">
                  <v>0.9994659342336155</v>
                </pt>
                <pt idx="662">
                  <v>0.9994659342336155</v>
                </pt>
                <pt idx="663">
                  <v>0.9994659342336155</v>
                </pt>
                <pt idx="664">
                  <v>0.9994659342336155</v>
                </pt>
                <pt idx="665">
                  <v>0.9994659342336155</v>
                </pt>
                <pt idx="666">
                  <v>0.9994659342336155</v>
                </pt>
                <pt idx="667">
                  <v>0.9994659342336155</v>
                </pt>
                <pt idx="668">
                  <v>0.9994659342336155</v>
                </pt>
                <pt idx="669">
                  <v>0.9994659342336155</v>
                </pt>
                <pt idx="670">
                  <v>0.9994659342336155</v>
                </pt>
                <pt idx="671">
                  <v>0.9994659342336155</v>
                </pt>
                <pt idx="672">
                  <v>0.9994659342336155</v>
                </pt>
                <pt idx="673">
                  <v>0.9994659342336155</v>
                </pt>
                <pt idx="674">
                  <v>0.9994659342336155</v>
                </pt>
                <pt idx="675">
                  <v>0.9994659342336155</v>
                </pt>
                <pt idx="676">
                  <v>0.9994659342336155</v>
                </pt>
                <pt idx="677">
                  <v>0.9994659342336155</v>
                </pt>
                <pt idx="678">
                  <v>0.9994659342336155</v>
                </pt>
                <pt idx="679">
                  <v>0.9994659342336155</v>
                </pt>
                <pt idx="680">
                  <v>1.000991836423285</v>
                </pt>
                <pt idx="681">
                  <v>1.000991836423285</v>
                </pt>
                <pt idx="682">
                  <v>1.000991836423285</v>
                </pt>
                <pt idx="683">
                  <v>1.000991836423285</v>
                </pt>
                <pt idx="684">
                  <v>1.000991836423285</v>
                </pt>
                <pt idx="685">
                  <v>1.000991836423285</v>
                </pt>
                <pt idx="686">
                  <v>1.000991836423285</v>
                </pt>
                <pt idx="687">
                  <v>1.000991836423285</v>
                </pt>
                <pt idx="688">
                  <v>1.000991836423285</v>
                </pt>
                <pt idx="689">
                  <v>1.000991836423285</v>
                </pt>
                <pt idx="690">
                  <v>1.000991836423285</v>
                </pt>
                <pt idx="691">
                  <v>1.000991836423285</v>
                </pt>
                <pt idx="692">
                  <v>1.000991836423285</v>
                </pt>
                <pt idx="693">
                  <v>1.000991836423285</v>
                </pt>
                <pt idx="694">
                  <v>1.000991836423285</v>
                </pt>
                <pt idx="695">
                  <v>1.000991836423285</v>
                </pt>
                <pt idx="696">
                  <v>1.000991836423285</v>
                </pt>
                <pt idx="697">
                  <v>1.000991836423285</v>
                </pt>
                <pt idx="698">
                  <v>1.000991836423285</v>
                </pt>
                <pt idx="699">
                  <v>1.000991836423285</v>
                </pt>
                <pt idx="700">
                  <v>1.000991836423285</v>
                </pt>
                <pt idx="701">
                  <v>1.000991836423285</v>
                </pt>
                <pt idx="702">
                  <v>1.000991836423285</v>
                </pt>
                <pt idx="703">
                  <v>1.000991836423285</v>
                </pt>
                <pt idx="704">
                  <v>1.000991836423285</v>
                </pt>
                <pt idx="705">
                  <v>1.000991836423285</v>
                </pt>
                <pt idx="706">
                  <v>1.000991836423285</v>
                </pt>
                <pt idx="707">
                  <v>0.9994659342336155</v>
                </pt>
                <pt idx="708">
                  <v>0.9994659342336155</v>
                </pt>
                <pt idx="709">
                  <v>0.9994659342336155</v>
                </pt>
                <pt idx="710">
                  <v>0.9994659342336155</v>
                </pt>
                <pt idx="711">
                  <v>0.9994659342336155</v>
                </pt>
                <pt idx="712">
                  <v>0.9994659342336155</v>
                </pt>
                <pt idx="713">
                  <v>0.9994659342336155</v>
                </pt>
                <pt idx="714">
                  <v>0.9994659342336155</v>
                </pt>
                <pt idx="715">
                  <v>0.9994659342336155</v>
                </pt>
                <pt idx="716">
                  <v>0.9994659342336155</v>
                </pt>
                <pt idx="717">
                  <v>0.9994659342336155</v>
                </pt>
                <pt idx="718">
                  <v>0.9994659342336155</v>
                </pt>
                <pt idx="719">
                  <v>0.9994659342336155</v>
                </pt>
                <pt idx="720">
                  <v>0.9994659342336155</v>
                </pt>
                <pt idx="721">
                  <v>0.9994659342336155</v>
                </pt>
                <pt idx="722">
                  <v>0.9994659342336155</v>
                </pt>
                <pt idx="723">
                  <v>0.9994659342336155</v>
                </pt>
                <pt idx="724">
                  <v>0.9994659342336155</v>
                </pt>
                <pt idx="725">
                  <v>0.9994659342336155</v>
                </pt>
                <pt idx="726">
                  <v>0.9994659342336155</v>
                </pt>
                <pt idx="727">
                  <v>0.9994659342336155</v>
                </pt>
                <pt idx="728">
                  <v>0.9994659342336155</v>
                </pt>
                <pt idx="729">
                  <v>0.9994659342336155</v>
                </pt>
                <pt idx="730">
                  <v>0.9994659342336155</v>
                </pt>
                <pt idx="731">
                  <v>0.9994659342336155</v>
                </pt>
                <pt idx="732">
                  <v>0.9994659342336155</v>
                </pt>
                <pt idx="733">
                  <v>0.9994659342336155</v>
                </pt>
                <pt idx="734">
                  <v>1.000991836423285</v>
                </pt>
                <pt idx="735">
                  <v>1.000991836423285</v>
                </pt>
                <pt idx="736">
                  <v>1.000991836423285</v>
                </pt>
                <pt idx="737">
                  <v>1.000991836423285</v>
                </pt>
                <pt idx="738">
                  <v>1.000991836423285</v>
                </pt>
                <pt idx="739">
                  <v>1.000991836423285</v>
                </pt>
                <pt idx="740">
                  <v>1.000991836423285</v>
                </pt>
                <pt idx="741">
                  <v>1.000991836423285</v>
                </pt>
                <pt idx="742">
                  <v>1.000991836423285</v>
                </pt>
                <pt idx="743">
                  <v>1.000991836423285</v>
                </pt>
                <pt idx="744">
                  <v>1.000991836423285</v>
                </pt>
                <pt idx="745">
                  <v>1.000991836423285</v>
                </pt>
                <pt idx="746">
                  <v>1.000991836423285</v>
                </pt>
                <pt idx="747">
                  <v>1.000991836423285</v>
                </pt>
                <pt idx="748">
                  <v>1.000991836423285</v>
                </pt>
                <pt idx="749">
                  <v>1.000991836423285</v>
                </pt>
                <pt idx="750">
                  <v>1.000991836423285</v>
                </pt>
                <pt idx="751">
                  <v>1.000991836423285</v>
                </pt>
                <pt idx="752">
                  <v>1.000991836423285</v>
                </pt>
                <pt idx="753">
                  <v>1.000991836423285</v>
                </pt>
                <pt idx="754">
                  <v>1.000991836423285</v>
                </pt>
                <pt idx="755">
                  <v>1.000991836423285</v>
                </pt>
                <pt idx="756">
                  <v>1.000991836423285</v>
                </pt>
                <pt idx="757">
                  <v>1.000991836423285</v>
                </pt>
                <pt idx="758">
                  <v>1.000991836423285</v>
                </pt>
                <pt idx="759">
                  <v>1.000991836423285</v>
                </pt>
                <pt idx="760">
                  <v>1.000991836423285</v>
                </pt>
                <pt idx="761">
                  <v>0.9994659342336155</v>
                </pt>
                <pt idx="762">
                  <v>0.9994659342336155</v>
                </pt>
                <pt idx="763">
                  <v>0.9994659342336155</v>
                </pt>
                <pt idx="764">
                  <v>0.9994659342336155</v>
                </pt>
                <pt idx="765">
                  <v>0.9994659342336155</v>
                </pt>
                <pt idx="766">
                  <v>0.9994659342336155</v>
                </pt>
                <pt idx="767">
                  <v>0.9994659342336155</v>
                </pt>
                <pt idx="768">
                  <v>0.9994659342336155</v>
                </pt>
                <pt idx="769">
                  <v>0.9994659342336155</v>
                </pt>
                <pt idx="770">
                  <v>0.9994659342336155</v>
                </pt>
                <pt idx="771">
                  <v>0.9994659342336155</v>
                </pt>
                <pt idx="772">
                  <v>0.9994659342336155</v>
                </pt>
                <pt idx="773">
                  <v>0.9994659342336155</v>
                </pt>
                <pt idx="774">
                  <v>0.9994659342336155</v>
                </pt>
                <pt idx="775">
                  <v>0.9994659342336155</v>
                </pt>
                <pt idx="776">
                  <v>0.9994659342336155</v>
                </pt>
                <pt idx="777">
                  <v>0.9994659342336155</v>
                </pt>
                <pt idx="778">
                  <v>0.9994659342336155</v>
                </pt>
                <pt idx="779">
                  <v>0.9994659342336155</v>
                </pt>
                <pt idx="780">
                  <v>0.9994659342336155</v>
                </pt>
                <pt idx="781">
                  <v>0.9994659342336155</v>
                </pt>
                <pt idx="782">
                  <v>0.9994659342336155</v>
                </pt>
                <pt idx="783">
                  <v>0.9994659342336155</v>
                </pt>
                <pt idx="784">
                  <v>0.9994659342336155</v>
                </pt>
                <pt idx="785">
                  <v>0.9994659342336155</v>
                </pt>
                <pt idx="786">
                  <v>0.9994659342336155</v>
                </pt>
                <pt idx="787">
                  <v>0.9994659342336155</v>
                </pt>
                <pt idx="788">
                  <v>0.9994659342336155</v>
                </pt>
                <pt idx="789">
                  <v>0.9994659342336155</v>
                </pt>
                <pt idx="790">
                  <v>0.9994659342336155</v>
                </pt>
                <pt idx="791">
                  <v>0.9994659342336155</v>
                </pt>
                <pt idx="792">
                  <v>0.9994659342336155</v>
                </pt>
                <pt idx="793">
                  <v>0.9994659342336155</v>
                </pt>
                <pt idx="794">
                  <v>0.9994659342336155</v>
                </pt>
                <pt idx="795">
                  <v>0.9994659342336155</v>
                </pt>
                <pt idx="796">
                  <v>0.9994659342336155</v>
                </pt>
                <pt idx="797">
                  <v>0.9994659342336155</v>
                </pt>
                <pt idx="798">
                  <v>0.9994659342336155</v>
                </pt>
                <pt idx="799">
                  <v>0.9994659342336155</v>
                </pt>
                <pt idx="800">
                  <v>0.9994659342336155</v>
                </pt>
                <pt idx="801">
                  <v>0.9994659342336155</v>
                </pt>
                <pt idx="802">
                  <v>0.9994659342336155</v>
                </pt>
                <pt idx="803">
                  <v>0.9994659342336155</v>
                </pt>
                <pt idx="804">
                  <v>0.9994659342336155</v>
                </pt>
                <pt idx="805">
                  <v>0.9994659342336155</v>
                </pt>
                <pt idx="806">
                  <v>0.9994659342336155</v>
                </pt>
                <pt idx="807">
                  <v>0.9994659342336155</v>
                </pt>
                <pt idx="808">
                  <v>0.9994659342336155</v>
                </pt>
                <pt idx="809">
                  <v>0.9994659342336155</v>
                </pt>
                <pt idx="810">
                  <v>0.9994659342336155</v>
                </pt>
                <pt idx="811">
                  <v>0.9994659342336155</v>
                </pt>
                <pt idx="812">
                  <v>0.9994659342336155</v>
                </pt>
                <pt idx="813">
                  <v>0.9994659342336155</v>
                </pt>
                <pt idx="814">
                  <v>0.9994659342336155</v>
                </pt>
                <pt idx="815">
                  <v>0.9994659342336155</v>
                </pt>
                <pt idx="816">
                  <v>0.9994659342336155</v>
                </pt>
                <pt idx="817">
                  <v>0.9994659342336155</v>
                </pt>
                <pt idx="818">
                  <v>0.9994659342336155</v>
                </pt>
                <pt idx="819">
                  <v>0.9994659342336155</v>
                </pt>
                <pt idx="820">
                  <v>0.9994659342336155</v>
                </pt>
                <pt idx="821">
                  <v>0.9994659342336155</v>
                </pt>
                <pt idx="822">
                  <v>0.9994659342336155</v>
                </pt>
                <pt idx="823">
                  <v>0.9994659342336155</v>
                </pt>
                <pt idx="824">
                  <v>0.9994659342336155</v>
                </pt>
                <pt idx="825">
                  <v>0.9994659342336155</v>
                </pt>
                <pt idx="826">
                  <v>0.9994659342336155</v>
                </pt>
                <pt idx="827">
                  <v>0.9994659342336155</v>
                </pt>
                <pt idx="828">
                  <v>0.9994659342336155</v>
                </pt>
                <pt idx="829">
                  <v>0.9994659342336155</v>
                </pt>
                <pt idx="830">
                  <v>0.9994659342336155</v>
                </pt>
                <pt idx="831">
                  <v>0.9994659342336155</v>
                </pt>
                <pt idx="832">
                  <v>0.9994659342336155</v>
                </pt>
                <pt idx="833">
                  <v>0.9994659342336155</v>
                </pt>
                <pt idx="834">
                  <v>0.9994659342336155</v>
                </pt>
                <pt idx="835">
                  <v>0.9994659342336155</v>
                </pt>
                <pt idx="836">
                  <v>0.9994659342336155</v>
                </pt>
                <pt idx="837">
                  <v>0.9994659342336155</v>
                </pt>
                <pt idx="838">
                  <v>0.9994659342336155</v>
                </pt>
                <pt idx="839">
                  <v>0.9994659342336155</v>
                </pt>
                <pt idx="840">
                  <v>0.9994659342336155</v>
                </pt>
                <pt idx="841">
                  <v>0.9994659342336155</v>
                </pt>
                <pt idx="842">
                  <v>0.9994659342336155</v>
                </pt>
                <pt idx="843">
                  <v>0.9994659342336155</v>
                </pt>
                <pt idx="844">
                  <v>0.9994659342336155</v>
                </pt>
                <pt idx="845">
                  <v>0.9994659342336155</v>
                </pt>
                <pt idx="846">
                  <v>0.9994659342336155</v>
                </pt>
                <pt idx="847">
                  <v>0.9994659342336155</v>
                </pt>
                <pt idx="848">
                  <v>0.9994659342336155</v>
                </pt>
                <pt idx="849">
                  <v>0.9994659342336155</v>
                </pt>
                <pt idx="850">
                  <v>0.9994659342336155</v>
                </pt>
                <pt idx="851">
                  <v>0.9994659342336155</v>
                </pt>
                <pt idx="852">
                  <v>0.9994659342336155</v>
                </pt>
                <pt idx="853">
                  <v>0.9994659342336155</v>
                </pt>
                <pt idx="854">
                  <v>0.9994659342336155</v>
                </pt>
                <pt idx="855">
                  <v>0.9994659342336155</v>
                </pt>
                <pt idx="856">
                  <v>0.9994659342336155</v>
                </pt>
                <pt idx="857">
                  <v>0.9994659342336155</v>
                </pt>
                <pt idx="858">
                  <v>0.9994659342336155</v>
                </pt>
                <pt idx="859">
                  <v>0.9994659342336155</v>
                </pt>
                <pt idx="860">
                  <v>0.9994659342336155</v>
                </pt>
                <pt idx="861">
                  <v>0.9994659342336155</v>
                </pt>
                <pt idx="862">
                  <v>0.9994659342336155</v>
                </pt>
                <pt idx="863">
                  <v>0.9994659342336155</v>
                </pt>
                <pt idx="864">
                  <v>0.9994659342336155</v>
                </pt>
                <pt idx="865">
                  <v>0.9994659342336155</v>
                </pt>
                <pt idx="866">
                  <v>0.9994659342336155</v>
                </pt>
                <pt idx="867">
                  <v>0.9994659342336155</v>
                </pt>
                <pt idx="868">
                  <v>0.9994659342336155</v>
                </pt>
                <pt idx="869">
                  <v>0.9994659342336155</v>
                </pt>
                <pt idx="870">
                  <v>0.9994659342336155</v>
                </pt>
                <pt idx="871">
                  <v>0.9994659342336155</v>
                </pt>
                <pt idx="872">
                  <v>0.9994659342336155</v>
                </pt>
                <pt idx="873">
                  <v>0.9994659342336155</v>
                </pt>
                <pt idx="874">
                  <v>0.9994659342336155</v>
                </pt>
                <pt idx="875">
                  <v>0.9994659342336155</v>
                </pt>
                <pt idx="876">
                  <v>0.9994659342336155</v>
                </pt>
                <pt idx="877">
                  <v>0.9994659342336155</v>
                </pt>
                <pt idx="878">
                  <v>0.9994659342336155</v>
                </pt>
                <pt idx="879">
                  <v>0.9994659342336155</v>
                </pt>
                <pt idx="880">
                  <v>0.9994659342336155</v>
                </pt>
                <pt idx="881">
                  <v>0.9994659342336155</v>
                </pt>
                <pt idx="882">
                  <v>0.9994659342336155</v>
                </pt>
                <pt idx="883">
                  <v>0.9994659342336155</v>
                </pt>
                <pt idx="884">
                  <v>0.9994659342336155</v>
                </pt>
                <pt idx="885">
                  <v>0.9994659342336155</v>
                </pt>
                <pt idx="886">
                  <v>0.9994659342336155</v>
                </pt>
                <pt idx="887">
                  <v>0.9994659342336155</v>
                </pt>
                <pt idx="888">
                  <v>0.9994659342336155</v>
                </pt>
                <pt idx="889">
                  <v>0.9994659342336155</v>
                </pt>
                <pt idx="890">
                  <v>0.9994659342336155</v>
                </pt>
                <pt idx="891">
                  <v>0.9994659342336155</v>
                </pt>
                <pt idx="892">
                  <v>0.9994659342336155</v>
                </pt>
                <pt idx="893">
                  <v>0.9994659342336155</v>
                </pt>
                <pt idx="894">
                  <v>0.9994659342336155</v>
                </pt>
                <pt idx="895">
                  <v>0.9994659342336155</v>
                </pt>
                <pt idx="896">
                  <v>0.9994659342336155</v>
                </pt>
                <pt idx="897">
                  <v>0.9994659342336155</v>
                </pt>
                <pt idx="898">
                  <v>0.9994659342336155</v>
                </pt>
                <pt idx="899">
                  <v>0.9994659342336155</v>
                </pt>
                <pt idx="900">
                  <v>0.9994659342336155</v>
                </pt>
                <pt idx="901">
                  <v>0.9994659342336155</v>
                </pt>
                <pt idx="902">
                  <v>0.9994659342336155</v>
                </pt>
                <pt idx="903">
                  <v>0.9994659342336155</v>
                </pt>
                <pt idx="904">
                  <v>0.9994659342336155</v>
                </pt>
                <pt idx="905">
                  <v>0.9994659342336155</v>
                </pt>
                <pt idx="906">
                  <v>0.9994659342336155</v>
                </pt>
                <pt idx="907">
                  <v>0.9994659342336155</v>
                </pt>
                <pt idx="908">
                  <v>0.9994659342336155</v>
                </pt>
                <pt idx="909">
                  <v>0.9994659342336155</v>
                </pt>
                <pt idx="910">
                  <v>0.9994659342336155</v>
                </pt>
                <pt idx="911">
                  <v>0.9994659342336155</v>
                </pt>
                <pt idx="912">
                  <v>0.9994659342336155</v>
                </pt>
                <pt idx="913">
                  <v>0.9994659342336155</v>
                </pt>
                <pt idx="914">
                  <v>0.9994659342336155</v>
                </pt>
                <pt idx="915">
                  <v>0.9994659342336155</v>
                </pt>
                <pt idx="916">
                  <v>0.9994659342336155</v>
                </pt>
                <pt idx="917">
                  <v>0.9994659342336155</v>
                </pt>
                <pt idx="918">
                  <v>0.9994659342336155</v>
                </pt>
                <pt idx="919">
                  <v>0.9994659342336155</v>
                </pt>
                <pt idx="920">
                  <v>0.9994659342336155</v>
                </pt>
                <pt idx="921">
                  <v>0.9994659342336155</v>
                </pt>
                <pt idx="922">
                  <v>0.9994659342336155</v>
                </pt>
                <pt idx="923">
                  <v>0.9994659342336155</v>
                </pt>
                <pt idx="924">
                  <v>0.9994659342336155</v>
                </pt>
                <pt idx="925">
                  <v>0.9994659342336155</v>
                </pt>
                <pt idx="926">
                  <v>0.9994659342336155</v>
                </pt>
                <pt idx="927">
                  <v>0.9994659342336155</v>
                </pt>
                <pt idx="928">
                  <v>0.9994659342336155</v>
                </pt>
                <pt idx="929">
                  <v>0.9994659342336155</v>
                </pt>
                <pt idx="930">
                  <v>0.9994659342336155</v>
                </pt>
                <pt idx="931">
                  <v>0.9994659342336155</v>
                </pt>
                <pt idx="932">
                  <v>0.9994659342336155</v>
                </pt>
                <pt idx="933">
                  <v>0.9994659342336155</v>
                </pt>
                <pt idx="934">
                  <v>0.9994659342336155</v>
                </pt>
                <pt idx="935">
                  <v>0.9994659342336155</v>
                </pt>
                <pt idx="936">
                  <v>0.9994659342336155</v>
                </pt>
                <pt idx="937">
                  <v>0.9994659342336155</v>
                </pt>
                <pt idx="938">
                  <v>0.9994659342336155</v>
                </pt>
                <pt idx="939">
                  <v>0.9994659342336155</v>
                </pt>
                <pt idx="940">
                  <v>0.9994659342336155</v>
                </pt>
                <pt idx="941">
                  <v>0.9994659342336155</v>
                </pt>
                <pt idx="942">
                  <v>0.9994659342336155</v>
                </pt>
                <pt idx="943">
                  <v>0.9994659342336155</v>
                </pt>
                <pt idx="944">
                  <v>0.9994659342336155</v>
                </pt>
                <pt idx="945">
                  <v>0.9994659342336155</v>
                </pt>
                <pt idx="946">
                  <v>0.9994659342336155</v>
                </pt>
                <pt idx="947">
                  <v>0.9994659342336155</v>
                </pt>
                <pt idx="948">
                  <v>0.9994659342336155</v>
                </pt>
                <pt idx="949">
                  <v>0.9994659342336155</v>
                </pt>
                <pt idx="950">
                  <v>0.9994659342336155</v>
                </pt>
                <pt idx="951">
                  <v>0.9994659342336155</v>
                </pt>
                <pt idx="952">
                  <v>0.9994659342336155</v>
                </pt>
                <pt idx="953">
                  <v>0.9994659342336155</v>
                </pt>
                <pt idx="954">
                  <v>0.9994659342336155</v>
                </pt>
                <pt idx="955">
                  <v>0.9994659342336155</v>
                </pt>
                <pt idx="956">
                  <v>0.9994659342336155</v>
                </pt>
                <pt idx="957">
                  <v>0.9994659342336155</v>
                </pt>
                <pt idx="958">
                  <v>0.9994659342336155</v>
                </pt>
                <pt idx="959">
                  <v>0.9994659342336155</v>
                </pt>
                <pt idx="960">
                  <v>0.9994659342336155</v>
                </pt>
                <pt idx="961">
                  <v>0.9994659342336155</v>
                </pt>
                <pt idx="962">
                  <v>0.9994659342336155</v>
                </pt>
                <pt idx="963">
                  <v>0.9994659342336155</v>
                </pt>
                <pt idx="964">
                  <v>0.9994659342336155</v>
                </pt>
                <pt idx="965">
                  <v>0.9994659342336155</v>
                </pt>
                <pt idx="966">
                  <v>0.9994659342336155</v>
                </pt>
                <pt idx="967">
                  <v>0.9994659342336155</v>
                </pt>
                <pt idx="968">
                  <v>0.9994659342336155</v>
                </pt>
                <pt idx="969">
                  <v>0.9994659342336155</v>
                </pt>
                <pt idx="970">
                  <v>0.9994659342336155</v>
                </pt>
                <pt idx="971">
                  <v>0.9994659342336155</v>
                </pt>
                <pt idx="972">
                  <v>0.9994659342336155</v>
                </pt>
                <pt idx="973">
                  <v>0.9994659342336155</v>
                </pt>
                <pt idx="974">
                  <v>0.9994659342336155</v>
                </pt>
                <pt idx="975">
                  <v>0.9994659342336155</v>
                </pt>
                <pt idx="976">
                  <v>0.9994659342336155</v>
                </pt>
                <pt idx="977">
                  <v>0.9994659342336155</v>
                </pt>
                <pt idx="978">
                  <v>0.9994659342336155</v>
                </pt>
                <pt idx="979">
                  <v>0.9994659342336155</v>
                </pt>
                <pt idx="980">
                  <v>0.9994659342336155</v>
                </pt>
                <pt idx="981">
                  <v>0.9994659342336155</v>
                </pt>
                <pt idx="982">
                  <v>0.9994659342336155</v>
                </pt>
                <pt idx="983">
                  <v>0.9994659342336155</v>
                </pt>
                <pt idx="984">
                  <v>0.9994659342336155</v>
                </pt>
                <pt idx="985">
                  <v>0.9994659342336155</v>
                </pt>
                <pt idx="986">
                  <v>0.9994659342336155</v>
                </pt>
                <pt idx="987">
                  <v>0.9994659342336155</v>
                </pt>
                <pt idx="988">
                  <v>0.9994659342336155</v>
                </pt>
                <pt idx="989">
                  <v>0.9994659342336155</v>
                </pt>
                <pt idx="990">
                  <v>0.9994659342336155</v>
                </pt>
                <pt idx="991">
                  <v>0.9994659342336155</v>
                </pt>
                <pt idx="992">
                  <v>0.9994659342336155</v>
                </pt>
                <pt idx="993">
                  <v>0.9994659342336155</v>
                </pt>
                <pt idx="994">
                  <v>0.9994659342336155</v>
                </pt>
                <pt idx="995">
                  <v>0.9994659342336155</v>
                </pt>
                <pt idx="996">
                  <v>0.9994659342336155</v>
                </pt>
                <pt idx="997">
                  <v>0.9994659342336155</v>
                </pt>
                <pt idx="998">
                  <v>0.9994659342336155</v>
                </pt>
                <pt idx="999">
                  <v>0.9994659342336155</v>
                </pt>
                <pt idx="1000">
                  <v>0.9994659342336155</v>
                </pt>
              </numCache>
            </numRef>
          </val>
          <smooth val="0"/>
        </ser>
        <ser>
          <idx val="1"/>
          <order val="1"/>
          <tx>
            <strRef>
              <f>Лист4!$M$1</f>
              <strCache>
                <ptCount val="1"/>
                <pt idx="0">
                  <v>g(nT0)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Лист4!$M$2:$M$1002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1</v>
                </pt>
                <pt idx="47">
                  <v>1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1</v>
                </pt>
                <pt idx="65">
                  <v>1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1</v>
                </pt>
                <pt idx="70">
                  <v>1</v>
                </pt>
                <pt idx="71">
                  <v>1</v>
                </pt>
                <pt idx="72">
                  <v>1</v>
                </pt>
                <pt idx="73">
                  <v>1</v>
                </pt>
                <pt idx="74">
                  <v>1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1</v>
                </pt>
                <pt idx="79">
                  <v>1</v>
                </pt>
                <pt idx="80">
                  <v>1</v>
                </pt>
                <pt idx="81">
                  <v>1</v>
                </pt>
                <pt idx="82">
                  <v>1</v>
                </pt>
                <pt idx="83">
                  <v>1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1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1</v>
                </pt>
                <pt idx="99">
                  <v>1</v>
                </pt>
                <pt idx="100">
                  <v>1</v>
                </pt>
                <pt idx="101">
                  <v>1</v>
                </pt>
                <pt idx="102">
                  <v>1</v>
                </pt>
                <pt idx="103">
                  <v>1</v>
                </pt>
                <pt idx="104">
                  <v>1</v>
                </pt>
                <pt idx="105">
                  <v>1</v>
                </pt>
                <pt idx="106">
                  <v>1</v>
                </pt>
                <pt idx="107">
                  <v>1</v>
                </pt>
                <pt idx="108">
                  <v>1</v>
                </pt>
                <pt idx="109">
                  <v>1</v>
                </pt>
                <pt idx="110">
                  <v>1</v>
                </pt>
                <pt idx="111">
                  <v>1</v>
                </pt>
                <pt idx="112">
                  <v>1</v>
                </pt>
                <pt idx="113">
                  <v>1</v>
                </pt>
                <pt idx="114">
                  <v>1</v>
                </pt>
                <pt idx="115">
                  <v>1</v>
                </pt>
                <pt idx="116">
                  <v>1</v>
                </pt>
                <pt idx="117">
                  <v>1</v>
                </pt>
                <pt idx="118">
                  <v>1</v>
                </pt>
                <pt idx="119">
                  <v>1</v>
                </pt>
                <pt idx="120">
                  <v>1</v>
                </pt>
                <pt idx="121">
                  <v>1</v>
                </pt>
                <pt idx="122">
                  <v>1</v>
                </pt>
                <pt idx="123">
                  <v>1</v>
                </pt>
                <pt idx="124">
                  <v>1</v>
                </pt>
                <pt idx="125">
                  <v>1</v>
                </pt>
                <pt idx="126">
                  <v>1</v>
                </pt>
                <pt idx="127">
                  <v>1</v>
                </pt>
                <pt idx="128">
                  <v>1</v>
                </pt>
                <pt idx="129">
                  <v>1</v>
                </pt>
                <pt idx="130">
                  <v>1</v>
                </pt>
                <pt idx="131">
                  <v>1</v>
                </pt>
                <pt idx="132">
                  <v>1</v>
                </pt>
                <pt idx="133">
                  <v>1</v>
                </pt>
                <pt idx="134">
                  <v>1</v>
                </pt>
                <pt idx="135">
                  <v>1</v>
                </pt>
                <pt idx="136">
                  <v>1</v>
                </pt>
                <pt idx="137">
                  <v>1</v>
                </pt>
                <pt idx="138">
                  <v>1</v>
                </pt>
                <pt idx="139">
                  <v>1</v>
                </pt>
                <pt idx="140">
                  <v>1</v>
                </pt>
                <pt idx="141">
                  <v>1</v>
                </pt>
                <pt idx="142">
                  <v>1</v>
                </pt>
                <pt idx="143">
                  <v>1</v>
                </pt>
                <pt idx="144">
                  <v>1</v>
                </pt>
                <pt idx="145">
                  <v>1</v>
                </pt>
                <pt idx="146">
                  <v>1</v>
                </pt>
                <pt idx="147">
                  <v>1</v>
                </pt>
                <pt idx="148">
                  <v>1</v>
                </pt>
                <pt idx="149">
                  <v>1</v>
                </pt>
                <pt idx="150">
                  <v>1</v>
                </pt>
                <pt idx="151">
                  <v>1</v>
                </pt>
                <pt idx="152">
                  <v>1</v>
                </pt>
                <pt idx="153">
                  <v>1</v>
                </pt>
                <pt idx="154">
                  <v>1</v>
                </pt>
                <pt idx="155">
                  <v>1</v>
                </pt>
                <pt idx="156">
                  <v>1</v>
                </pt>
                <pt idx="157">
                  <v>1</v>
                </pt>
                <pt idx="158">
                  <v>1</v>
                </pt>
                <pt idx="159">
                  <v>1</v>
                </pt>
                <pt idx="160">
                  <v>1</v>
                </pt>
                <pt idx="161">
                  <v>1</v>
                </pt>
                <pt idx="162">
                  <v>1</v>
                </pt>
                <pt idx="163">
                  <v>1</v>
                </pt>
                <pt idx="164">
                  <v>1</v>
                </pt>
                <pt idx="165">
                  <v>1</v>
                </pt>
                <pt idx="166">
                  <v>1</v>
                </pt>
                <pt idx="167">
                  <v>1</v>
                </pt>
                <pt idx="168">
                  <v>1</v>
                </pt>
                <pt idx="169">
                  <v>1</v>
                </pt>
                <pt idx="170">
                  <v>1</v>
                </pt>
                <pt idx="171">
                  <v>1</v>
                </pt>
                <pt idx="172">
                  <v>1</v>
                </pt>
                <pt idx="173">
                  <v>1</v>
                </pt>
                <pt idx="174">
                  <v>1</v>
                </pt>
                <pt idx="175">
                  <v>1</v>
                </pt>
                <pt idx="176">
                  <v>1</v>
                </pt>
                <pt idx="177">
                  <v>1</v>
                </pt>
                <pt idx="178">
                  <v>1</v>
                </pt>
                <pt idx="179">
                  <v>1</v>
                </pt>
                <pt idx="180">
                  <v>1</v>
                </pt>
                <pt idx="181">
                  <v>1</v>
                </pt>
                <pt idx="182">
                  <v>1</v>
                </pt>
                <pt idx="183">
                  <v>1</v>
                </pt>
                <pt idx="184">
                  <v>1</v>
                </pt>
                <pt idx="185">
                  <v>1</v>
                </pt>
                <pt idx="186">
                  <v>1</v>
                </pt>
                <pt idx="187">
                  <v>1</v>
                </pt>
                <pt idx="188">
                  <v>1</v>
                </pt>
                <pt idx="189">
                  <v>1</v>
                </pt>
                <pt idx="190">
                  <v>1</v>
                </pt>
                <pt idx="191">
                  <v>1</v>
                </pt>
                <pt idx="192">
                  <v>1</v>
                </pt>
                <pt idx="193">
                  <v>1</v>
                </pt>
                <pt idx="194">
                  <v>1</v>
                </pt>
                <pt idx="195">
                  <v>1</v>
                </pt>
                <pt idx="196">
                  <v>1</v>
                </pt>
                <pt idx="197">
                  <v>1</v>
                </pt>
                <pt idx="198">
                  <v>1</v>
                </pt>
                <pt idx="199">
                  <v>1</v>
                </pt>
                <pt idx="200">
                  <v>1</v>
                </pt>
                <pt idx="201">
                  <v>1</v>
                </pt>
                <pt idx="202">
                  <v>1</v>
                </pt>
                <pt idx="203">
                  <v>1</v>
                </pt>
                <pt idx="204">
                  <v>1</v>
                </pt>
                <pt idx="205">
                  <v>1</v>
                </pt>
                <pt idx="206">
                  <v>1</v>
                </pt>
                <pt idx="207">
                  <v>1</v>
                </pt>
                <pt idx="208">
                  <v>1</v>
                </pt>
                <pt idx="209">
                  <v>1</v>
                </pt>
                <pt idx="210">
                  <v>1</v>
                </pt>
                <pt idx="211">
                  <v>1</v>
                </pt>
                <pt idx="212">
                  <v>1</v>
                </pt>
                <pt idx="213">
                  <v>1</v>
                </pt>
                <pt idx="214">
                  <v>1</v>
                </pt>
                <pt idx="215">
                  <v>1</v>
                </pt>
                <pt idx="216">
                  <v>1</v>
                </pt>
                <pt idx="217">
                  <v>1</v>
                </pt>
                <pt idx="218">
                  <v>1</v>
                </pt>
                <pt idx="219">
                  <v>1</v>
                </pt>
                <pt idx="220">
                  <v>1</v>
                </pt>
                <pt idx="221">
                  <v>1</v>
                </pt>
                <pt idx="222">
                  <v>1</v>
                </pt>
                <pt idx="223">
                  <v>1</v>
                </pt>
                <pt idx="224">
                  <v>1</v>
                </pt>
                <pt idx="225">
                  <v>1</v>
                </pt>
                <pt idx="226">
                  <v>1</v>
                </pt>
                <pt idx="227">
                  <v>1</v>
                </pt>
                <pt idx="228">
                  <v>1</v>
                </pt>
                <pt idx="229">
                  <v>1</v>
                </pt>
                <pt idx="230">
                  <v>1</v>
                </pt>
                <pt idx="231">
                  <v>1</v>
                </pt>
                <pt idx="232">
                  <v>1</v>
                </pt>
                <pt idx="233">
                  <v>1</v>
                </pt>
                <pt idx="234">
                  <v>1</v>
                </pt>
                <pt idx="235">
                  <v>1</v>
                </pt>
                <pt idx="236">
                  <v>1</v>
                </pt>
                <pt idx="237">
                  <v>1</v>
                </pt>
                <pt idx="238">
                  <v>1</v>
                </pt>
                <pt idx="239">
                  <v>1</v>
                </pt>
                <pt idx="240">
                  <v>1</v>
                </pt>
                <pt idx="241">
                  <v>1</v>
                </pt>
                <pt idx="242">
                  <v>1</v>
                </pt>
                <pt idx="243">
                  <v>1</v>
                </pt>
                <pt idx="244">
                  <v>1</v>
                </pt>
                <pt idx="245">
                  <v>1</v>
                </pt>
                <pt idx="246">
                  <v>1</v>
                </pt>
                <pt idx="247">
                  <v>1</v>
                </pt>
                <pt idx="248">
                  <v>1</v>
                </pt>
                <pt idx="249">
                  <v>1</v>
                </pt>
                <pt idx="250">
                  <v>1</v>
                </pt>
                <pt idx="251">
                  <v>1</v>
                </pt>
                <pt idx="252">
                  <v>1</v>
                </pt>
                <pt idx="253">
                  <v>1</v>
                </pt>
                <pt idx="254">
                  <v>1</v>
                </pt>
                <pt idx="255">
                  <v>1</v>
                </pt>
                <pt idx="256">
                  <v>1</v>
                </pt>
                <pt idx="257">
                  <v>1</v>
                </pt>
                <pt idx="258">
                  <v>1</v>
                </pt>
                <pt idx="259">
                  <v>1</v>
                </pt>
                <pt idx="260">
                  <v>1</v>
                </pt>
                <pt idx="261">
                  <v>1</v>
                </pt>
                <pt idx="262">
                  <v>1</v>
                </pt>
                <pt idx="263">
                  <v>1</v>
                </pt>
                <pt idx="264">
                  <v>1</v>
                </pt>
                <pt idx="265">
                  <v>1</v>
                </pt>
                <pt idx="266">
                  <v>1</v>
                </pt>
                <pt idx="267">
                  <v>1</v>
                </pt>
                <pt idx="268">
                  <v>1</v>
                </pt>
                <pt idx="269">
                  <v>1</v>
                </pt>
                <pt idx="270">
                  <v>1</v>
                </pt>
                <pt idx="271">
                  <v>1</v>
                </pt>
                <pt idx="272">
                  <v>1</v>
                </pt>
                <pt idx="273">
                  <v>1</v>
                </pt>
                <pt idx="274">
                  <v>1</v>
                </pt>
                <pt idx="275">
                  <v>1</v>
                </pt>
                <pt idx="276">
                  <v>1</v>
                </pt>
                <pt idx="277">
                  <v>1</v>
                </pt>
                <pt idx="278">
                  <v>1</v>
                </pt>
                <pt idx="279">
                  <v>1</v>
                </pt>
                <pt idx="280">
                  <v>1</v>
                </pt>
                <pt idx="281">
                  <v>1</v>
                </pt>
                <pt idx="282">
                  <v>1</v>
                </pt>
                <pt idx="283">
                  <v>1</v>
                </pt>
                <pt idx="284">
                  <v>1</v>
                </pt>
                <pt idx="285">
                  <v>1</v>
                </pt>
                <pt idx="286">
                  <v>1</v>
                </pt>
                <pt idx="287">
                  <v>1</v>
                </pt>
                <pt idx="288">
                  <v>1</v>
                </pt>
                <pt idx="289">
                  <v>1</v>
                </pt>
                <pt idx="290">
                  <v>1</v>
                </pt>
                <pt idx="291">
                  <v>1</v>
                </pt>
                <pt idx="292">
                  <v>1</v>
                </pt>
                <pt idx="293">
                  <v>1</v>
                </pt>
                <pt idx="294">
                  <v>1</v>
                </pt>
                <pt idx="295">
                  <v>1</v>
                </pt>
                <pt idx="296">
                  <v>1</v>
                </pt>
                <pt idx="297">
                  <v>1</v>
                </pt>
                <pt idx="298">
                  <v>1</v>
                </pt>
                <pt idx="299">
                  <v>1</v>
                </pt>
                <pt idx="300">
                  <v>1</v>
                </pt>
                <pt idx="301">
                  <v>1</v>
                </pt>
                <pt idx="302">
                  <v>1</v>
                </pt>
                <pt idx="303">
                  <v>1</v>
                </pt>
                <pt idx="304">
                  <v>1</v>
                </pt>
                <pt idx="305">
                  <v>1</v>
                </pt>
                <pt idx="306">
                  <v>1</v>
                </pt>
                <pt idx="307">
                  <v>1</v>
                </pt>
                <pt idx="308">
                  <v>1</v>
                </pt>
                <pt idx="309">
                  <v>1</v>
                </pt>
                <pt idx="310">
                  <v>1</v>
                </pt>
                <pt idx="311">
                  <v>1</v>
                </pt>
                <pt idx="312">
                  <v>1</v>
                </pt>
                <pt idx="313">
                  <v>1</v>
                </pt>
                <pt idx="314">
                  <v>1</v>
                </pt>
                <pt idx="315">
                  <v>1</v>
                </pt>
                <pt idx="316">
                  <v>1</v>
                </pt>
                <pt idx="317">
                  <v>1</v>
                </pt>
                <pt idx="318">
                  <v>1</v>
                </pt>
                <pt idx="319">
                  <v>1</v>
                </pt>
                <pt idx="320">
                  <v>1</v>
                </pt>
                <pt idx="321">
                  <v>1</v>
                </pt>
                <pt idx="322">
                  <v>1</v>
                </pt>
                <pt idx="323">
                  <v>1</v>
                </pt>
                <pt idx="324">
                  <v>1</v>
                </pt>
                <pt idx="325">
                  <v>1</v>
                </pt>
                <pt idx="326">
                  <v>1</v>
                </pt>
                <pt idx="327">
                  <v>1</v>
                </pt>
                <pt idx="328">
                  <v>1</v>
                </pt>
                <pt idx="329">
                  <v>1</v>
                </pt>
                <pt idx="330">
                  <v>1</v>
                </pt>
                <pt idx="331">
                  <v>1</v>
                </pt>
                <pt idx="332">
                  <v>1</v>
                </pt>
                <pt idx="333">
                  <v>1</v>
                </pt>
                <pt idx="334">
                  <v>1</v>
                </pt>
                <pt idx="335">
                  <v>1</v>
                </pt>
                <pt idx="336">
                  <v>1</v>
                </pt>
                <pt idx="337">
                  <v>1</v>
                </pt>
                <pt idx="338">
                  <v>1</v>
                </pt>
                <pt idx="339">
                  <v>1</v>
                </pt>
                <pt idx="340">
                  <v>1</v>
                </pt>
                <pt idx="341">
                  <v>1</v>
                </pt>
                <pt idx="342">
                  <v>1</v>
                </pt>
                <pt idx="343">
                  <v>1</v>
                </pt>
                <pt idx="344">
                  <v>1</v>
                </pt>
                <pt idx="345">
                  <v>1</v>
                </pt>
                <pt idx="346">
                  <v>1</v>
                </pt>
                <pt idx="347">
                  <v>1</v>
                </pt>
                <pt idx="348">
                  <v>1</v>
                </pt>
                <pt idx="349">
                  <v>1</v>
                </pt>
                <pt idx="350">
                  <v>1</v>
                </pt>
                <pt idx="351">
                  <v>1</v>
                </pt>
                <pt idx="352">
                  <v>1</v>
                </pt>
                <pt idx="353">
                  <v>1</v>
                </pt>
                <pt idx="354">
                  <v>1</v>
                </pt>
                <pt idx="355">
                  <v>1</v>
                </pt>
                <pt idx="356">
                  <v>1</v>
                </pt>
                <pt idx="357">
                  <v>1</v>
                </pt>
                <pt idx="358">
                  <v>1</v>
                </pt>
                <pt idx="359">
                  <v>1</v>
                </pt>
                <pt idx="360">
                  <v>1</v>
                </pt>
                <pt idx="361">
                  <v>1</v>
                </pt>
                <pt idx="362">
                  <v>1</v>
                </pt>
                <pt idx="363">
                  <v>1</v>
                </pt>
                <pt idx="364">
                  <v>1</v>
                </pt>
                <pt idx="365">
                  <v>1</v>
                </pt>
                <pt idx="366">
                  <v>1</v>
                </pt>
                <pt idx="367">
                  <v>1</v>
                </pt>
                <pt idx="368">
                  <v>1</v>
                </pt>
                <pt idx="369">
                  <v>1</v>
                </pt>
                <pt idx="370">
                  <v>1</v>
                </pt>
                <pt idx="371">
                  <v>1</v>
                </pt>
                <pt idx="372">
                  <v>1</v>
                </pt>
                <pt idx="373">
                  <v>1</v>
                </pt>
                <pt idx="374">
                  <v>1</v>
                </pt>
                <pt idx="375">
                  <v>1</v>
                </pt>
                <pt idx="376">
                  <v>1</v>
                </pt>
                <pt idx="377">
                  <v>1</v>
                </pt>
                <pt idx="378">
                  <v>1</v>
                </pt>
                <pt idx="379">
                  <v>1</v>
                </pt>
                <pt idx="380">
                  <v>1</v>
                </pt>
                <pt idx="381">
                  <v>1</v>
                </pt>
                <pt idx="382">
                  <v>1</v>
                </pt>
                <pt idx="383">
                  <v>1</v>
                </pt>
                <pt idx="384">
                  <v>1</v>
                </pt>
                <pt idx="385">
                  <v>1</v>
                </pt>
                <pt idx="386">
                  <v>1</v>
                </pt>
                <pt idx="387">
                  <v>1</v>
                </pt>
                <pt idx="388">
                  <v>1</v>
                </pt>
                <pt idx="389">
                  <v>1</v>
                </pt>
                <pt idx="390">
                  <v>1</v>
                </pt>
                <pt idx="391">
                  <v>1</v>
                </pt>
                <pt idx="392">
                  <v>1</v>
                </pt>
                <pt idx="393">
                  <v>1</v>
                </pt>
                <pt idx="394">
                  <v>1</v>
                </pt>
                <pt idx="395">
                  <v>1</v>
                </pt>
                <pt idx="396">
                  <v>1</v>
                </pt>
                <pt idx="397">
                  <v>1</v>
                </pt>
                <pt idx="398">
                  <v>1</v>
                </pt>
                <pt idx="399">
                  <v>1</v>
                </pt>
                <pt idx="400">
                  <v>1</v>
                </pt>
                <pt idx="401">
                  <v>1</v>
                </pt>
                <pt idx="402">
                  <v>1</v>
                </pt>
                <pt idx="403">
                  <v>1</v>
                </pt>
                <pt idx="404">
                  <v>1</v>
                </pt>
                <pt idx="405">
                  <v>1</v>
                </pt>
                <pt idx="406">
                  <v>1</v>
                </pt>
                <pt idx="407">
                  <v>1</v>
                </pt>
                <pt idx="408">
                  <v>1</v>
                </pt>
                <pt idx="409">
                  <v>1</v>
                </pt>
                <pt idx="410">
                  <v>1</v>
                </pt>
                <pt idx="411">
                  <v>1</v>
                </pt>
                <pt idx="412">
                  <v>1</v>
                </pt>
                <pt idx="413">
                  <v>1</v>
                </pt>
                <pt idx="414">
                  <v>1</v>
                </pt>
                <pt idx="415">
                  <v>1</v>
                </pt>
                <pt idx="416">
                  <v>1</v>
                </pt>
                <pt idx="417">
                  <v>1</v>
                </pt>
                <pt idx="418">
                  <v>1</v>
                </pt>
                <pt idx="419">
                  <v>1</v>
                </pt>
                <pt idx="420">
                  <v>1</v>
                </pt>
                <pt idx="421">
                  <v>1</v>
                </pt>
                <pt idx="422">
                  <v>1</v>
                </pt>
                <pt idx="423">
                  <v>1</v>
                </pt>
                <pt idx="424">
                  <v>1</v>
                </pt>
                <pt idx="425">
                  <v>1</v>
                </pt>
                <pt idx="426">
                  <v>1</v>
                </pt>
                <pt idx="427">
                  <v>1</v>
                </pt>
                <pt idx="428">
                  <v>1</v>
                </pt>
                <pt idx="429">
                  <v>1</v>
                </pt>
                <pt idx="430">
                  <v>1</v>
                </pt>
                <pt idx="431">
                  <v>1</v>
                </pt>
                <pt idx="432">
                  <v>1</v>
                </pt>
                <pt idx="433">
                  <v>1</v>
                </pt>
                <pt idx="434">
                  <v>1</v>
                </pt>
                <pt idx="435">
                  <v>1</v>
                </pt>
                <pt idx="436">
                  <v>1</v>
                </pt>
                <pt idx="437">
                  <v>1</v>
                </pt>
                <pt idx="438">
                  <v>1</v>
                </pt>
                <pt idx="439">
                  <v>1</v>
                </pt>
                <pt idx="440">
                  <v>1</v>
                </pt>
                <pt idx="441">
                  <v>1</v>
                </pt>
                <pt idx="442">
                  <v>1</v>
                </pt>
                <pt idx="443">
                  <v>1</v>
                </pt>
                <pt idx="444">
                  <v>1</v>
                </pt>
                <pt idx="445">
                  <v>1</v>
                </pt>
                <pt idx="446">
                  <v>1</v>
                </pt>
                <pt idx="447">
                  <v>1</v>
                </pt>
                <pt idx="448">
                  <v>1</v>
                </pt>
                <pt idx="449">
                  <v>1</v>
                </pt>
                <pt idx="450">
                  <v>1</v>
                </pt>
                <pt idx="451">
                  <v>1</v>
                </pt>
                <pt idx="452">
                  <v>1</v>
                </pt>
                <pt idx="453">
                  <v>1</v>
                </pt>
                <pt idx="454">
                  <v>1</v>
                </pt>
                <pt idx="455">
                  <v>1</v>
                </pt>
                <pt idx="456">
                  <v>1</v>
                </pt>
                <pt idx="457">
                  <v>1</v>
                </pt>
                <pt idx="458">
                  <v>1</v>
                </pt>
                <pt idx="459">
                  <v>1</v>
                </pt>
                <pt idx="460">
                  <v>1</v>
                </pt>
                <pt idx="461">
                  <v>1</v>
                </pt>
                <pt idx="462">
                  <v>1</v>
                </pt>
                <pt idx="463">
                  <v>1</v>
                </pt>
                <pt idx="464">
                  <v>1</v>
                </pt>
                <pt idx="465">
                  <v>1</v>
                </pt>
                <pt idx="466">
                  <v>1</v>
                </pt>
                <pt idx="467">
                  <v>1</v>
                </pt>
                <pt idx="468">
                  <v>1</v>
                </pt>
                <pt idx="469">
                  <v>1</v>
                </pt>
                <pt idx="470">
                  <v>1</v>
                </pt>
                <pt idx="471">
                  <v>1</v>
                </pt>
                <pt idx="472">
                  <v>1</v>
                </pt>
                <pt idx="473">
                  <v>1</v>
                </pt>
                <pt idx="474">
                  <v>1</v>
                </pt>
                <pt idx="475">
                  <v>1</v>
                </pt>
                <pt idx="476">
                  <v>1</v>
                </pt>
                <pt idx="477">
                  <v>1</v>
                </pt>
                <pt idx="478">
                  <v>1</v>
                </pt>
                <pt idx="479">
                  <v>1</v>
                </pt>
                <pt idx="480">
                  <v>1</v>
                </pt>
                <pt idx="481">
                  <v>1</v>
                </pt>
                <pt idx="482">
                  <v>1</v>
                </pt>
                <pt idx="483">
                  <v>1</v>
                </pt>
                <pt idx="484">
                  <v>1</v>
                </pt>
                <pt idx="485">
                  <v>1</v>
                </pt>
                <pt idx="486">
                  <v>1</v>
                </pt>
                <pt idx="487">
                  <v>1</v>
                </pt>
                <pt idx="488">
                  <v>1</v>
                </pt>
                <pt idx="489">
                  <v>1</v>
                </pt>
                <pt idx="490">
                  <v>1</v>
                </pt>
                <pt idx="491">
                  <v>1</v>
                </pt>
                <pt idx="492">
                  <v>1</v>
                </pt>
                <pt idx="493">
                  <v>1</v>
                </pt>
                <pt idx="494">
                  <v>1</v>
                </pt>
                <pt idx="495">
                  <v>1</v>
                </pt>
                <pt idx="496">
                  <v>1</v>
                </pt>
                <pt idx="497">
                  <v>1</v>
                </pt>
                <pt idx="498">
                  <v>1</v>
                </pt>
                <pt idx="499">
                  <v>1</v>
                </pt>
                <pt idx="500">
                  <v>1</v>
                </pt>
                <pt idx="501">
                  <v>1</v>
                </pt>
                <pt idx="502">
                  <v>1</v>
                </pt>
                <pt idx="503">
                  <v>1</v>
                </pt>
                <pt idx="504">
                  <v>1</v>
                </pt>
                <pt idx="505">
                  <v>1</v>
                </pt>
                <pt idx="506">
                  <v>1</v>
                </pt>
                <pt idx="507">
                  <v>1</v>
                </pt>
                <pt idx="508">
                  <v>1</v>
                </pt>
                <pt idx="509">
                  <v>1</v>
                </pt>
                <pt idx="510">
                  <v>1</v>
                </pt>
                <pt idx="511">
                  <v>1</v>
                </pt>
                <pt idx="512">
                  <v>1</v>
                </pt>
                <pt idx="513">
                  <v>1</v>
                </pt>
                <pt idx="514">
                  <v>1</v>
                </pt>
                <pt idx="515">
                  <v>1</v>
                </pt>
                <pt idx="516">
                  <v>1</v>
                </pt>
                <pt idx="517">
                  <v>1</v>
                </pt>
                <pt idx="518">
                  <v>1</v>
                </pt>
                <pt idx="519">
                  <v>1</v>
                </pt>
                <pt idx="520">
                  <v>1</v>
                </pt>
                <pt idx="521">
                  <v>1</v>
                </pt>
                <pt idx="522">
                  <v>1</v>
                </pt>
                <pt idx="523">
                  <v>1</v>
                </pt>
                <pt idx="524">
                  <v>1</v>
                </pt>
                <pt idx="525">
                  <v>1</v>
                </pt>
                <pt idx="526">
                  <v>1</v>
                </pt>
                <pt idx="527">
                  <v>1</v>
                </pt>
                <pt idx="528">
                  <v>1</v>
                </pt>
                <pt idx="529">
                  <v>1</v>
                </pt>
                <pt idx="530">
                  <v>1</v>
                </pt>
                <pt idx="531">
                  <v>1</v>
                </pt>
                <pt idx="532">
                  <v>1</v>
                </pt>
                <pt idx="533">
                  <v>1</v>
                </pt>
                <pt idx="534">
                  <v>1</v>
                </pt>
                <pt idx="535">
                  <v>1</v>
                </pt>
                <pt idx="536">
                  <v>1</v>
                </pt>
                <pt idx="537">
                  <v>1</v>
                </pt>
                <pt idx="538">
                  <v>1</v>
                </pt>
                <pt idx="539">
                  <v>1</v>
                </pt>
                <pt idx="540">
                  <v>1</v>
                </pt>
                <pt idx="541">
                  <v>1</v>
                </pt>
                <pt idx="542">
                  <v>1</v>
                </pt>
                <pt idx="543">
                  <v>1</v>
                </pt>
                <pt idx="544">
                  <v>1</v>
                </pt>
                <pt idx="545">
                  <v>1</v>
                </pt>
                <pt idx="546">
                  <v>1</v>
                </pt>
                <pt idx="547">
                  <v>1</v>
                </pt>
                <pt idx="548">
                  <v>1</v>
                </pt>
                <pt idx="549">
                  <v>1</v>
                </pt>
                <pt idx="550">
                  <v>1</v>
                </pt>
                <pt idx="551">
                  <v>1</v>
                </pt>
                <pt idx="552">
                  <v>1</v>
                </pt>
                <pt idx="553">
                  <v>1</v>
                </pt>
                <pt idx="554">
                  <v>1</v>
                </pt>
                <pt idx="555">
                  <v>1</v>
                </pt>
                <pt idx="556">
                  <v>1</v>
                </pt>
                <pt idx="557">
                  <v>1</v>
                </pt>
                <pt idx="558">
                  <v>1</v>
                </pt>
                <pt idx="559">
                  <v>1</v>
                </pt>
                <pt idx="560">
                  <v>1</v>
                </pt>
                <pt idx="561">
                  <v>1</v>
                </pt>
                <pt idx="562">
                  <v>1</v>
                </pt>
                <pt idx="563">
                  <v>1</v>
                </pt>
                <pt idx="564">
                  <v>1</v>
                </pt>
                <pt idx="565">
                  <v>1</v>
                </pt>
                <pt idx="566">
                  <v>1</v>
                </pt>
                <pt idx="567">
                  <v>1</v>
                </pt>
                <pt idx="568">
                  <v>1</v>
                </pt>
                <pt idx="569">
                  <v>1</v>
                </pt>
                <pt idx="570">
                  <v>1</v>
                </pt>
                <pt idx="571">
                  <v>1</v>
                </pt>
                <pt idx="572">
                  <v>1</v>
                </pt>
                <pt idx="573">
                  <v>1</v>
                </pt>
                <pt idx="574">
                  <v>1</v>
                </pt>
                <pt idx="575">
                  <v>1</v>
                </pt>
                <pt idx="576">
                  <v>1</v>
                </pt>
                <pt idx="577">
                  <v>1</v>
                </pt>
                <pt idx="578">
                  <v>1</v>
                </pt>
                <pt idx="579">
                  <v>1</v>
                </pt>
                <pt idx="580">
                  <v>1</v>
                </pt>
                <pt idx="581">
                  <v>1</v>
                </pt>
                <pt idx="582">
                  <v>1</v>
                </pt>
                <pt idx="583">
                  <v>1</v>
                </pt>
                <pt idx="584">
                  <v>1</v>
                </pt>
                <pt idx="585">
                  <v>1</v>
                </pt>
                <pt idx="586">
                  <v>1</v>
                </pt>
                <pt idx="587">
                  <v>1</v>
                </pt>
                <pt idx="588">
                  <v>1</v>
                </pt>
                <pt idx="589">
                  <v>1</v>
                </pt>
                <pt idx="590">
                  <v>1</v>
                </pt>
                <pt idx="591">
                  <v>1</v>
                </pt>
                <pt idx="592">
                  <v>1</v>
                </pt>
                <pt idx="593">
                  <v>1</v>
                </pt>
                <pt idx="594">
                  <v>1</v>
                </pt>
                <pt idx="595">
                  <v>1</v>
                </pt>
                <pt idx="596">
                  <v>1</v>
                </pt>
                <pt idx="597">
                  <v>1</v>
                </pt>
                <pt idx="598">
                  <v>1</v>
                </pt>
                <pt idx="599">
                  <v>1</v>
                </pt>
                <pt idx="600">
                  <v>1</v>
                </pt>
                <pt idx="601">
                  <v>1</v>
                </pt>
                <pt idx="602">
                  <v>1</v>
                </pt>
                <pt idx="603">
                  <v>1</v>
                </pt>
                <pt idx="604">
                  <v>1</v>
                </pt>
                <pt idx="605">
                  <v>1</v>
                </pt>
                <pt idx="606">
                  <v>1</v>
                </pt>
                <pt idx="607">
                  <v>1</v>
                </pt>
                <pt idx="608">
                  <v>1</v>
                </pt>
                <pt idx="609">
                  <v>1</v>
                </pt>
                <pt idx="610">
                  <v>1</v>
                </pt>
                <pt idx="611">
                  <v>1</v>
                </pt>
                <pt idx="612">
                  <v>1</v>
                </pt>
                <pt idx="613">
                  <v>1</v>
                </pt>
                <pt idx="614">
                  <v>1</v>
                </pt>
                <pt idx="615">
                  <v>1</v>
                </pt>
                <pt idx="616">
                  <v>1</v>
                </pt>
                <pt idx="617">
                  <v>1</v>
                </pt>
                <pt idx="618">
                  <v>1</v>
                </pt>
                <pt idx="619">
                  <v>1</v>
                </pt>
                <pt idx="620">
                  <v>1</v>
                </pt>
                <pt idx="621">
                  <v>1</v>
                </pt>
                <pt idx="622">
                  <v>1</v>
                </pt>
                <pt idx="623">
                  <v>1</v>
                </pt>
                <pt idx="624">
                  <v>1</v>
                </pt>
                <pt idx="625">
                  <v>1</v>
                </pt>
                <pt idx="626">
                  <v>1</v>
                </pt>
                <pt idx="627">
                  <v>1</v>
                </pt>
                <pt idx="628">
                  <v>1</v>
                </pt>
                <pt idx="629">
                  <v>1</v>
                </pt>
                <pt idx="630">
                  <v>1</v>
                </pt>
                <pt idx="631">
                  <v>1</v>
                </pt>
                <pt idx="632">
                  <v>1</v>
                </pt>
                <pt idx="633">
                  <v>1</v>
                </pt>
                <pt idx="634">
                  <v>1</v>
                </pt>
                <pt idx="635">
                  <v>1</v>
                </pt>
                <pt idx="636">
                  <v>1</v>
                </pt>
                <pt idx="637">
                  <v>1</v>
                </pt>
                <pt idx="638">
                  <v>1</v>
                </pt>
                <pt idx="639">
                  <v>1</v>
                </pt>
                <pt idx="640">
                  <v>1</v>
                </pt>
                <pt idx="641">
                  <v>1</v>
                </pt>
                <pt idx="642">
                  <v>1</v>
                </pt>
                <pt idx="643">
                  <v>1</v>
                </pt>
                <pt idx="644">
                  <v>1</v>
                </pt>
                <pt idx="645">
                  <v>1</v>
                </pt>
                <pt idx="646">
                  <v>1</v>
                </pt>
                <pt idx="647">
                  <v>1</v>
                </pt>
                <pt idx="648">
                  <v>1</v>
                </pt>
                <pt idx="649">
                  <v>1</v>
                </pt>
                <pt idx="650">
                  <v>1</v>
                </pt>
                <pt idx="651">
                  <v>1</v>
                </pt>
                <pt idx="652">
                  <v>1</v>
                </pt>
                <pt idx="653">
                  <v>1</v>
                </pt>
                <pt idx="654">
                  <v>1</v>
                </pt>
                <pt idx="655">
                  <v>1</v>
                </pt>
                <pt idx="656">
                  <v>1</v>
                </pt>
                <pt idx="657">
                  <v>1</v>
                </pt>
                <pt idx="658">
                  <v>1</v>
                </pt>
                <pt idx="659">
                  <v>1</v>
                </pt>
                <pt idx="660">
                  <v>1</v>
                </pt>
                <pt idx="661">
                  <v>1</v>
                </pt>
                <pt idx="662">
                  <v>1</v>
                </pt>
                <pt idx="663">
                  <v>1</v>
                </pt>
                <pt idx="664">
                  <v>1</v>
                </pt>
                <pt idx="665">
                  <v>1</v>
                </pt>
                <pt idx="666">
                  <v>1</v>
                </pt>
                <pt idx="667">
                  <v>1</v>
                </pt>
                <pt idx="668">
                  <v>1</v>
                </pt>
                <pt idx="669">
                  <v>1</v>
                </pt>
                <pt idx="670">
                  <v>1</v>
                </pt>
                <pt idx="671">
                  <v>1</v>
                </pt>
                <pt idx="672">
                  <v>1</v>
                </pt>
                <pt idx="673">
                  <v>1</v>
                </pt>
                <pt idx="674">
                  <v>1</v>
                </pt>
                <pt idx="675">
                  <v>1</v>
                </pt>
                <pt idx="676">
                  <v>1</v>
                </pt>
                <pt idx="677">
                  <v>1</v>
                </pt>
                <pt idx="678">
                  <v>1</v>
                </pt>
                <pt idx="679">
                  <v>1</v>
                </pt>
                <pt idx="680">
                  <v>1</v>
                </pt>
                <pt idx="681">
                  <v>1</v>
                </pt>
                <pt idx="682">
                  <v>1</v>
                </pt>
                <pt idx="683">
                  <v>1</v>
                </pt>
                <pt idx="684">
                  <v>1</v>
                </pt>
                <pt idx="685">
                  <v>1</v>
                </pt>
                <pt idx="686">
                  <v>1</v>
                </pt>
                <pt idx="687">
                  <v>1</v>
                </pt>
                <pt idx="688">
                  <v>1</v>
                </pt>
                <pt idx="689">
                  <v>1</v>
                </pt>
                <pt idx="690">
                  <v>1</v>
                </pt>
                <pt idx="691">
                  <v>1</v>
                </pt>
                <pt idx="692">
                  <v>1</v>
                </pt>
                <pt idx="693">
                  <v>1</v>
                </pt>
                <pt idx="694">
                  <v>1</v>
                </pt>
                <pt idx="695">
                  <v>1</v>
                </pt>
                <pt idx="696">
                  <v>1</v>
                </pt>
                <pt idx="697">
                  <v>1</v>
                </pt>
                <pt idx="698">
                  <v>1</v>
                </pt>
                <pt idx="699">
                  <v>1</v>
                </pt>
                <pt idx="700">
                  <v>1</v>
                </pt>
                <pt idx="701">
                  <v>1</v>
                </pt>
                <pt idx="702">
                  <v>1</v>
                </pt>
                <pt idx="703">
                  <v>1</v>
                </pt>
                <pt idx="704">
                  <v>1</v>
                </pt>
                <pt idx="705">
                  <v>1</v>
                </pt>
                <pt idx="706">
                  <v>1</v>
                </pt>
                <pt idx="707">
                  <v>1</v>
                </pt>
                <pt idx="708">
                  <v>1</v>
                </pt>
                <pt idx="709">
                  <v>1</v>
                </pt>
                <pt idx="710">
                  <v>1</v>
                </pt>
                <pt idx="711">
                  <v>1</v>
                </pt>
                <pt idx="712">
                  <v>1</v>
                </pt>
                <pt idx="713">
                  <v>1</v>
                </pt>
                <pt idx="714">
                  <v>1</v>
                </pt>
                <pt idx="715">
                  <v>1</v>
                </pt>
                <pt idx="716">
                  <v>1</v>
                </pt>
                <pt idx="717">
                  <v>1</v>
                </pt>
                <pt idx="718">
                  <v>1</v>
                </pt>
                <pt idx="719">
                  <v>1</v>
                </pt>
                <pt idx="720">
                  <v>1</v>
                </pt>
                <pt idx="721">
                  <v>1</v>
                </pt>
                <pt idx="722">
                  <v>1</v>
                </pt>
                <pt idx="723">
                  <v>1</v>
                </pt>
                <pt idx="724">
                  <v>1</v>
                </pt>
                <pt idx="725">
                  <v>1</v>
                </pt>
                <pt idx="726">
                  <v>1</v>
                </pt>
                <pt idx="727">
                  <v>1</v>
                </pt>
                <pt idx="728">
                  <v>1</v>
                </pt>
                <pt idx="729">
                  <v>1</v>
                </pt>
                <pt idx="730">
                  <v>1</v>
                </pt>
                <pt idx="731">
                  <v>1</v>
                </pt>
                <pt idx="732">
                  <v>1</v>
                </pt>
                <pt idx="733">
                  <v>1</v>
                </pt>
                <pt idx="734">
                  <v>1</v>
                </pt>
                <pt idx="735">
                  <v>1</v>
                </pt>
                <pt idx="736">
                  <v>1</v>
                </pt>
                <pt idx="737">
                  <v>1</v>
                </pt>
                <pt idx="738">
                  <v>1</v>
                </pt>
                <pt idx="739">
                  <v>1</v>
                </pt>
                <pt idx="740">
                  <v>1</v>
                </pt>
                <pt idx="741">
                  <v>1</v>
                </pt>
                <pt idx="742">
                  <v>1</v>
                </pt>
                <pt idx="743">
                  <v>1</v>
                </pt>
                <pt idx="744">
                  <v>1</v>
                </pt>
                <pt idx="745">
                  <v>1</v>
                </pt>
                <pt idx="746">
                  <v>1</v>
                </pt>
                <pt idx="747">
                  <v>1</v>
                </pt>
                <pt idx="748">
                  <v>1</v>
                </pt>
                <pt idx="749">
                  <v>1</v>
                </pt>
                <pt idx="750">
                  <v>1</v>
                </pt>
                <pt idx="751">
                  <v>1</v>
                </pt>
                <pt idx="752">
                  <v>1</v>
                </pt>
                <pt idx="753">
                  <v>1</v>
                </pt>
                <pt idx="754">
                  <v>1</v>
                </pt>
                <pt idx="755">
                  <v>1</v>
                </pt>
                <pt idx="756">
                  <v>1</v>
                </pt>
                <pt idx="757">
                  <v>1</v>
                </pt>
                <pt idx="758">
                  <v>1</v>
                </pt>
                <pt idx="759">
                  <v>1</v>
                </pt>
                <pt idx="760">
                  <v>1</v>
                </pt>
                <pt idx="761">
                  <v>1</v>
                </pt>
                <pt idx="762">
                  <v>1</v>
                </pt>
                <pt idx="763">
                  <v>1</v>
                </pt>
                <pt idx="764">
                  <v>1</v>
                </pt>
                <pt idx="765">
                  <v>1</v>
                </pt>
                <pt idx="766">
                  <v>1</v>
                </pt>
                <pt idx="767">
                  <v>1</v>
                </pt>
                <pt idx="768">
                  <v>1</v>
                </pt>
                <pt idx="769">
                  <v>1</v>
                </pt>
                <pt idx="770">
                  <v>1</v>
                </pt>
                <pt idx="771">
                  <v>1</v>
                </pt>
                <pt idx="772">
                  <v>1</v>
                </pt>
                <pt idx="773">
                  <v>1</v>
                </pt>
                <pt idx="774">
                  <v>1</v>
                </pt>
                <pt idx="775">
                  <v>1</v>
                </pt>
                <pt idx="776">
                  <v>1</v>
                </pt>
                <pt idx="777">
                  <v>1</v>
                </pt>
                <pt idx="778">
                  <v>1</v>
                </pt>
                <pt idx="779">
                  <v>1</v>
                </pt>
                <pt idx="780">
                  <v>1</v>
                </pt>
                <pt idx="781">
                  <v>1</v>
                </pt>
                <pt idx="782">
                  <v>1</v>
                </pt>
                <pt idx="783">
                  <v>1</v>
                </pt>
                <pt idx="784">
                  <v>1</v>
                </pt>
                <pt idx="785">
                  <v>1</v>
                </pt>
                <pt idx="786">
                  <v>1</v>
                </pt>
                <pt idx="787">
                  <v>1</v>
                </pt>
                <pt idx="788">
                  <v>1</v>
                </pt>
                <pt idx="789">
                  <v>1</v>
                </pt>
                <pt idx="790">
                  <v>1</v>
                </pt>
                <pt idx="791">
                  <v>1</v>
                </pt>
                <pt idx="792">
                  <v>1</v>
                </pt>
                <pt idx="793">
                  <v>1</v>
                </pt>
                <pt idx="794">
                  <v>1</v>
                </pt>
                <pt idx="795">
                  <v>1</v>
                </pt>
                <pt idx="796">
                  <v>1</v>
                </pt>
                <pt idx="797">
                  <v>1</v>
                </pt>
                <pt idx="798">
                  <v>1</v>
                </pt>
                <pt idx="799">
                  <v>1</v>
                </pt>
                <pt idx="800">
                  <v>1</v>
                </pt>
                <pt idx="801">
                  <v>1</v>
                </pt>
                <pt idx="802">
                  <v>1</v>
                </pt>
                <pt idx="803">
                  <v>1</v>
                </pt>
                <pt idx="804">
                  <v>1</v>
                </pt>
                <pt idx="805">
                  <v>1</v>
                </pt>
                <pt idx="806">
                  <v>1</v>
                </pt>
                <pt idx="807">
                  <v>1</v>
                </pt>
                <pt idx="808">
                  <v>1</v>
                </pt>
                <pt idx="809">
                  <v>1</v>
                </pt>
                <pt idx="810">
                  <v>1</v>
                </pt>
                <pt idx="811">
                  <v>1</v>
                </pt>
                <pt idx="812">
                  <v>1</v>
                </pt>
                <pt idx="813">
                  <v>1</v>
                </pt>
                <pt idx="814">
                  <v>1</v>
                </pt>
                <pt idx="815">
                  <v>1</v>
                </pt>
                <pt idx="816">
                  <v>1</v>
                </pt>
                <pt idx="817">
                  <v>1</v>
                </pt>
                <pt idx="818">
                  <v>1</v>
                </pt>
                <pt idx="819">
                  <v>1</v>
                </pt>
                <pt idx="820">
                  <v>1</v>
                </pt>
                <pt idx="821">
                  <v>1</v>
                </pt>
                <pt idx="822">
                  <v>1</v>
                </pt>
                <pt idx="823">
                  <v>1</v>
                </pt>
                <pt idx="824">
                  <v>1</v>
                </pt>
                <pt idx="825">
                  <v>1</v>
                </pt>
                <pt idx="826">
                  <v>1</v>
                </pt>
                <pt idx="827">
                  <v>1</v>
                </pt>
                <pt idx="828">
                  <v>1</v>
                </pt>
                <pt idx="829">
                  <v>1</v>
                </pt>
                <pt idx="830">
                  <v>1</v>
                </pt>
                <pt idx="831">
                  <v>1</v>
                </pt>
                <pt idx="832">
                  <v>1</v>
                </pt>
                <pt idx="833">
                  <v>1</v>
                </pt>
                <pt idx="834">
                  <v>1</v>
                </pt>
                <pt idx="835">
                  <v>1</v>
                </pt>
                <pt idx="836">
                  <v>1</v>
                </pt>
                <pt idx="837">
                  <v>1</v>
                </pt>
                <pt idx="838">
                  <v>1</v>
                </pt>
                <pt idx="839">
                  <v>1</v>
                </pt>
                <pt idx="840">
                  <v>1</v>
                </pt>
                <pt idx="841">
                  <v>1</v>
                </pt>
                <pt idx="842">
                  <v>1</v>
                </pt>
                <pt idx="843">
                  <v>1</v>
                </pt>
                <pt idx="844">
                  <v>1</v>
                </pt>
                <pt idx="845">
                  <v>1</v>
                </pt>
                <pt idx="846">
                  <v>1</v>
                </pt>
                <pt idx="847">
                  <v>1</v>
                </pt>
                <pt idx="848">
                  <v>1</v>
                </pt>
                <pt idx="849">
                  <v>1</v>
                </pt>
                <pt idx="850">
                  <v>1</v>
                </pt>
                <pt idx="851">
                  <v>1</v>
                </pt>
                <pt idx="852">
                  <v>1</v>
                </pt>
                <pt idx="853">
                  <v>1</v>
                </pt>
                <pt idx="854">
                  <v>1</v>
                </pt>
                <pt idx="855">
                  <v>1</v>
                </pt>
                <pt idx="856">
                  <v>1</v>
                </pt>
                <pt idx="857">
                  <v>1</v>
                </pt>
                <pt idx="858">
                  <v>1</v>
                </pt>
                <pt idx="859">
                  <v>1</v>
                </pt>
                <pt idx="860">
                  <v>1</v>
                </pt>
                <pt idx="861">
                  <v>1</v>
                </pt>
                <pt idx="862">
                  <v>1</v>
                </pt>
                <pt idx="863">
                  <v>1</v>
                </pt>
                <pt idx="864">
                  <v>1</v>
                </pt>
                <pt idx="865">
                  <v>1</v>
                </pt>
                <pt idx="866">
                  <v>1</v>
                </pt>
                <pt idx="867">
                  <v>1</v>
                </pt>
                <pt idx="868">
                  <v>1</v>
                </pt>
                <pt idx="869">
                  <v>1</v>
                </pt>
                <pt idx="870">
                  <v>1</v>
                </pt>
                <pt idx="871">
                  <v>1</v>
                </pt>
                <pt idx="872">
                  <v>1</v>
                </pt>
                <pt idx="873">
                  <v>1</v>
                </pt>
                <pt idx="874">
                  <v>1</v>
                </pt>
                <pt idx="875">
                  <v>1</v>
                </pt>
                <pt idx="876">
                  <v>1</v>
                </pt>
                <pt idx="877">
                  <v>1</v>
                </pt>
                <pt idx="878">
                  <v>1</v>
                </pt>
                <pt idx="879">
                  <v>1</v>
                </pt>
                <pt idx="880">
                  <v>1</v>
                </pt>
                <pt idx="881">
                  <v>1</v>
                </pt>
                <pt idx="882">
                  <v>1</v>
                </pt>
                <pt idx="883">
                  <v>1</v>
                </pt>
                <pt idx="884">
                  <v>1</v>
                </pt>
                <pt idx="885">
                  <v>1</v>
                </pt>
                <pt idx="886">
                  <v>1</v>
                </pt>
                <pt idx="887">
                  <v>1</v>
                </pt>
                <pt idx="888">
                  <v>1</v>
                </pt>
                <pt idx="889">
                  <v>1</v>
                </pt>
                <pt idx="890">
                  <v>1</v>
                </pt>
                <pt idx="891">
                  <v>1</v>
                </pt>
                <pt idx="892">
                  <v>1</v>
                </pt>
                <pt idx="893">
                  <v>1</v>
                </pt>
                <pt idx="894">
                  <v>1</v>
                </pt>
                <pt idx="895">
                  <v>1</v>
                </pt>
                <pt idx="896">
                  <v>1</v>
                </pt>
                <pt idx="897">
                  <v>1</v>
                </pt>
                <pt idx="898">
                  <v>1</v>
                </pt>
                <pt idx="899">
                  <v>1</v>
                </pt>
                <pt idx="900">
                  <v>1</v>
                </pt>
                <pt idx="901">
                  <v>1</v>
                </pt>
                <pt idx="902">
                  <v>1</v>
                </pt>
                <pt idx="903">
                  <v>1</v>
                </pt>
                <pt idx="904">
                  <v>1</v>
                </pt>
                <pt idx="905">
                  <v>1</v>
                </pt>
                <pt idx="906">
                  <v>1</v>
                </pt>
                <pt idx="907">
                  <v>1</v>
                </pt>
                <pt idx="908">
                  <v>1</v>
                </pt>
                <pt idx="909">
                  <v>1</v>
                </pt>
                <pt idx="910">
                  <v>1</v>
                </pt>
                <pt idx="911">
                  <v>1</v>
                </pt>
                <pt idx="912">
                  <v>1</v>
                </pt>
                <pt idx="913">
                  <v>1</v>
                </pt>
                <pt idx="914">
                  <v>1</v>
                </pt>
                <pt idx="915">
                  <v>1</v>
                </pt>
                <pt idx="916">
                  <v>1</v>
                </pt>
                <pt idx="917">
                  <v>1</v>
                </pt>
                <pt idx="918">
                  <v>1</v>
                </pt>
                <pt idx="919">
                  <v>1</v>
                </pt>
                <pt idx="920">
                  <v>1</v>
                </pt>
                <pt idx="921">
                  <v>1</v>
                </pt>
                <pt idx="922">
                  <v>1</v>
                </pt>
                <pt idx="923">
                  <v>1</v>
                </pt>
                <pt idx="924">
                  <v>1</v>
                </pt>
                <pt idx="925">
                  <v>1</v>
                </pt>
                <pt idx="926">
                  <v>1</v>
                </pt>
                <pt idx="927">
                  <v>1</v>
                </pt>
                <pt idx="928">
                  <v>1</v>
                </pt>
                <pt idx="929">
                  <v>1</v>
                </pt>
                <pt idx="930">
                  <v>1</v>
                </pt>
                <pt idx="931">
                  <v>1</v>
                </pt>
                <pt idx="932">
                  <v>1</v>
                </pt>
                <pt idx="933">
                  <v>1</v>
                </pt>
                <pt idx="934">
                  <v>1</v>
                </pt>
                <pt idx="935">
                  <v>1</v>
                </pt>
                <pt idx="936">
                  <v>1</v>
                </pt>
                <pt idx="937">
                  <v>1</v>
                </pt>
                <pt idx="938">
                  <v>1</v>
                </pt>
                <pt idx="939">
                  <v>1</v>
                </pt>
                <pt idx="940">
                  <v>1</v>
                </pt>
                <pt idx="941">
                  <v>1</v>
                </pt>
                <pt idx="942">
                  <v>1</v>
                </pt>
                <pt idx="943">
                  <v>1</v>
                </pt>
                <pt idx="944">
                  <v>1</v>
                </pt>
                <pt idx="945">
                  <v>1</v>
                </pt>
                <pt idx="946">
                  <v>1</v>
                </pt>
                <pt idx="947">
                  <v>1</v>
                </pt>
                <pt idx="948">
                  <v>1</v>
                </pt>
                <pt idx="949">
                  <v>1</v>
                </pt>
                <pt idx="950">
                  <v>1</v>
                </pt>
                <pt idx="951">
                  <v>1</v>
                </pt>
                <pt idx="952">
                  <v>1</v>
                </pt>
                <pt idx="953">
                  <v>1</v>
                </pt>
                <pt idx="954">
                  <v>1</v>
                </pt>
                <pt idx="955">
                  <v>1</v>
                </pt>
                <pt idx="956">
                  <v>1</v>
                </pt>
                <pt idx="957">
                  <v>1</v>
                </pt>
                <pt idx="958">
                  <v>1</v>
                </pt>
                <pt idx="959">
                  <v>1</v>
                </pt>
                <pt idx="960">
                  <v>1</v>
                </pt>
                <pt idx="961">
                  <v>1</v>
                </pt>
                <pt idx="962">
                  <v>1</v>
                </pt>
                <pt idx="963">
                  <v>1</v>
                </pt>
                <pt idx="964">
                  <v>1</v>
                </pt>
                <pt idx="965">
                  <v>1</v>
                </pt>
                <pt idx="966">
                  <v>1</v>
                </pt>
                <pt idx="967">
                  <v>1</v>
                </pt>
                <pt idx="968">
                  <v>1</v>
                </pt>
                <pt idx="969">
                  <v>1</v>
                </pt>
                <pt idx="970">
                  <v>1</v>
                </pt>
                <pt idx="971">
                  <v>1</v>
                </pt>
                <pt idx="972">
                  <v>1</v>
                </pt>
                <pt idx="973">
                  <v>1</v>
                </pt>
                <pt idx="974">
                  <v>1</v>
                </pt>
                <pt idx="975">
                  <v>1</v>
                </pt>
                <pt idx="976">
                  <v>1</v>
                </pt>
                <pt idx="977">
                  <v>1</v>
                </pt>
                <pt idx="978">
                  <v>1</v>
                </pt>
                <pt idx="979">
                  <v>1</v>
                </pt>
                <pt idx="980">
                  <v>1</v>
                </pt>
                <pt idx="981">
                  <v>1</v>
                </pt>
                <pt idx="982">
                  <v>1</v>
                </pt>
                <pt idx="983">
                  <v>1</v>
                </pt>
                <pt idx="984">
                  <v>1</v>
                </pt>
                <pt idx="985">
                  <v>1</v>
                </pt>
                <pt idx="986">
                  <v>1</v>
                </pt>
                <pt idx="987">
                  <v>1</v>
                </pt>
                <pt idx="988">
                  <v>1</v>
                </pt>
                <pt idx="989">
                  <v>1</v>
                </pt>
                <pt idx="990">
                  <v>1</v>
                </pt>
                <pt idx="991">
                  <v>1</v>
                </pt>
                <pt idx="992">
                  <v>1</v>
                </pt>
                <pt idx="993">
                  <v>1</v>
                </pt>
                <pt idx="994">
                  <v>1</v>
                </pt>
                <pt idx="995">
                  <v>1</v>
                </pt>
                <pt idx="996">
                  <v>1</v>
                </pt>
                <pt idx="997">
                  <v>1</v>
                </pt>
                <pt idx="998">
                  <v>1</v>
                </pt>
                <pt idx="999">
                  <v>1</v>
                </pt>
                <pt idx="1000">
                  <v>1</v>
                </pt>
              </numCache>
            </numRef>
          </val>
          <smooth val="0"/>
        </ser>
        <ser>
          <idx val="2"/>
          <order val="2"/>
          <tx>
            <strRef>
              <f>Лист4!$X$1</f>
              <strCache>
                <ptCount val="1"/>
                <pt idx="0">
                  <v>Граница верх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Лист4!$X$2:$X$1003</f>
              <numCache>
                <formatCode>0.000</formatCode>
                <ptCount val="100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1.05</v>
                </pt>
                <pt idx="41">
                  <v>1.05</v>
                </pt>
                <pt idx="42">
                  <v>1.05</v>
                </pt>
                <pt idx="43">
                  <v>1.05</v>
                </pt>
                <pt idx="44">
                  <v>1.05</v>
                </pt>
                <pt idx="45">
                  <v>1.05</v>
                </pt>
                <pt idx="46">
                  <v>1.05</v>
                </pt>
                <pt idx="47">
                  <v>1.05</v>
                </pt>
                <pt idx="48">
                  <v>1.05</v>
                </pt>
                <pt idx="49">
                  <v>1.05</v>
                </pt>
                <pt idx="50">
                  <v>1.05</v>
                </pt>
                <pt idx="51">
                  <v>1.05</v>
                </pt>
                <pt idx="52">
                  <v>1.05</v>
                </pt>
                <pt idx="53">
                  <v>1.05</v>
                </pt>
                <pt idx="54">
                  <v>1.05</v>
                </pt>
                <pt idx="55">
                  <v>1.05</v>
                </pt>
                <pt idx="56">
                  <v>1.05</v>
                </pt>
                <pt idx="57">
                  <v>1.05</v>
                </pt>
                <pt idx="58">
                  <v>1.05</v>
                </pt>
                <pt idx="59">
                  <v>1.05</v>
                </pt>
                <pt idx="60">
                  <v>1.05</v>
                </pt>
                <pt idx="61">
                  <v>1.05</v>
                </pt>
                <pt idx="62">
                  <v>1.05</v>
                </pt>
                <pt idx="63">
                  <v>1.05</v>
                </pt>
                <pt idx="64">
                  <v>1.05</v>
                </pt>
                <pt idx="65">
                  <v>1.05</v>
                </pt>
                <pt idx="66">
                  <v>1.05</v>
                </pt>
                <pt idx="67">
                  <v>1.05</v>
                </pt>
                <pt idx="68">
                  <v>1.05</v>
                </pt>
                <pt idx="69">
                  <v>1.05</v>
                </pt>
                <pt idx="70">
                  <v>1.05</v>
                </pt>
                <pt idx="71">
                  <v>1.05</v>
                </pt>
                <pt idx="72">
                  <v>1.05</v>
                </pt>
                <pt idx="73">
                  <v>1.05</v>
                </pt>
                <pt idx="74">
                  <v>1.05</v>
                </pt>
                <pt idx="75">
                  <v>1.05</v>
                </pt>
                <pt idx="76">
                  <v>1.05</v>
                </pt>
                <pt idx="77">
                  <v>1.05</v>
                </pt>
                <pt idx="78">
                  <v>1.05</v>
                </pt>
                <pt idx="79">
                  <v>1.05</v>
                </pt>
                <pt idx="80">
                  <v>1.05</v>
                </pt>
                <pt idx="81">
                  <v>1.05</v>
                </pt>
                <pt idx="82">
                  <v>1.05</v>
                </pt>
                <pt idx="83">
                  <v>1.05</v>
                </pt>
                <pt idx="84">
                  <v>1.05</v>
                </pt>
                <pt idx="85">
                  <v>1.05</v>
                </pt>
                <pt idx="86">
                  <v>1.05</v>
                </pt>
                <pt idx="87">
                  <v>1.05</v>
                </pt>
                <pt idx="88">
                  <v>1.05</v>
                </pt>
                <pt idx="89">
                  <v>1.05</v>
                </pt>
                <pt idx="90">
                  <v>1.05</v>
                </pt>
                <pt idx="91">
                  <v>1.05</v>
                </pt>
                <pt idx="92">
                  <v>1.05</v>
                </pt>
                <pt idx="93">
                  <v>1.05</v>
                </pt>
                <pt idx="94">
                  <v>1.05</v>
                </pt>
                <pt idx="95">
                  <v>1.05</v>
                </pt>
                <pt idx="96">
                  <v>1.05</v>
                </pt>
                <pt idx="97">
                  <v>1.05</v>
                </pt>
                <pt idx="98">
                  <v>1.05</v>
                </pt>
                <pt idx="99">
                  <v>1.05</v>
                </pt>
                <pt idx="100">
                  <v>1.05</v>
                </pt>
                <pt idx="101">
                  <v>1.05</v>
                </pt>
                <pt idx="102">
                  <v>1.05</v>
                </pt>
                <pt idx="103">
                  <v>1.05</v>
                </pt>
                <pt idx="104">
                  <v>1.05</v>
                </pt>
                <pt idx="105">
                  <v>1.05</v>
                </pt>
                <pt idx="106">
                  <v>1.05</v>
                </pt>
                <pt idx="107">
                  <v>1.05</v>
                </pt>
                <pt idx="108">
                  <v>1.05</v>
                </pt>
                <pt idx="109">
                  <v>1.05</v>
                </pt>
                <pt idx="110">
                  <v>1.05</v>
                </pt>
                <pt idx="111">
                  <v>1.05</v>
                </pt>
                <pt idx="112">
                  <v>1.05</v>
                </pt>
                <pt idx="113">
                  <v>1.05</v>
                </pt>
                <pt idx="114">
                  <v>1.05</v>
                </pt>
                <pt idx="115">
                  <v>1.05</v>
                </pt>
                <pt idx="116">
                  <v>1.05</v>
                </pt>
                <pt idx="117">
                  <v>1.05</v>
                </pt>
                <pt idx="118">
                  <v>1.05</v>
                </pt>
                <pt idx="119">
                  <v>1.05</v>
                </pt>
                <pt idx="120">
                  <v>1.05</v>
                </pt>
                <pt idx="121">
                  <v>1.05</v>
                </pt>
                <pt idx="122">
                  <v>1.05</v>
                </pt>
                <pt idx="123">
                  <v>1.05</v>
                </pt>
                <pt idx="124">
                  <v>1.05</v>
                </pt>
                <pt idx="125">
                  <v>1.05</v>
                </pt>
                <pt idx="126">
                  <v>1.05</v>
                </pt>
                <pt idx="127">
                  <v>1.05</v>
                </pt>
                <pt idx="128">
                  <v>1.05</v>
                </pt>
                <pt idx="129">
                  <v>1.05</v>
                </pt>
                <pt idx="130">
                  <v>1.05</v>
                </pt>
                <pt idx="131">
                  <v>1.05</v>
                </pt>
                <pt idx="132">
                  <v>1.05</v>
                </pt>
                <pt idx="133">
                  <v>1.05</v>
                </pt>
                <pt idx="134">
                  <v>1.05</v>
                </pt>
                <pt idx="135">
                  <v>1.05</v>
                </pt>
                <pt idx="136">
                  <v>1.05</v>
                </pt>
                <pt idx="137">
                  <v>1.05</v>
                </pt>
                <pt idx="138">
                  <v>1.05</v>
                </pt>
                <pt idx="139">
                  <v>1.05</v>
                </pt>
                <pt idx="140">
                  <v>1.05</v>
                </pt>
                <pt idx="141">
                  <v>1.05</v>
                </pt>
                <pt idx="142">
                  <v>1.05</v>
                </pt>
                <pt idx="143">
                  <v>1.05</v>
                </pt>
                <pt idx="144">
                  <v>1.05</v>
                </pt>
                <pt idx="145">
                  <v>1.05</v>
                </pt>
                <pt idx="146">
                  <v>1.05</v>
                </pt>
                <pt idx="147">
                  <v>1.05</v>
                </pt>
                <pt idx="148">
                  <v>1.05</v>
                </pt>
                <pt idx="149">
                  <v>1.05</v>
                </pt>
                <pt idx="150">
                  <v>1.05</v>
                </pt>
                <pt idx="151">
                  <v>1.05</v>
                </pt>
                <pt idx="152">
                  <v>1.05</v>
                </pt>
                <pt idx="153">
                  <v>1.05</v>
                </pt>
                <pt idx="154">
                  <v>1.05</v>
                </pt>
                <pt idx="155">
                  <v>1.05</v>
                </pt>
                <pt idx="156">
                  <v>1.05</v>
                </pt>
                <pt idx="157">
                  <v>1.05</v>
                </pt>
                <pt idx="158">
                  <v>1.05</v>
                </pt>
                <pt idx="159">
                  <v>1.05</v>
                </pt>
                <pt idx="160">
                  <v>1.05</v>
                </pt>
                <pt idx="161">
                  <v>1.05</v>
                </pt>
                <pt idx="162">
                  <v>1.05</v>
                </pt>
                <pt idx="163">
                  <v>1.05</v>
                </pt>
                <pt idx="164">
                  <v>1.05</v>
                </pt>
                <pt idx="165">
                  <v>1.05</v>
                </pt>
                <pt idx="166">
                  <v>1.05</v>
                </pt>
                <pt idx="167">
                  <v>1.05</v>
                </pt>
                <pt idx="168">
                  <v>1.05</v>
                </pt>
                <pt idx="169">
                  <v>1.05</v>
                </pt>
                <pt idx="170">
                  <v>1.05</v>
                </pt>
                <pt idx="171">
                  <v>1.05</v>
                </pt>
                <pt idx="172">
                  <v>1.05</v>
                </pt>
                <pt idx="173">
                  <v>1.05</v>
                </pt>
                <pt idx="174">
                  <v>1.05</v>
                </pt>
                <pt idx="175">
                  <v>1.05</v>
                </pt>
                <pt idx="176">
                  <v>1.05</v>
                </pt>
                <pt idx="177">
                  <v>1.05</v>
                </pt>
                <pt idx="178">
                  <v>1.05</v>
                </pt>
                <pt idx="179">
                  <v>1.05</v>
                </pt>
                <pt idx="180">
                  <v>1.05</v>
                </pt>
                <pt idx="181">
                  <v>1.05</v>
                </pt>
                <pt idx="182">
                  <v>1.05</v>
                </pt>
                <pt idx="183">
                  <v>1.05</v>
                </pt>
                <pt idx="184">
                  <v>1.05</v>
                </pt>
                <pt idx="185">
                  <v>1.05</v>
                </pt>
                <pt idx="186">
                  <v>1.05</v>
                </pt>
                <pt idx="187">
                  <v>1.05</v>
                </pt>
                <pt idx="188">
                  <v>1.05</v>
                </pt>
                <pt idx="189">
                  <v>1.05</v>
                </pt>
                <pt idx="190">
                  <v>1.05</v>
                </pt>
                <pt idx="191">
                  <v>1.05</v>
                </pt>
                <pt idx="192">
                  <v>1.05</v>
                </pt>
                <pt idx="193">
                  <v>1.05</v>
                </pt>
                <pt idx="194">
                  <v>1.05</v>
                </pt>
                <pt idx="195">
                  <v>1.05</v>
                </pt>
                <pt idx="196">
                  <v>1.05</v>
                </pt>
                <pt idx="197">
                  <v>1.05</v>
                </pt>
                <pt idx="198">
                  <v>1.05</v>
                </pt>
                <pt idx="199">
                  <v>1.05</v>
                </pt>
                <pt idx="200">
                  <v>1.05</v>
                </pt>
                <pt idx="201">
                  <v>1.05</v>
                </pt>
                <pt idx="202">
                  <v>1.05</v>
                </pt>
                <pt idx="203">
                  <v>1.05</v>
                </pt>
                <pt idx="204">
                  <v>1.05</v>
                </pt>
                <pt idx="205">
                  <v>1.05</v>
                </pt>
                <pt idx="206">
                  <v>1.05</v>
                </pt>
                <pt idx="207">
                  <v>1.05</v>
                </pt>
                <pt idx="208">
                  <v>1.05</v>
                </pt>
                <pt idx="209">
                  <v>1.05</v>
                </pt>
                <pt idx="210">
                  <v>1.05</v>
                </pt>
                <pt idx="211">
                  <v>1.05</v>
                </pt>
                <pt idx="212">
                  <v>1.05</v>
                </pt>
                <pt idx="213">
                  <v>1.05</v>
                </pt>
                <pt idx="214">
                  <v>1.05</v>
                </pt>
                <pt idx="215">
                  <v>1.05</v>
                </pt>
                <pt idx="216">
                  <v>1.05</v>
                </pt>
                <pt idx="217">
                  <v>1.05</v>
                </pt>
                <pt idx="218">
                  <v>1.05</v>
                </pt>
                <pt idx="219">
                  <v>1.05</v>
                </pt>
                <pt idx="220">
                  <v>1.05</v>
                </pt>
                <pt idx="221">
                  <v>1.05</v>
                </pt>
                <pt idx="222">
                  <v>1.05</v>
                </pt>
                <pt idx="223">
                  <v>1.05</v>
                </pt>
                <pt idx="224">
                  <v>1.05</v>
                </pt>
                <pt idx="225">
                  <v>1.05</v>
                </pt>
                <pt idx="226">
                  <v>1.05</v>
                </pt>
                <pt idx="227">
                  <v>1.05</v>
                </pt>
                <pt idx="228">
                  <v>1.05</v>
                </pt>
                <pt idx="229">
                  <v>1.05</v>
                </pt>
                <pt idx="230">
                  <v>1.05</v>
                </pt>
                <pt idx="231">
                  <v>1.05</v>
                </pt>
                <pt idx="232">
                  <v>1.05</v>
                </pt>
                <pt idx="233">
                  <v>1.05</v>
                </pt>
                <pt idx="234">
                  <v>1.05</v>
                </pt>
                <pt idx="235">
                  <v>1.05</v>
                </pt>
                <pt idx="236">
                  <v>1.05</v>
                </pt>
                <pt idx="237">
                  <v>1.05</v>
                </pt>
                <pt idx="238">
                  <v>1.05</v>
                </pt>
                <pt idx="239">
                  <v>1.05</v>
                </pt>
                <pt idx="240">
                  <v>1.05</v>
                </pt>
                <pt idx="241">
                  <v>1.05</v>
                </pt>
                <pt idx="242">
                  <v>1.05</v>
                </pt>
                <pt idx="243">
                  <v>1.05</v>
                </pt>
                <pt idx="244">
                  <v>1.05</v>
                </pt>
                <pt idx="245">
                  <v>1.05</v>
                </pt>
                <pt idx="246">
                  <v>1.05</v>
                </pt>
                <pt idx="247">
                  <v>1.05</v>
                </pt>
                <pt idx="248">
                  <v>1.05</v>
                </pt>
                <pt idx="249">
                  <v>1.05</v>
                </pt>
                <pt idx="250">
                  <v>1.05</v>
                </pt>
                <pt idx="251">
                  <v>1.05</v>
                </pt>
                <pt idx="252">
                  <v>1.05</v>
                </pt>
                <pt idx="253">
                  <v>1.05</v>
                </pt>
                <pt idx="254">
                  <v>1.05</v>
                </pt>
                <pt idx="255">
                  <v>1.05</v>
                </pt>
                <pt idx="256">
                  <v>1.05</v>
                </pt>
                <pt idx="257">
                  <v>1.05</v>
                </pt>
                <pt idx="258">
                  <v>1.05</v>
                </pt>
                <pt idx="259">
                  <v>1.05</v>
                </pt>
                <pt idx="260">
                  <v>1.05</v>
                </pt>
                <pt idx="261">
                  <v>1.05</v>
                </pt>
                <pt idx="262">
                  <v>1.05</v>
                </pt>
                <pt idx="263">
                  <v>1.05</v>
                </pt>
                <pt idx="264">
                  <v>1.05</v>
                </pt>
                <pt idx="265">
                  <v>1.05</v>
                </pt>
                <pt idx="266">
                  <v>1.05</v>
                </pt>
                <pt idx="267">
                  <v>1.05</v>
                </pt>
                <pt idx="268">
                  <v>1.05</v>
                </pt>
                <pt idx="269">
                  <v>1.05</v>
                </pt>
                <pt idx="270">
                  <v>1.05</v>
                </pt>
                <pt idx="271">
                  <v>1.05</v>
                </pt>
                <pt idx="272">
                  <v>1.05</v>
                </pt>
                <pt idx="273">
                  <v>1.05</v>
                </pt>
                <pt idx="274">
                  <v>1.05</v>
                </pt>
                <pt idx="275">
                  <v>1.05</v>
                </pt>
                <pt idx="276">
                  <v>1.05</v>
                </pt>
                <pt idx="277">
                  <v>1.05</v>
                </pt>
                <pt idx="278">
                  <v>1.05</v>
                </pt>
                <pt idx="279">
                  <v>1.05</v>
                </pt>
                <pt idx="280">
                  <v>1.05</v>
                </pt>
                <pt idx="281">
                  <v>1.05</v>
                </pt>
                <pt idx="282">
                  <v>1.05</v>
                </pt>
                <pt idx="283">
                  <v>1.05</v>
                </pt>
                <pt idx="284">
                  <v>1.05</v>
                </pt>
                <pt idx="285">
                  <v>1.05</v>
                </pt>
                <pt idx="286">
                  <v>1.05</v>
                </pt>
                <pt idx="287">
                  <v>1.05</v>
                </pt>
                <pt idx="288">
                  <v>1.05</v>
                </pt>
                <pt idx="289">
                  <v>1.05</v>
                </pt>
                <pt idx="290">
                  <v>1.05</v>
                </pt>
                <pt idx="291">
                  <v>1.05</v>
                </pt>
                <pt idx="292">
                  <v>1.05</v>
                </pt>
                <pt idx="293">
                  <v>1.05</v>
                </pt>
                <pt idx="294">
                  <v>1.05</v>
                </pt>
                <pt idx="295">
                  <v>1.05</v>
                </pt>
                <pt idx="296">
                  <v>1.05</v>
                </pt>
                <pt idx="297">
                  <v>1.05</v>
                </pt>
                <pt idx="298">
                  <v>1.05</v>
                </pt>
                <pt idx="299">
                  <v>1.05</v>
                </pt>
                <pt idx="300">
                  <v>1.05</v>
                </pt>
                <pt idx="301">
                  <v>1.05</v>
                </pt>
                <pt idx="302">
                  <v>1.05</v>
                </pt>
                <pt idx="303">
                  <v>1.05</v>
                </pt>
                <pt idx="304">
                  <v>1.05</v>
                </pt>
                <pt idx="305">
                  <v>1.05</v>
                </pt>
                <pt idx="306">
                  <v>1.05</v>
                </pt>
                <pt idx="307">
                  <v>1.05</v>
                </pt>
                <pt idx="308">
                  <v>1.05</v>
                </pt>
                <pt idx="309">
                  <v>1.05</v>
                </pt>
                <pt idx="310">
                  <v>1.05</v>
                </pt>
                <pt idx="311">
                  <v>1.05</v>
                </pt>
                <pt idx="312">
                  <v>1.05</v>
                </pt>
                <pt idx="313">
                  <v>1.05</v>
                </pt>
                <pt idx="314">
                  <v>1.05</v>
                </pt>
                <pt idx="315">
                  <v>1.05</v>
                </pt>
                <pt idx="316">
                  <v>1.05</v>
                </pt>
                <pt idx="317">
                  <v>1.05</v>
                </pt>
                <pt idx="318">
                  <v>1.05</v>
                </pt>
                <pt idx="319">
                  <v>1.05</v>
                </pt>
                <pt idx="320">
                  <v>1.05</v>
                </pt>
                <pt idx="321">
                  <v>1.05</v>
                </pt>
                <pt idx="322">
                  <v>1.05</v>
                </pt>
                <pt idx="323">
                  <v>1.05</v>
                </pt>
                <pt idx="324">
                  <v>1.05</v>
                </pt>
                <pt idx="325">
                  <v>1.05</v>
                </pt>
                <pt idx="326">
                  <v>1.05</v>
                </pt>
                <pt idx="327">
                  <v>1.05</v>
                </pt>
                <pt idx="328">
                  <v>1.05</v>
                </pt>
                <pt idx="329">
                  <v>1.05</v>
                </pt>
                <pt idx="330">
                  <v>1.05</v>
                </pt>
                <pt idx="331">
                  <v>1.05</v>
                </pt>
                <pt idx="332">
                  <v>1.05</v>
                </pt>
                <pt idx="333">
                  <v>1.05</v>
                </pt>
                <pt idx="334">
                  <v>1.05</v>
                </pt>
                <pt idx="335">
                  <v>1.05</v>
                </pt>
                <pt idx="336">
                  <v>1.05</v>
                </pt>
                <pt idx="337">
                  <v>1.05</v>
                </pt>
                <pt idx="338">
                  <v>1.05</v>
                </pt>
                <pt idx="339">
                  <v>1.05</v>
                </pt>
                <pt idx="340">
                  <v>1.05</v>
                </pt>
                <pt idx="341">
                  <v>1.05</v>
                </pt>
                <pt idx="342">
                  <v>1.05</v>
                </pt>
                <pt idx="343">
                  <v>1.05</v>
                </pt>
                <pt idx="344">
                  <v>1.05</v>
                </pt>
                <pt idx="345">
                  <v>1.05</v>
                </pt>
                <pt idx="346">
                  <v>1.05</v>
                </pt>
                <pt idx="347">
                  <v>1.05</v>
                </pt>
                <pt idx="348">
                  <v>1.05</v>
                </pt>
                <pt idx="349">
                  <v>1.05</v>
                </pt>
                <pt idx="350">
                  <v>1.05</v>
                </pt>
                <pt idx="351">
                  <v>1.05</v>
                </pt>
                <pt idx="352">
                  <v>1.05</v>
                </pt>
                <pt idx="353">
                  <v>1.05</v>
                </pt>
                <pt idx="354">
                  <v>1.05</v>
                </pt>
                <pt idx="355">
                  <v>1.05</v>
                </pt>
                <pt idx="356">
                  <v>1.05</v>
                </pt>
                <pt idx="357">
                  <v>1.05</v>
                </pt>
                <pt idx="358">
                  <v>1.05</v>
                </pt>
                <pt idx="359">
                  <v>1.05</v>
                </pt>
                <pt idx="360">
                  <v>1.05</v>
                </pt>
                <pt idx="361">
                  <v>1.05</v>
                </pt>
                <pt idx="362">
                  <v>1.05</v>
                </pt>
                <pt idx="363">
                  <v>1.05</v>
                </pt>
                <pt idx="364">
                  <v>1.05</v>
                </pt>
                <pt idx="365">
                  <v>1.05</v>
                </pt>
                <pt idx="366">
                  <v>1.05</v>
                </pt>
                <pt idx="367">
                  <v>1.05</v>
                </pt>
                <pt idx="368">
                  <v>1.05</v>
                </pt>
                <pt idx="369">
                  <v>1.05</v>
                </pt>
                <pt idx="370">
                  <v>1.05</v>
                </pt>
                <pt idx="371">
                  <v>1.05</v>
                </pt>
                <pt idx="372">
                  <v>1.05</v>
                </pt>
                <pt idx="373">
                  <v>1.05</v>
                </pt>
                <pt idx="374">
                  <v>1.05</v>
                </pt>
                <pt idx="375">
                  <v>1.05</v>
                </pt>
                <pt idx="376">
                  <v>1.05</v>
                </pt>
                <pt idx="377">
                  <v>1.05</v>
                </pt>
                <pt idx="378">
                  <v>1.05</v>
                </pt>
                <pt idx="379">
                  <v>1.05</v>
                </pt>
                <pt idx="380">
                  <v>1.05</v>
                </pt>
                <pt idx="381">
                  <v>1.05</v>
                </pt>
                <pt idx="382">
                  <v>1.05</v>
                </pt>
                <pt idx="383">
                  <v>1.05</v>
                </pt>
                <pt idx="384">
                  <v>1.05</v>
                </pt>
                <pt idx="385">
                  <v>1.05</v>
                </pt>
                <pt idx="386">
                  <v>1.05</v>
                </pt>
                <pt idx="387">
                  <v>1.05</v>
                </pt>
                <pt idx="388">
                  <v>1.05</v>
                </pt>
                <pt idx="389">
                  <v>1.05</v>
                </pt>
                <pt idx="390">
                  <v>1.05</v>
                </pt>
                <pt idx="391">
                  <v>1.05</v>
                </pt>
                <pt idx="392">
                  <v>1.05</v>
                </pt>
                <pt idx="393">
                  <v>1.05</v>
                </pt>
                <pt idx="394">
                  <v>1.05</v>
                </pt>
                <pt idx="395">
                  <v>1.05</v>
                </pt>
                <pt idx="396">
                  <v>1.05</v>
                </pt>
                <pt idx="397">
                  <v>1.05</v>
                </pt>
                <pt idx="398">
                  <v>1.05</v>
                </pt>
                <pt idx="399">
                  <v>1.05</v>
                </pt>
                <pt idx="400">
                  <v>1.05</v>
                </pt>
                <pt idx="401">
                  <v>1.05</v>
                </pt>
                <pt idx="402">
                  <v>1.05</v>
                </pt>
                <pt idx="403">
                  <v>1.05</v>
                </pt>
                <pt idx="404">
                  <v>1.05</v>
                </pt>
                <pt idx="405">
                  <v>1.05</v>
                </pt>
                <pt idx="406">
                  <v>1.05</v>
                </pt>
                <pt idx="407">
                  <v>1.05</v>
                </pt>
                <pt idx="408">
                  <v>1.05</v>
                </pt>
                <pt idx="409">
                  <v>1.05</v>
                </pt>
                <pt idx="410">
                  <v>1.05</v>
                </pt>
                <pt idx="411">
                  <v>1.05</v>
                </pt>
                <pt idx="412">
                  <v>1.05</v>
                </pt>
                <pt idx="413">
                  <v>1.05</v>
                </pt>
                <pt idx="414">
                  <v>1.05</v>
                </pt>
                <pt idx="415">
                  <v>1.05</v>
                </pt>
                <pt idx="416">
                  <v>1.05</v>
                </pt>
                <pt idx="417">
                  <v>1.05</v>
                </pt>
                <pt idx="418">
                  <v>1.05</v>
                </pt>
                <pt idx="419">
                  <v>1.05</v>
                </pt>
                <pt idx="420">
                  <v>1.05</v>
                </pt>
                <pt idx="421">
                  <v>1.05</v>
                </pt>
                <pt idx="422">
                  <v>1.05</v>
                </pt>
                <pt idx="423">
                  <v>1.05</v>
                </pt>
                <pt idx="424">
                  <v>1.05</v>
                </pt>
                <pt idx="425">
                  <v>1.05</v>
                </pt>
                <pt idx="426">
                  <v>1.05</v>
                </pt>
                <pt idx="427">
                  <v>1.05</v>
                </pt>
                <pt idx="428">
                  <v>1.05</v>
                </pt>
                <pt idx="429">
                  <v>1.05</v>
                </pt>
                <pt idx="430">
                  <v>1.05</v>
                </pt>
                <pt idx="431">
                  <v>1.05</v>
                </pt>
                <pt idx="432">
                  <v>1.05</v>
                </pt>
                <pt idx="433">
                  <v>1.05</v>
                </pt>
                <pt idx="434">
                  <v>1.05</v>
                </pt>
                <pt idx="435">
                  <v>1.05</v>
                </pt>
                <pt idx="436">
                  <v>1.05</v>
                </pt>
                <pt idx="437">
                  <v>1.05</v>
                </pt>
                <pt idx="438">
                  <v>1.05</v>
                </pt>
                <pt idx="439">
                  <v>1.05</v>
                </pt>
                <pt idx="440">
                  <v>1.05</v>
                </pt>
                <pt idx="441">
                  <v>1.05</v>
                </pt>
                <pt idx="442">
                  <v>1.05</v>
                </pt>
                <pt idx="443">
                  <v>1.05</v>
                </pt>
                <pt idx="444">
                  <v>1.05</v>
                </pt>
                <pt idx="445">
                  <v>1.05</v>
                </pt>
                <pt idx="446">
                  <v>1.05</v>
                </pt>
                <pt idx="447">
                  <v>1.05</v>
                </pt>
                <pt idx="448">
                  <v>1.05</v>
                </pt>
                <pt idx="449">
                  <v>1.05</v>
                </pt>
                <pt idx="450">
                  <v>1.05</v>
                </pt>
                <pt idx="451">
                  <v>1.05</v>
                </pt>
                <pt idx="452">
                  <v>1.05</v>
                </pt>
                <pt idx="453">
                  <v>1.05</v>
                </pt>
                <pt idx="454">
                  <v>1.05</v>
                </pt>
                <pt idx="455">
                  <v>1.05</v>
                </pt>
                <pt idx="456">
                  <v>1.05</v>
                </pt>
                <pt idx="457">
                  <v>1.05</v>
                </pt>
                <pt idx="458">
                  <v>1.05</v>
                </pt>
                <pt idx="459">
                  <v>1.05</v>
                </pt>
                <pt idx="460">
                  <v>1.05</v>
                </pt>
                <pt idx="461">
                  <v>1.05</v>
                </pt>
                <pt idx="462">
                  <v>1.05</v>
                </pt>
                <pt idx="463">
                  <v>1.05</v>
                </pt>
                <pt idx="464">
                  <v>1.05</v>
                </pt>
                <pt idx="465">
                  <v>1.05</v>
                </pt>
                <pt idx="466">
                  <v>1.05</v>
                </pt>
                <pt idx="467">
                  <v>1.05</v>
                </pt>
                <pt idx="468">
                  <v>1.05</v>
                </pt>
                <pt idx="469">
                  <v>1.05</v>
                </pt>
                <pt idx="470">
                  <v>1.05</v>
                </pt>
                <pt idx="471">
                  <v>1.05</v>
                </pt>
                <pt idx="472">
                  <v>1.05</v>
                </pt>
                <pt idx="473">
                  <v>1.05</v>
                </pt>
                <pt idx="474">
                  <v>1.05</v>
                </pt>
                <pt idx="475">
                  <v>1.05</v>
                </pt>
                <pt idx="476">
                  <v>1.05</v>
                </pt>
                <pt idx="477">
                  <v>1.05</v>
                </pt>
                <pt idx="478">
                  <v>1.05</v>
                </pt>
                <pt idx="479">
                  <v>1.05</v>
                </pt>
                <pt idx="480">
                  <v>1.05</v>
                </pt>
                <pt idx="481">
                  <v>1.05</v>
                </pt>
                <pt idx="482">
                  <v>1.05</v>
                </pt>
                <pt idx="483">
                  <v>1.05</v>
                </pt>
                <pt idx="484">
                  <v>1.05</v>
                </pt>
                <pt idx="485">
                  <v>1.05</v>
                </pt>
                <pt idx="486">
                  <v>1.05</v>
                </pt>
                <pt idx="487">
                  <v>1.05</v>
                </pt>
                <pt idx="488">
                  <v>1.05</v>
                </pt>
                <pt idx="489">
                  <v>1.05</v>
                </pt>
                <pt idx="490">
                  <v>1.05</v>
                </pt>
                <pt idx="491">
                  <v>1.05</v>
                </pt>
                <pt idx="492">
                  <v>1.05</v>
                </pt>
                <pt idx="493">
                  <v>1.05</v>
                </pt>
                <pt idx="494">
                  <v>1.05</v>
                </pt>
                <pt idx="495">
                  <v>1.05</v>
                </pt>
                <pt idx="496">
                  <v>1.05</v>
                </pt>
                <pt idx="497">
                  <v>1.05</v>
                </pt>
                <pt idx="498">
                  <v>1.05</v>
                </pt>
                <pt idx="499">
                  <v>1.05</v>
                </pt>
                <pt idx="500">
                  <v>1.05</v>
                </pt>
                <pt idx="501">
                  <v>1.05</v>
                </pt>
                <pt idx="502">
                  <v>1.05</v>
                </pt>
                <pt idx="503">
                  <v>1.05</v>
                </pt>
                <pt idx="504">
                  <v>1.05</v>
                </pt>
                <pt idx="505">
                  <v>1.05</v>
                </pt>
                <pt idx="506">
                  <v>1.05</v>
                </pt>
                <pt idx="507">
                  <v>1.05</v>
                </pt>
                <pt idx="508">
                  <v>1.05</v>
                </pt>
                <pt idx="509">
                  <v>1.05</v>
                </pt>
                <pt idx="510">
                  <v>1.05</v>
                </pt>
                <pt idx="511">
                  <v>1.05</v>
                </pt>
                <pt idx="512">
                  <v>1.05</v>
                </pt>
                <pt idx="513">
                  <v>1.05</v>
                </pt>
                <pt idx="514">
                  <v>1.05</v>
                </pt>
                <pt idx="515">
                  <v>1.05</v>
                </pt>
                <pt idx="516">
                  <v>1.05</v>
                </pt>
                <pt idx="517">
                  <v>1.05</v>
                </pt>
                <pt idx="518">
                  <v>1.05</v>
                </pt>
                <pt idx="519">
                  <v>1.05</v>
                </pt>
                <pt idx="520">
                  <v>1.05</v>
                </pt>
                <pt idx="521">
                  <v>1.05</v>
                </pt>
                <pt idx="522">
                  <v>1.05</v>
                </pt>
                <pt idx="523">
                  <v>1.05</v>
                </pt>
                <pt idx="524">
                  <v>1.05</v>
                </pt>
                <pt idx="525">
                  <v>1.05</v>
                </pt>
                <pt idx="526">
                  <v>1.05</v>
                </pt>
                <pt idx="527">
                  <v>1.05</v>
                </pt>
                <pt idx="528">
                  <v>1.05</v>
                </pt>
                <pt idx="529">
                  <v>1.05</v>
                </pt>
                <pt idx="530">
                  <v>1.05</v>
                </pt>
                <pt idx="531">
                  <v>1.05</v>
                </pt>
                <pt idx="532">
                  <v>1.05</v>
                </pt>
                <pt idx="533">
                  <v>1.05</v>
                </pt>
                <pt idx="534">
                  <v>1.05</v>
                </pt>
                <pt idx="535">
                  <v>1.05</v>
                </pt>
                <pt idx="536">
                  <v>1.05</v>
                </pt>
                <pt idx="537">
                  <v>1.05</v>
                </pt>
                <pt idx="538">
                  <v>1.05</v>
                </pt>
                <pt idx="539">
                  <v>1.05</v>
                </pt>
                <pt idx="540">
                  <v>1.05</v>
                </pt>
                <pt idx="541">
                  <v>1.05</v>
                </pt>
                <pt idx="542">
                  <v>1.05</v>
                </pt>
                <pt idx="543">
                  <v>1.05</v>
                </pt>
                <pt idx="544">
                  <v>1.05</v>
                </pt>
                <pt idx="545">
                  <v>1.05</v>
                </pt>
                <pt idx="546">
                  <v>1.05</v>
                </pt>
                <pt idx="547">
                  <v>1.05</v>
                </pt>
                <pt idx="548">
                  <v>1.05</v>
                </pt>
                <pt idx="549">
                  <v>1.05</v>
                </pt>
                <pt idx="550">
                  <v>1.05</v>
                </pt>
                <pt idx="551">
                  <v>1.05</v>
                </pt>
                <pt idx="552">
                  <v>1.05</v>
                </pt>
                <pt idx="553">
                  <v>1.05</v>
                </pt>
                <pt idx="554">
                  <v>1.05</v>
                </pt>
                <pt idx="555">
                  <v>1.05</v>
                </pt>
                <pt idx="556">
                  <v>1.05</v>
                </pt>
                <pt idx="557">
                  <v>1.05</v>
                </pt>
                <pt idx="558">
                  <v>1.05</v>
                </pt>
                <pt idx="559">
                  <v>1.05</v>
                </pt>
                <pt idx="560">
                  <v>1.05</v>
                </pt>
                <pt idx="561">
                  <v>1.05</v>
                </pt>
                <pt idx="562">
                  <v>1.05</v>
                </pt>
                <pt idx="563">
                  <v>1.05</v>
                </pt>
                <pt idx="564">
                  <v>1.05</v>
                </pt>
                <pt idx="565">
                  <v>1.05</v>
                </pt>
                <pt idx="566">
                  <v>1.05</v>
                </pt>
                <pt idx="567">
                  <v>1.05</v>
                </pt>
                <pt idx="568">
                  <v>1.05</v>
                </pt>
                <pt idx="569">
                  <v>1.05</v>
                </pt>
                <pt idx="570">
                  <v>1.05</v>
                </pt>
                <pt idx="571">
                  <v>1.05</v>
                </pt>
                <pt idx="572">
                  <v>1.05</v>
                </pt>
                <pt idx="573">
                  <v>1.05</v>
                </pt>
                <pt idx="574">
                  <v>1.05</v>
                </pt>
                <pt idx="575">
                  <v>1.05</v>
                </pt>
                <pt idx="576">
                  <v>1.05</v>
                </pt>
                <pt idx="577">
                  <v>1.05</v>
                </pt>
                <pt idx="578">
                  <v>1.05</v>
                </pt>
                <pt idx="579">
                  <v>1.05</v>
                </pt>
                <pt idx="580">
                  <v>1.05</v>
                </pt>
                <pt idx="581">
                  <v>1.05</v>
                </pt>
                <pt idx="582">
                  <v>1.05</v>
                </pt>
                <pt idx="583">
                  <v>1.05</v>
                </pt>
                <pt idx="584">
                  <v>1.05</v>
                </pt>
                <pt idx="585">
                  <v>1.05</v>
                </pt>
                <pt idx="586">
                  <v>1.05</v>
                </pt>
                <pt idx="587">
                  <v>1.05</v>
                </pt>
                <pt idx="588">
                  <v>1.05</v>
                </pt>
                <pt idx="589">
                  <v>1.05</v>
                </pt>
                <pt idx="590">
                  <v>1.05</v>
                </pt>
                <pt idx="591">
                  <v>1.05</v>
                </pt>
                <pt idx="592">
                  <v>1.05</v>
                </pt>
                <pt idx="593">
                  <v>1.05</v>
                </pt>
                <pt idx="594">
                  <v>1.05</v>
                </pt>
                <pt idx="595">
                  <v>1.05</v>
                </pt>
                <pt idx="596">
                  <v>1.05</v>
                </pt>
                <pt idx="597">
                  <v>1.05</v>
                </pt>
                <pt idx="598">
                  <v>1.05</v>
                </pt>
                <pt idx="599">
                  <v>1.05</v>
                </pt>
                <pt idx="600">
                  <v>1.05</v>
                </pt>
                <pt idx="601">
                  <v>1.05</v>
                </pt>
                <pt idx="602">
                  <v>1.05</v>
                </pt>
                <pt idx="603">
                  <v>1.05</v>
                </pt>
                <pt idx="604">
                  <v>1.05</v>
                </pt>
                <pt idx="605">
                  <v>1.05</v>
                </pt>
                <pt idx="606">
                  <v>1.05</v>
                </pt>
                <pt idx="607">
                  <v>1.05</v>
                </pt>
                <pt idx="608">
                  <v>1.05</v>
                </pt>
                <pt idx="609">
                  <v>1.05</v>
                </pt>
                <pt idx="610">
                  <v>1.05</v>
                </pt>
                <pt idx="611">
                  <v>1.05</v>
                </pt>
                <pt idx="612">
                  <v>1.05</v>
                </pt>
                <pt idx="613">
                  <v>1.05</v>
                </pt>
                <pt idx="614">
                  <v>1.05</v>
                </pt>
                <pt idx="615">
                  <v>1.05</v>
                </pt>
                <pt idx="616">
                  <v>1.05</v>
                </pt>
                <pt idx="617">
                  <v>1.05</v>
                </pt>
                <pt idx="618">
                  <v>1.05</v>
                </pt>
                <pt idx="619">
                  <v>1.05</v>
                </pt>
                <pt idx="620">
                  <v>1.05</v>
                </pt>
                <pt idx="621">
                  <v>1.05</v>
                </pt>
                <pt idx="622">
                  <v>1.05</v>
                </pt>
                <pt idx="623">
                  <v>1.05</v>
                </pt>
                <pt idx="624">
                  <v>1.05</v>
                </pt>
                <pt idx="625">
                  <v>1.05</v>
                </pt>
                <pt idx="626">
                  <v>1.05</v>
                </pt>
                <pt idx="627">
                  <v>1.05</v>
                </pt>
                <pt idx="628">
                  <v>1.05</v>
                </pt>
                <pt idx="629">
                  <v>1.05</v>
                </pt>
                <pt idx="630">
                  <v>1.05</v>
                </pt>
                <pt idx="631">
                  <v>1.05</v>
                </pt>
                <pt idx="632">
                  <v>1.05</v>
                </pt>
                <pt idx="633">
                  <v>1.05</v>
                </pt>
                <pt idx="634">
                  <v>1.05</v>
                </pt>
                <pt idx="635">
                  <v>1.05</v>
                </pt>
                <pt idx="636">
                  <v>1.05</v>
                </pt>
                <pt idx="637">
                  <v>1.05</v>
                </pt>
                <pt idx="638">
                  <v>1.05</v>
                </pt>
                <pt idx="639">
                  <v>1.05</v>
                </pt>
                <pt idx="640">
                  <v>1.05</v>
                </pt>
                <pt idx="641">
                  <v>1.05</v>
                </pt>
                <pt idx="642">
                  <v>1.05</v>
                </pt>
                <pt idx="643">
                  <v>1.05</v>
                </pt>
                <pt idx="644">
                  <v>1.05</v>
                </pt>
                <pt idx="645">
                  <v>1.05</v>
                </pt>
                <pt idx="646">
                  <v>1.05</v>
                </pt>
                <pt idx="647">
                  <v>1.05</v>
                </pt>
                <pt idx="648">
                  <v>1.05</v>
                </pt>
                <pt idx="649">
                  <v>1.05</v>
                </pt>
                <pt idx="650">
                  <v>1.05</v>
                </pt>
                <pt idx="651">
                  <v>1.05</v>
                </pt>
                <pt idx="652">
                  <v>1.05</v>
                </pt>
                <pt idx="653">
                  <v>1.05</v>
                </pt>
                <pt idx="654">
                  <v>1.05</v>
                </pt>
                <pt idx="655">
                  <v>1.05</v>
                </pt>
                <pt idx="656">
                  <v>1.05</v>
                </pt>
                <pt idx="657">
                  <v>1.05</v>
                </pt>
                <pt idx="658">
                  <v>1.05</v>
                </pt>
                <pt idx="659">
                  <v>1.05</v>
                </pt>
                <pt idx="660">
                  <v>1.05</v>
                </pt>
                <pt idx="661">
                  <v>1.05</v>
                </pt>
                <pt idx="662">
                  <v>1.05</v>
                </pt>
                <pt idx="663">
                  <v>1.05</v>
                </pt>
                <pt idx="664">
                  <v>1.05</v>
                </pt>
                <pt idx="665">
                  <v>1.05</v>
                </pt>
                <pt idx="666">
                  <v>1.05</v>
                </pt>
                <pt idx="667">
                  <v>1.05</v>
                </pt>
                <pt idx="668">
                  <v>1.05</v>
                </pt>
                <pt idx="669">
                  <v>1.05</v>
                </pt>
                <pt idx="670">
                  <v>1.05</v>
                </pt>
                <pt idx="671">
                  <v>1.05</v>
                </pt>
                <pt idx="672">
                  <v>1.05</v>
                </pt>
                <pt idx="673">
                  <v>1.05</v>
                </pt>
                <pt idx="674">
                  <v>1.05</v>
                </pt>
                <pt idx="675">
                  <v>1.05</v>
                </pt>
                <pt idx="676">
                  <v>1.05</v>
                </pt>
                <pt idx="677">
                  <v>1.05</v>
                </pt>
                <pt idx="678">
                  <v>1.05</v>
                </pt>
                <pt idx="679">
                  <v>1.05</v>
                </pt>
                <pt idx="680">
                  <v>1.05</v>
                </pt>
                <pt idx="681">
                  <v>1.05</v>
                </pt>
                <pt idx="682">
                  <v>1.05</v>
                </pt>
                <pt idx="683">
                  <v>1.05</v>
                </pt>
                <pt idx="684">
                  <v>1.05</v>
                </pt>
                <pt idx="685">
                  <v>1.05</v>
                </pt>
                <pt idx="686">
                  <v>1.05</v>
                </pt>
                <pt idx="687">
                  <v>1.05</v>
                </pt>
                <pt idx="688">
                  <v>1.05</v>
                </pt>
                <pt idx="689">
                  <v>1.05</v>
                </pt>
                <pt idx="690">
                  <v>1.05</v>
                </pt>
                <pt idx="691">
                  <v>1.05</v>
                </pt>
                <pt idx="692">
                  <v>1.05</v>
                </pt>
                <pt idx="693">
                  <v>1.05</v>
                </pt>
                <pt idx="694">
                  <v>1.05</v>
                </pt>
                <pt idx="695">
                  <v>1.05</v>
                </pt>
                <pt idx="696">
                  <v>1.05</v>
                </pt>
                <pt idx="697">
                  <v>1.05</v>
                </pt>
                <pt idx="698">
                  <v>1.05</v>
                </pt>
                <pt idx="699">
                  <v>1.05</v>
                </pt>
                <pt idx="700">
                  <v>1.05</v>
                </pt>
                <pt idx="701">
                  <v>1.05</v>
                </pt>
                <pt idx="702">
                  <v>1.05</v>
                </pt>
                <pt idx="703">
                  <v>1.05</v>
                </pt>
                <pt idx="704">
                  <v>1.05</v>
                </pt>
                <pt idx="705">
                  <v>1.05</v>
                </pt>
                <pt idx="706">
                  <v>1.05</v>
                </pt>
                <pt idx="707">
                  <v>1.05</v>
                </pt>
                <pt idx="708">
                  <v>1.05</v>
                </pt>
                <pt idx="709">
                  <v>1.05</v>
                </pt>
                <pt idx="710">
                  <v>1.05</v>
                </pt>
                <pt idx="711">
                  <v>1.05</v>
                </pt>
                <pt idx="712">
                  <v>1.05</v>
                </pt>
                <pt idx="713">
                  <v>1.05</v>
                </pt>
                <pt idx="714">
                  <v>1.05</v>
                </pt>
                <pt idx="715">
                  <v>1.05</v>
                </pt>
                <pt idx="716">
                  <v>1.05</v>
                </pt>
                <pt idx="717">
                  <v>1.05</v>
                </pt>
                <pt idx="718">
                  <v>1.05</v>
                </pt>
                <pt idx="719">
                  <v>1.05</v>
                </pt>
                <pt idx="720">
                  <v>1.05</v>
                </pt>
                <pt idx="721">
                  <v>1.05</v>
                </pt>
                <pt idx="722">
                  <v>1.05</v>
                </pt>
                <pt idx="723">
                  <v>1.05</v>
                </pt>
                <pt idx="724">
                  <v>1.05</v>
                </pt>
                <pt idx="725">
                  <v>1.05</v>
                </pt>
                <pt idx="726">
                  <v>1.05</v>
                </pt>
                <pt idx="727">
                  <v>1.05</v>
                </pt>
                <pt idx="728">
                  <v>1.05</v>
                </pt>
                <pt idx="729">
                  <v>1.05</v>
                </pt>
                <pt idx="730">
                  <v>1.05</v>
                </pt>
                <pt idx="731">
                  <v>1.05</v>
                </pt>
                <pt idx="732">
                  <v>1.05</v>
                </pt>
                <pt idx="733">
                  <v>1.05</v>
                </pt>
                <pt idx="734">
                  <v>1.05</v>
                </pt>
                <pt idx="735">
                  <v>1.05</v>
                </pt>
                <pt idx="736">
                  <v>1.05</v>
                </pt>
                <pt idx="737">
                  <v>1.05</v>
                </pt>
                <pt idx="738">
                  <v>1.05</v>
                </pt>
                <pt idx="739">
                  <v>1.05</v>
                </pt>
                <pt idx="740">
                  <v>1.05</v>
                </pt>
                <pt idx="741">
                  <v>1.05</v>
                </pt>
                <pt idx="742">
                  <v>1.05</v>
                </pt>
                <pt idx="743">
                  <v>1.05</v>
                </pt>
                <pt idx="744">
                  <v>1.05</v>
                </pt>
                <pt idx="745">
                  <v>1.05</v>
                </pt>
                <pt idx="746">
                  <v>1.05</v>
                </pt>
                <pt idx="747">
                  <v>1.05</v>
                </pt>
                <pt idx="748">
                  <v>1.05</v>
                </pt>
                <pt idx="749">
                  <v>1.05</v>
                </pt>
                <pt idx="750">
                  <v>1.05</v>
                </pt>
                <pt idx="751">
                  <v>1.05</v>
                </pt>
                <pt idx="752">
                  <v>1.05</v>
                </pt>
                <pt idx="753">
                  <v>1.05</v>
                </pt>
                <pt idx="754">
                  <v>1.05</v>
                </pt>
                <pt idx="755">
                  <v>1.05</v>
                </pt>
                <pt idx="756">
                  <v>1.05</v>
                </pt>
                <pt idx="757">
                  <v>1.05</v>
                </pt>
                <pt idx="758">
                  <v>1.05</v>
                </pt>
                <pt idx="759">
                  <v>1.05</v>
                </pt>
                <pt idx="760">
                  <v>1.05</v>
                </pt>
                <pt idx="761">
                  <v>1.05</v>
                </pt>
                <pt idx="762">
                  <v>1.05</v>
                </pt>
                <pt idx="763">
                  <v>1.05</v>
                </pt>
                <pt idx="764">
                  <v>1.05</v>
                </pt>
                <pt idx="765">
                  <v>1.05</v>
                </pt>
                <pt idx="766">
                  <v>1.05</v>
                </pt>
                <pt idx="767">
                  <v>1.05</v>
                </pt>
                <pt idx="768">
                  <v>1.05</v>
                </pt>
                <pt idx="769">
                  <v>1.05</v>
                </pt>
                <pt idx="770">
                  <v>1.05</v>
                </pt>
                <pt idx="771">
                  <v>1.05</v>
                </pt>
                <pt idx="772">
                  <v>1.05</v>
                </pt>
                <pt idx="773">
                  <v>1.05</v>
                </pt>
                <pt idx="774">
                  <v>1.05</v>
                </pt>
                <pt idx="775">
                  <v>1.05</v>
                </pt>
                <pt idx="776">
                  <v>1.05</v>
                </pt>
                <pt idx="777">
                  <v>1.05</v>
                </pt>
                <pt idx="778">
                  <v>1.05</v>
                </pt>
                <pt idx="779">
                  <v>1.05</v>
                </pt>
                <pt idx="780">
                  <v>1.05</v>
                </pt>
                <pt idx="781">
                  <v>1.05</v>
                </pt>
                <pt idx="782">
                  <v>1.05</v>
                </pt>
                <pt idx="783">
                  <v>1.05</v>
                </pt>
                <pt idx="784">
                  <v>1.05</v>
                </pt>
                <pt idx="785">
                  <v>1.05</v>
                </pt>
                <pt idx="786">
                  <v>1.05</v>
                </pt>
                <pt idx="787">
                  <v>1.05</v>
                </pt>
                <pt idx="788">
                  <v>1.05</v>
                </pt>
                <pt idx="789">
                  <v>1.05</v>
                </pt>
                <pt idx="790">
                  <v>1.05</v>
                </pt>
                <pt idx="791">
                  <v>1.05</v>
                </pt>
                <pt idx="792">
                  <v>1.05</v>
                </pt>
                <pt idx="793">
                  <v>1.05</v>
                </pt>
                <pt idx="794">
                  <v>1.05</v>
                </pt>
                <pt idx="795">
                  <v>1.05</v>
                </pt>
                <pt idx="796">
                  <v>1.05</v>
                </pt>
                <pt idx="797">
                  <v>1.05</v>
                </pt>
                <pt idx="798">
                  <v>1.05</v>
                </pt>
                <pt idx="799">
                  <v>1.05</v>
                </pt>
                <pt idx="800">
                  <v>1.05</v>
                </pt>
                <pt idx="801">
                  <v>1.05</v>
                </pt>
                <pt idx="802">
                  <v>1.05</v>
                </pt>
                <pt idx="803">
                  <v>1.05</v>
                </pt>
                <pt idx="804">
                  <v>1.05</v>
                </pt>
                <pt idx="805">
                  <v>1.05</v>
                </pt>
                <pt idx="806">
                  <v>1.05</v>
                </pt>
                <pt idx="807">
                  <v>1.05</v>
                </pt>
                <pt idx="808">
                  <v>1.05</v>
                </pt>
                <pt idx="809">
                  <v>1.05</v>
                </pt>
                <pt idx="810">
                  <v>1.05</v>
                </pt>
                <pt idx="811">
                  <v>1.05</v>
                </pt>
                <pt idx="812">
                  <v>1.05</v>
                </pt>
                <pt idx="813">
                  <v>1.05</v>
                </pt>
                <pt idx="814">
                  <v>1.05</v>
                </pt>
                <pt idx="815">
                  <v>1.05</v>
                </pt>
                <pt idx="816">
                  <v>1.05</v>
                </pt>
                <pt idx="817">
                  <v>1.05</v>
                </pt>
                <pt idx="818">
                  <v>1.05</v>
                </pt>
                <pt idx="819">
                  <v>1.05</v>
                </pt>
                <pt idx="820">
                  <v>1.05</v>
                </pt>
                <pt idx="821">
                  <v>1.05</v>
                </pt>
                <pt idx="822">
                  <v>1.05</v>
                </pt>
                <pt idx="823">
                  <v>1.05</v>
                </pt>
                <pt idx="824">
                  <v>1.05</v>
                </pt>
                <pt idx="825">
                  <v>1.05</v>
                </pt>
                <pt idx="826">
                  <v>1.05</v>
                </pt>
                <pt idx="827">
                  <v>1.05</v>
                </pt>
                <pt idx="828">
                  <v>1.05</v>
                </pt>
                <pt idx="829">
                  <v>1.05</v>
                </pt>
                <pt idx="830">
                  <v>1.05</v>
                </pt>
                <pt idx="831">
                  <v>1.05</v>
                </pt>
                <pt idx="832">
                  <v>1.05</v>
                </pt>
                <pt idx="833">
                  <v>1.05</v>
                </pt>
                <pt idx="834">
                  <v>1.05</v>
                </pt>
                <pt idx="835">
                  <v>1.05</v>
                </pt>
                <pt idx="836">
                  <v>1.05</v>
                </pt>
                <pt idx="837">
                  <v>1.05</v>
                </pt>
                <pt idx="838">
                  <v>1.05</v>
                </pt>
                <pt idx="839">
                  <v>1.05</v>
                </pt>
                <pt idx="840">
                  <v>1.05</v>
                </pt>
                <pt idx="841">
                  <v>1.05</v>
                </pt>
                <pt idx="842">
                  <v>1.05</v>
                </pt>
                <pt idx="843">
                  <v>1.05</v>
                </pt>
                <pt idx="844">
                  <v>1.05</v>
                </pt>
                <pt idx="845">
                  <v>1.05</v>
                </pt>
                <pt idx="846">
                  <v>1.05</v>
                </pt>
                <pt idx="847">
                  <v>1.05</v>
                </pt>
                <pt idx="848">
                  <v>1.05</v>
                </pt>
                <pt idx="849">
                  <v>1.05</v>
                </pt>
                <pt idx="850">
                  <v>1.05</v>
                </pt>
                <pt idx="851">
                  <v>1.05</v>
                </pt>
                <pt idx="852">
                  <v>1.05</v>
                </pt>
                <pt idx="853">
                  <v>1.05</v>
                </pt>
                <pt idx="854">
                  <v>1.05</v>
                </pt>
                <pt idx="855">
                  <v>1.05</v>
                </pt>
                <pt idx="856">
                  <v>1.05</v>
                </pt>
                <pt idx="857">
                  <v>1.05</v>
                </pt>
                <pt idx="858">
                  <v>1.05</v>
                </pt>
                <pt idx="859">
                  <v>1.05</v>
                </pt>
                <pt idx="860">
                  <v>1.05</v>
                </pt>
                <pt idx="861">
                  <v>1.05</v>
                </pt>
                <pt idx="862">
                  <v>1.05</v>
                </pt>
                <pt idx="863">
                  <v>1.05</v>
                </pt>
                <pt idx="864">
                  <v>1.05</v>
                </pt>
                <pt idx="865">
                  <v>1.05</v>
                </pt>
                <pt idx="866">
                  <v>1.05</v>
                </pt>
                <pt idx="867">
                  <v>1.05</v>
                </pt>
                <pt idx="868">
                  <v>1.05</v>
                </pt>
                <pt idx="869">
                  <v>1.05</v>
                </pt>
                <pt idx="870">
                  <v>1.05</v>
                </pt>
                <pt idx="871">
                  <v>1.05</v>
                </pt>
                <pt idx="872">
                  <v>1.05</v>
                </pt>
                <pt idx="873">
                  <v>1.05</v>
                </pt>
                <pt idx="874">
                  <v>1.05</v>
                </pt>
                <pt idx="875">
                  <v>1.05</v>
                </pt>
                <pt idx="876">
                  <v>1.05</v>
                </pt>
                <pt idx="877">
                  <v>1.05</v>
                </pt>
                <pt idx="878">
                  <v>1.05</v>
                </pt>
                <pt idx="879">
                  <v>1.05</v>
                </pt>
                <pt idx="880">
                  <v>1.05</v>
                </pt>
                <pt idx="881">
                  <v>1.05</v>
                </pt>
                <pt idx="882">
                  <v>1.05</v>
                </pt>
                <pt idx="883">
                  <v>1.05</v>
                </pt>
                <pt idx="884">
                  <v>1.05</v>
                </pt>
                <pt idx="885">
                  <v>1.05</v>
                </pt>
                <pt idx="886">
                  <v>1.05</v>
                </pt>
                <pt idx="887">
                  <v>1.05</v>
                </pt>
                <pt idx="888">
                  <v>1.05</v>
                </pt>
                <pt idx="889">
                  <v>1.05</v>
                </pt>
                <pt idx="890">
                  <v>1.05</v>
                </pt>
                <pt idx="891">
                  <v>1.05</v>
                </pt>
                <pt idx="892">
                  <v>1.05</v>
                </pt>
                <pt idx="893">
                  <v>1.05</v>
                </pt>
                <pt idx="894">
                  <v>1.05</v>
                </pt>
                <pt idx="895">
                  <v>1.05</v>
                </pt>
                <pt idx="896">
                  <v>1.05</v>
                </pt>
                <pt idx="897">
                  <v>1.05</v>
                </pt>
                <pt idx="898">
                  <v>1.05</v>
                </pt>
                <pt idx="899">
                  <v>1.05</v>
                </pt>
                <pt idx="900">
                  <v>1.05</v>
                </pt>
                <pt idx="901">
                  <v>1.05</v>
                </pt>
                <pt idx="902">
                  <v>1.05</v>
                </pt>
                <pt idx="903">
                  <v>1.05</v>
                </pt>
                <pt idx="904">
                  <v>1.05</v>
                </pt>
                <pt idx="905">
                  <v>1.05</v>
                </pt>
                <pt idx="906">
                  <v>1.05</v>
                </pt>
                <pt idx="907">
                  <v>1.05</v>
                </pt>
                <pt idx="908">
                  <v>1.05</v>
                </pt>
                <pt idx="909">
                  <v>1.05</v>
                </pt>
                <pt idx="910">
                  <v>1.05</v>
                </pt>
                <pt idx="911">
                  <v>1.05</v>
                </pt>
                <pt idx="912">
                  <v>1.05</v>
                </pt>
                <pt idx="913">
                  <v>1.05</v>
                </pt>
                <pt idx="914">
                  <v>1.05</v>
                </pt>
                <pt idx="915">
                  <v>1.05</v>
                </pt>
                <pt idx="916">
                  <v>1.05</v>
                </pt>
                <pt idx="917">
                  <v>1.05</v>
                </pt>
                <pt idx="918">
                  <v>1.05</v>
                </pt>
                <pt idx="919">
                  <v>1.05</v>
                </pt>
                <pt idx="920">
                  <v>1.05</v>
                </pt>
                <pt idx="921">
                  <v>1.05</v>
                </pt>
                <pt idx="922">
                  <v>1.05</v>
                </pt>
                <pt idx="923">
                  <v>1.05</v>
                </pt>
                <pt idx="924">
                  <v>1.05</v>
                </pt>
                <pt idx="925">
                  <v>1.05</v>
                </pt>
                <pt idx="926">
                  <v>1.05</v>
                </pt>
                <pt idx="927">
                  <v>1.05</v>
                </pt>
                <pt idx="928">
                  <v>1.05</v>
                </pt>
                <pt idx="929">
                  <v>1.05</v>
                </pt>
                <pt idx="930">
                  <v>1.05</v>
                </pt>
                <pt idx="931">
                  <v>1.05</v>
                </pt>
                <pt idx="932">
                  <v>1.05</v>
                </pt>
                <pt idx="933">
                  <v>1.05</v>
                </pt>
                <pt idx="934">
                  <v>1.05</v>
                </pt>
                <pt idx="935">
                  <v>1.05</v>
                </pt>
                <pt idx="936">
                  <v>1.05</v>
                </pt>
                <pt idx="937">
                  <v>1.05</v>
                </pt>
                <pt idx="938">
                  <v>1.05</v>
                </pt>
                <pt idx="939">
                  <v>1.05</v>
                </pt>
                <pt idx="940">
                  <v>1.05</v>
                </pt>
                <pt idx="941">
                  <v>1.05</v>
                </pt>
                <pt idx="942">
                  <v>1.05</v>
                </pt>
                <pt idx="943">
                  <v>1.05</v>
                </pt>
                <pt idx="944">
                  <v>1.05</v>
                </pt>
                <pt idx="945">
                  <v>1.05</v>
                </pt>
                <pt idx="946">
                  <v>1.05</v>
                </pt>
                <pt idx="947">
                  <v>1.05</v>
                </pt>
                <pt idx="948">
                  <v>1.05</v>
                </pt>
                <pt idx="949">
                  <v>1.05</v>
                </pt>
                <pt idx="950">
                  <v>1.05</v>
                </pt>
                <pt idx="951">
                  <v>1.05</v>
                </pt>
                <pt idx="952">
                  <v>1.05</v>
                </pt>
                <pt idx="953">
                  <v>1.05</v>
                </pt>
                <pt idx="954">
                  <v>1.05</v>
                </pt>
                <pt idx="955">
                  <v>1.05</v>
                </pt>
                <pt idx="956">
                  <v>1.05</v>
                </pt>
                <pt idx="957">
                  <v>1.05</v>
                </pt>
                <pt idx="958">
                  <v>1.05</v>
                </pt>
                <pt idx="959">
                  <v>1.05</v>
                </pt>
                <pt idx="960">
                  <v>1.05</v>
                </pt>
                <pt idx="961">
                  <v>1.05</v>
                </pt>
                <pt idx="962">
                  <v>1.05</v>
                </pt>
                <pt idx="963">
                  <v>1.05</v>
                </pt>
                <pt idx="964">
                  <v>1.05</v>
                </pt>
                <pt idx="965">
                  <v>1.05</v>
                </pt>
                <pt idx="966">
                  <v>1.05</v>
                </pt>
                <pt idx="967">
                  <v>1.05</v>
                </pt>
                <pt idx="968">
                  <v>1.05</v>
                </pt>
                <pt idx="969">
                  <v>1.05</v>
                </pt>
                <pt idx="970">
                  <v>1.05</v>
                </pt>
                <pt idx="971">
                  <v>1.05</v>
                </pt>
                <pt idx="972">
                  <v>1.05</v>
                </pt>
                <pt idx="973">
                  <v>1.05</v>
                </pt>
                <pt idx="974">
                  <v>1.05</v>
                </pt>
                <pt idx="975">
                  <v>1.05</v>
                </pt>
                <pt idx="976">
                  <v>1.05</v>
                </pt>
                <pt idx="977">
                  <v>1.05</v>
                </pt>
                <pt idx="978">
                  <v>1.05</v>
                </pt>
                <pt idx="979">
                  <v>1.05</v>
                </pt>
                <pt idx="980">
                  <v>1.05</v>
                </pt>
                <pt idx="981">
                  <v>1.05</v>
                </pt>
                <pt idx="982">
                  <v>1.05</v>
                </pt>
                <pt idx="983">
                  <v>1.05</v>
                </pt>
                <pt idx="984">
                  <v>1.05</v>
                </pt>
                <pt idx="985">
                  <v>1.05</v>
                </pt>
                <pt idx="986">
                  <v>1.05</v>
                </pt>
                <pt idx="987">
                  <v>1.05</v>
                </pt>
                <pt idx="988">
                  <v>1.05</v>
                </pt>
                <pt idx="989">
                  <v>1.05</v>
                </pt>
                <pt idx="990">
                  <v>1.05</v>
                </pt>
                <pt idx="991">
                  <v>1.05</v>
                </pt>
                <pt idx="992">
                  <v>1.05</v>
                </pt>
                <pt idx="993">
                  <v>1.05</v>
                </pt>
                <pt idx="994">
                  <v>1.05</v>
                </pt>
                <pt idx="995">
                  <v>1.05</v>
                </pt>
                <pt idx="996">
                  <v>1.05</v>
                </pt>
                <pt idx="997">
                  <v>1.05</v>
                </pt>
                <pt idx="998">
                  <v>1.05</v>
                </pt>
                <pt idx="999">
                  <v>1.05</v>
                </pt>
                <pt idx="1000">
                  <v>1.05</v>
                </pt>
              </numCache>
            </numRef>
          </val>
          <smooth val="0"/>
        </ser>
        <ser>
          <idx val="3"/>
          <order val="3"/>
          <tx>
            <strRef>
              <f>Лист4!$Y$1</f>
              <strCache>
                <ptCount val="1"/>
                <pt idx="0">
                  <v>Граница низ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Лист4!$Y$2:$Y$1002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0.95</v>
                </pt>
                <pt idx="41">
                  <v>0.95</v>
                </pt>
                <pt idx="42">
                  <v>0.95</v>
                </pt>
                <pt idx="43">
                  <v>0.95</v>
                </pt>
                <pt idx="44">
                  <v>0.95</v>
                </pt>
                <pt idx="45">
                  <v>0.95</v>
                </pt>
                <pt idx="46">
                  <v>0.95</v>
                </pt>
                <pt idx="47">
                  <v>0.95</v>
                </pt>
                <pt idx="48">
                  <v>0.95</v>
                </pt>
                <pt idx="49">
                  <v>0.95</v>
                </pt>
                <pt idx="50">
                  <v>0.95</v>
                </pt>
                <pt idx="51">
                  <v>0.95</v>
                </pt>
                <pt idx="52">
                  <v>0.95</v>
                </pt>
                <pt idx="53">
                  <v>0.95</v>
                </pt>
                <pt idx="54">
                  <v>0.95</v>
                </pt>
                <pt idx="55">
                  <v>0.95</v>
                </pt>
                <pt idx="56">
                  <v>0.95</v>
                </pt>
                <pt idx="57">
                  <v>0.95</v>
                </pt>
                <pt idx="58">
                  <v>0.95</v>
                </pt>
                <pt idx="59">
                  <v>0.95</v>
                </pt>
                <pt idx="60">
                  <v>0.95</v>
                </pt>
                <pt idx="61">
                  <v>0.95</v>
                </pt>
                <pt idx="62">
                  <v>0.95</v>
                </pt>
                <pt idx="63">
                  <v>0.95</v>
                </pt>
                <pt idx="64">
                  <v>0.95</v>
                </pt>
                <pt idx="65">
                  <v>0.95</v>
                </pt>
                <pt idx="66">
                  <v>0.95</v>
                </pt>
                <pt idx="67">
                  <v>0.95</v>
                </pt>
                <pt idx="68">
                  <v>0.95</v>
                </pt>
                <pt idx="69">
                  <v>0.95</v>
                </pt>
                <pt idx="70">
                  <v>0.95</v>
                </pt>
                <pt idx="71">
                  <v>0.95</v>
                </pt>
                <pt idx="72">
                  <v>0.95</v>
                </pt>
                <pt idx="73">
                  <v>0.95</v>
                </pt>
                <pt idx="74">
                  <v>0.95</v>
                </pt>
                <pt idx="75">
                  <v>0.95</v>
                </pt>
                <pt idx="76">
                  <v>0.95</v>
                </pt>
                <pt idx="77">
                  <v>0.95</v>
                </pt>
                <pt idx="78">
                  <v>0.95</v>
                </pt>
                <pt idx="79">
                  <v>0.95</v>
                </pt>
                <pt idx="80">
                  <v>0.95</v>
                </pt>
                <pt idx="81">
                  <v>0.95</v>
                </pt>
                <pt idx="82">
                  <v>0.95</v>
                </pt>
                <pt idx="83">
                  <v>0.95</v>
                </pt>
                <pt idx="84">
                  <v>0.95</v>
                </pt>
                <pt idx="85">
                  <v>0.95</v>
                </pt>
                <pt idx="86">
                  <v>0.95</v>
                </pt>
                <pt idx="87">
                  <v>0.95</v>
                </pt>
                <pt idx="88">
                  <v>0.95</v>
                </pt>
                <pt idx="89">
                  <v>0.95</v>
                </pt>
                <pt idx="90">
                  <v>0.95</v>
                </pt>
                <pt idx="91">
                  <v>0.95</v>
                </pt>
                <pt idx="92">
                  <v>0.95</v>
                </pt>
                <pt idx="93">
                  <v>0.95</v>
                </pt>
                <pt idx="94">
                  <v>0.95</v>
                </pt>
                <pt idx="95">
                  <v>0.95</v>
                </pt>
                <pt idx="96">
                  <v>0.95</v>
                </pt>
                <pt idx="97">
                  <v>0.95</v>
                </pt>
                <pt idx="98">
                  <v>0.95</v>
                </pt>
                <pt idx="99">
                  <v>0.95</v>
                </pt>
                <pt idx="100">
                  <v>0.95</v>
                </pt>
                <pt idx="101">
                  <v>0.95</v>
                </pt>
                <pt idx="102">
                  <v>0.95</v>
                </pt>
                <pt idx="103">
                  <v>0.95</v>
                </pt>
                <pt idx="104">
                  <v>0.95</v>
                </pt>
                <pt idx="105">
                  <v>0.95</v>
                </pt>
                <pt idx="106">
                  <v>0.95</v>
                </pt>
                <pt idx="107">
                  <v>0.95</v>
                </pt>
                <pt idx="108">
                  <v>0.95</v>
                </pt>
                <pt idx="109">
                  <v>0.95</v>
                </pt>
                <pt idx="110">
                  <v>0.95</v>
                </pt>
                <pt idx="111">
                  <v>0.95</v>
                </pt>
                <pt idx="112">
                  <v>0.95</v>
                </pt>
                <pt idx="113">
                  <v>0.95</v>
                </pt>
                <pt idx="114">
                  <v>0.95</v>
                </pt>
                <pt idx="115">
                  <v>0.95</v>
                </pt>
                <pt idx="116">
                  <v>0.95</v>
                </pt>
                <pt idx="117">
                  <v>0.95</v>
                </pt>
                <pt idx="118">
                  <v>0.95</v>
                </pt>
                <pt idx="119">
                  <v>0.95</v>
                </pt>
                <pt idx="120">
                  <v>0.95</v>
                </pt>
                <pt idx="121">
                  <v>0.95</v>
                </pt>
                <pt idx="122">
                  <v>0.95</v>
                </pt>
                <pt idx="123">
                  <v>0.95</v>
                </pt>
                <pt idx="124">
                  <v>0.95</v>
                </pt>
                <pt idx="125">
                  <v>0.95</v>
                </pt>
                <pt idx="126">
                  <v>0.95</v>
                </pt>
                <pt idx="127">
                  <v>0.95</v>
                </pt>
                <pt idx="128">
                  <v>0.95</v>
                </pt>
                <pt idx="129">
                  <v>0.95</v>
                </pt>
                <pt idx="130">
                  <v>0.95</v>
                </pt>
                <pt idx="131">
                  <v>0.95</v>
                </pt>
                <pt idx="132">
                  <v>0.95</v>
                </pt>
                <pt idx="133">
                  <v>0.95</v>
                </pt>
                <pt idx="134">
                  <v>0.95</v>
                </pt>
                <pt idx="135">
                  <v>0.95</v>
                </pt>
                <pt idx="136">
                  <v>0.95</v>
                </pt>
                <pt idx="137">
                  <v>0.95</v>
                </pt>
                <pt idx="138">
                  <v>0.95</v>
                </pt>
                <pt idx="139">
                  <v>0.95</v>
                </pt>
                <pt idx="140">
                  <v>0.95</v>
                </pt>
                <pt idx="141">
                  <v>0.95</v>
                </pt>
                <pt idx="142">
                  <v>0.95</v>
                </pt>
                <pt idx="143">
                  <v>0.95</v>
                </pt>
                <pt idx="144">
                  <v>0.95</v>
                </pt>
                <pt idx="145">
                  <v>0.95</v>
                </pt>
                <pt idx="146">
                  <v>0.95</v>
                </pt>
                <pt idx="147">
                  <v>0.95</v>
                </pt>
                <pt idx="148">
                  <v>0.95</v>
                </pt>
                <pt idx="149">
                  <v>0.95</v>
                </pt>
                <pt idx="150">
                  <v>0.95</v>
                </pt>
                <pt idx="151">
                  <v>0.95</v>
                </pt>
                <pt idx="152">
                  <v>0.95</v>
                </pt>
                <pt idx="153">
                  <v>0.95</v>
                </pt>
                <pt idx="154">
                  <v>0.95</v>
                </pt>
                <pt idx="155">
                  <v>0.95</v>
                </pt>
                <pt idx="156">
                  <v>0.95</v>
                </pt>
                <pt idx="157">
                  <v>0.95</v>
                </pt>
                <pt idx="158">
                  <v>0.95</v>
                </pt>
                <pt idx="159">
                  <v>0.95</v>
                </pt>
                <pt idx="160">
                  <v>0.95</v>
                </pt>
                <pt idx="161">
                  <v>0.95</v>
                </pt>
                <pt idx="162">
                  <v>0.95</v>
                </pt>
                <pt idx="163">
                  <v>0.95</v>
                </pt>
                <pt idx="164">
                  <v>0.95</v>
                </pt>
                <pt idx="165">
                  <v>0.95</v>
                </pt>
                <pt idx="166">
                  <v>0.95</v>
                </pt>
                <pt idx="167">
                  <v>0.95</v>
                </pt>
                <pt idx="168">
                  <v>0.95</v>
                </pt>
                <pt idx="169">
                  <v>0.95</v>
                </pt>
                <pt idx="170">
                  <v>0.95</v>
                </pt>
                <pt idx="171">
                  <v>0.95</v>
                </pt>
                <pt idx="172">
                  <v>0.95</v>
                </pt>
                <pt idx="173">
                  <v>0.95</v>
                </pt>
                <pt idx="174">
                  <v>0.95</v>
                </pt>
                <pt idx="175">
                  <v>0.95</v>
                </pt>
                <pt idx="176">
                  <v>0.95</v>
                </pt>
                <pt idx="177">
                  <v>0.95</v>
                </pt>
                <pt idx="178">
                  <v>0.95</v>
                </pt>
                <pt idx="179">
                  <v>0.95</v>
                </pt>
                <pt idx="180">
                  <v>0.95</v>
                </pt>
                <pt idx="181">
                  <v>0.95</v>
                </pt>
                <pt idx="182">
                  <v>0.95</v>
                </pt>
                <pt idx="183">
                  <v>0.95</v>
                </pt>
                <pt idx="184">
                  <v>0.95</v>
                </pt>
                <pt idx="185">
                  <v>0.95</v>
                </pt>
                <pt idx="186">
                  <v>0.95</v>
                </pt>
                <pt idx="187">
                  <v>0.95</v>
                </pt>
                <pt idx="188">
                  <v>0.95</v>
                </pt>
                <pt idx="189">
                  <v>0.95</v>
                </pt>
                <pt idx="190">
                  <v>0.95</v>
                </pt>
                <pt idx="191">
                  <v>0.95</v>
                </pt>
                <pt idx="192">
                  <v>0.95</v>
                </pt>
                <pt idx="193">
                  <v>0.95</v>
                </pt>
                <pt idx="194">
                  <v>0.95</v>
                </pt>
                <pt idx="195">
                  <v>0.95</v>
                </pt>
                <pt idx="196">
                  <v>0.95</v>
                </pt>
                <pt idx="197">
                  <v>0.95</v>
                </pt>
                <pt idx="198">
                  <v>0.95</v>
                </pt>
                <pt idx="199">
                  <v>0.95</v>
                </pt>
                <pt idx="200">
                  <v>0.95</v>
                </pt>
                <pt idx="201">
                  <v>0.95</v>
                </pt>
                <pt idx="202">
                  <v>0.95</v>
                </pt>
                <pt idx="203">
                  <v>0.95</v>
                </pt>
                <pt idx="204">
                  <v>0.95</v>
                </pt>
                <pt idx="205">
                  <v>0.95</v>
                </pt>
                <pt idx="206">
                  <v>0.95</v>
                </pt>
                <pt idx="207">
                  <v>0.95</v>
                </pt>
                <pt idx="208">
                  <v>0.95</v>
                </pt>
                <pt idx="209">
                  <v>0.95</v>
                </pt>
                <pt idx="210">
                  <v>0.95</v>
                </pt>
                <pt idx="211">
                  <v>0.95</v>
                </pt>
                <pt idx="212">
                  <v>0.95</v>
                </pt>
                <pt idx="213">
                  <v>0.95</v>
                </pt>
                <pt idx="214">
                  <v>0.95</v>
                </pt>
                <pt idx="215">
                  <v>0.95</v>
                </pt>
                <pt idx="216">
                  <v>0.95</v>
                </pt>
                <pt idx="217">
                  <v>0.95</v>
                </pt>
                <pt idx="218">
                  <v>0.95</v>
                </pt>
                <pt idx="219">
                  <v>0.95</v>
                </pt>
                <pt idx="220">
                  <v>0.95</v>
                </pt>
                <pt idx="221">
                  <v>0.95</v>
                </pt>
                <pt idx="222">
                  <v>0.95</v>
                </pt>
                <pt idx="223">
                  <v>0.95</v>
                </pt>
                <pt idx="224">
                  <v>0.95</v>
                </pt>
                <pt idx="225">
                  <v>0.95</v>
                </pt>
                <pt idx="226">
                  <v>0.95</v>
                </pt>
                <pt idx="227">
                  <v>0.95</v>
                </pt>
                <pt idx="228">
                  <v>0.95</v>
                </pt>
                <pt idx="229">
                  <v>0.95</v>
                </pt>
                <pt idx="230">
                  <v>0.95</v>
                </pt>
                <pt idx="231">
                  <v>0.95</v>
                </pt>
                <pt idx="232">
                  <v>0.95</v>
                </pt>
                <pt idx="233">
                  <v>0.95</v>
                </pt>
                <pt idx="234">
                  <v>0.95</v>
                </pt>
                <pt idx="235">
                  <v>0.95</v>
                </pt>
                <pt idx="236">
                  <v>0.95</v>
                </pt>
                <pt idx="237">
                  <v>0.95</v>
                </pt>
                <pt idx="238">
                  <v>0.95</v>
                </pt>
                <pt idx="239">
                  <v>0.95</v>
                </pt>
                <pt idx="240">
                  <v>0.95</v>
                </pt>
                <pt idx="241">
                  <v>0.95</v>
                </pt>
                <pt idx="242">
                  <v>0.95</v>
                </pt>
                <pt idx="243">
                  <v>0.95</v>
                </pt>
                <pt idx="244">
                  <v>0.95</v>
                </pt>
                <pt idx="245">
                  <v>0.95</v>
                </pt>
                <pt idx="246">
                  <v>0.95</v>
                </pt>
                <pt idx="247">
                  <v>0.95</v>
                </pt>
                <pt idx="248">
                  <v>0.95</v>
                </pt>
                <pt idx="249">
                  <v>0.95</v>
                </pt>
                <pt idx="250">
                  <v>0.95</v>
                </pt>
                <pt idx="251">
                  <v>0.95</v>
                </pt>
                <pt idx="252">
                  <v>0.95</v>
                </pt>
                <pt idx="253">
                  <v>0.95</v>
                </pt>
                <pt idx="254">
                  <v>0.95</v>
                </pt>
                <pt idx="255">
                  <v>0.95</v>
                </pt>
                <pt idx="256">
                  <v>0.95</v>
                </pt>
                <pt idx="257">
                  <v>0.95</v>
                </pt>
                <pt idx="258">
                  <v>0.95</v>
                </pt>
                <pt idx="259">
                  <v>0.95</v>
                </pt>
                <pt idx="260">
                  <v>0.95</v>
                </pt>
                <pt idx="261">
                  <v>0.95</v>
                </pt>
                <pt idx="262">
                  <v>0.95</v>
                </pt>
                <pt idx="263">
                  <v>0.95</v>
                </pt>
                <pt idx="264">
                  <v>0.95</v>
                </pt>
                <pt idx="265">
                  <v>0.95</v>
                </pt>
                <pt idx="266">
                  <v>0.95</v>
                </pt>
                <pt idx="267">
                  <v>0.95</v>
                </pt>
                <pt idx="268">
                  <v>0.95</v>
                </pt>
                <pt idx="269">
                  <v>0.95</v>
                </pt>
                <pt idx="270">
                  <v>0.95</v>
                </pt>
                <pt idx="271">
                  <v>0.95</v>
                </pt>
                <pt idx="272">
                  <v>0.95</v>
                </pt>
                <pt idx="273">
                  <v>0.95</v>
                </pt>
                <pt idx="274">
                  <v>0.95</v>
                </pt>
                <pt idx="275">
                  <v>0.95</v>
                </pt>
                <pt idx="276">
                  <v>0.95</v>
                </pt>
                <pt idx="277">
                  <v>0.95</v>
                </pt>
                <pt idx="278">
                  <v>0.95</v>
                </pt>
                <pt idx="279">
                  <v>0.95</v>
                </pt>
                <pt idx="280">
                  <v>0.95</v>
                </pt>
                <pt idx="281">
                  <v>0.95</v>
                </pt>
                <pt idx="282">
                  <v>0.95</v>
                </pt>
                <pt idx="283">
                  <v>0.95</v>
                </pt>
                <pt idx="284">
                  <v>0.95</v>
                </pt>
                <pt idx="285">
                  <v>0.95</v>
                </pt>
                <pt idx="286">
                  <v>0.95</v>
                </pt>
                <pt idx="287">
                  <v>0.95</v>
                </pt>
                <pt idx="288">
                  <v>0.95</v>
                </pt>
                <pt idx="289">
                  <v>0.95</v>
                </pt>
                <pt idx="290">
                  <v>0.95</v>
                </pt>
                <pt idx="291">
                  <v>0.95</v>
                </pt>
                <pt idx="292">
                  <v>0.95</v>
                </pt>
                <pt idx="293">
                  <v>0.95</v>
                </pt>
                <pt idx="294">
                  <v>0.95</v>
                </pt>
                <pt idx="295">
                  <v>0.95</v>
                </pt>
                <pt idx="296">
                  <v>0.95</v>
                </pt>
                <pt idx="297">
                  <v>0.95</v>
                </pt>
                <pt idx="298">
                  <v>0.95</v>
                </pt>
                <pt idx="299">
                  <v>0.95</v>
                </pt>
                <pt idx="300">
                  <v>0.95</v>
                </pt>
                <pt idx="301">
                  <v>0.95</v>
                </pt>
                <pt idx="302">
                  <v>0.95</v>
                </pt>
                <pt idx="303">
                  <v>0.95</v>
                </pt>
                <pt idx="304">
                  <v>0.95</v>
                </pt>
                <pt idx="305">
                  <v>0.95</v>
                </pt>
                <pt idx="306">
                  <v>0.95</v>
                </pt>
                <pt idx="307">
                  <v>0.95</v>
                </pt>
                <pt idx="308">
                  <v>0.95</v>
                </pt>
                <pt idx="309">
                  <v>0.95</v>
                </pt>
                <pt idx="310">
                  <v>0.95</v>
                </pt>
                <pt idx="311">
                  <v>0.95</v>
                </pt>
                <pt idx="312">
                  <v>0.95</v>
                </pt>
                <pt idx="313">
                  <v>0.95</v>
                </pt>
                <pt idx="314">
                  <v>0.95</v>
                </pt>
                <pt idx="315">
                  <v>0.95</v>
                </pt>
                <pt idx="316">
                  <v>0.95</v>
                </pt>
                <pt idx="317">
                  <v>0.95</v>
                </pt>
                <pt idx="318">
                  <v>0.95</v>
                </pt>
                <pt idx="319">
                  <v>0.95</v>
                </pt>
                <pt idx="320">
                  <v>0.95</v>
                </pt>
                <pt idx="321">
                  <v>0.95</v>
                </pt>
                <pt idx="322">
                  <v>0.95</v>
                </pt>
                <pt idx="323">
                  <v>0.95</v>
                </pt>
                <pt idx="324">
                  <v>0.95</v>
                </pt>
                <pt idx="325">
                  <v>0.95</v>
                </pt>
                <pt idx="326">
                  <v>0.95</v>
                </pt>
                <pt idx="327">
                  <v>0.95</v>
                </pt>
                <pt idx="328">
                  <v>0.95</v>
                </pt>
                <pt idx="329">
                  <v>0.95</v>
                </pt>
                <pt idx="330">
                  <v>0.95</v>
                </pt>
                <pt idx="331">
                  <v>0.95</v>
                </pt>
                <pt idx="332">
                  <v>0.95</v>
                </pt>
                <pt idx="333">
                  <v>0.95</v>
                </pt>
                <pt idx="334">
                  <v>0.95</v>
                </pt>
                <pt idx="335">
                  <v>0.95</v>
                </pt>
                <pt idx="336">
                  <v>0.95</v>
                </pt>
                <pt idx="337">
                  <v>0.95</v>
                </pt>
                <pt idx="338">
                  <v>0.95</v>
                </pt>
                <pt idx="339">
                  <v>0.95</v>
                </pt>
                <pt idx="340">
                  <v>0.95</v>
                </pt>
                <pt idx="341">
                  <v>0.95</v>
                </pt>
                <pt idx="342">
                  <v>0.95</v>
                </pt>
                <pt idx="343">
                  <v>0.95</v>
                </pt>
                <pt idx="344">
                  <v>0.95</v>
                </pt>
                <pt idx="345">
                  <v>0.95</v>
                </pt>
                <pt idx="346">
                  <v>0.95</v>
                </pt>
                <pt idx="347">
                  <v>0.95</v>
                </pt>
                <pt idx="348">
                  <v>0.95</v>
                </pt>
                <pt idx="349">
                  <v>0.95</v>
                </pt>
                <pt idx="350">
                  <v>0.95</v>
                </pt>
                <pt idx="351">
                  <v>0.95</v>
                </pt>
                <pt idx="352">
                  <v>0.95</v>
                </pt>
                <pt idx="353">
                  <v>0.95</v>
                </pt>
                <pt idx="354">
                  <v>0.95</v>
                </pt>
                <pt idx="355">
                  <v>0.95</v>
                </pt>
                <pt idx="356">
                  <v>0.95</v>
                </pt>
                <pt idx="357">
                  <v>0.95</v>
                </pt>
                <pt idx="358">
                  <v>0.95</v>
                </pt>
                <pt idx="359">
                  <v>0.95</v>
                </pt>
                <pt idx="360">
                  <v>0.95</v>
                </pt>
                <pt idx="361">
                  <v>0.95</v>
                </pt>
                <pt idx="362">
                  <v>0.95</v>
                </pt>
                <pt idx="363">
                  <v>0.95</v>
                </pt>
                <pt idx="364">
                  <v>0.95</v>
                </pt>
                <pt idx="365">
                  <v>0.95</v>
                </pt>
                <pt idx="366">
                  <v>0.95</v>
                </pt>
                <pt idx="367">
                  <v>0.95</v>
                </pt>
                <pt idx="368">
                  <v>0.95</v>
                </pt>
                <pt idx="369">
                  <v>0.95</v>
                </pt>
                <pt idx="370">
                  <v>0.95</v>
                </pt>
                <pt idx="371">
                  <v>0.95</v>
                </pt>
                <pt idx="372">
                  <v>0.95</v>
                </pt>
                <pt idx="373">
                  <v>0.95</v>
                </pt>
                <pt idx="374">
                  <v>0.95</v>
                </pt>
                <pt idx="375">
                  <v>0.95</v>
                </pt>
                <pt idx="376">
                  <v>0.95</v>
                </pt>
                <pt idx="377">
                  <v>0.95</v>
                </pt>
                <pt idx="378">
                  <v>0.95</v>
                </pt>
                <pt idx="379">
                  <v>0.95</v>
                </pt>
                <pt idx="380">
                  <v>0.95</v>
                </pt>
                <pt idx="381">
                  <v>0.95</v>
                </pt>
                <pt idx="382">
                  <v>0.95</v>
                </pt>
                <pt idx="383">
                  <v>0.95</v>
                </pt>
                <pt idx="384">
                  <v>0.95</v>
                </pt>
                <pt idx="385">
                  <v>0.95</v>
                </pt>
                <pt idx="386">
                  <v>0.95</v>
                </pt>
                <pt idx="387">
                  <v>0.95</v>
                </pt>
                <pt idx="388">
                  <v>0.95</v>
                </pt>
                <pt idx="389">
                  <v>0.95</v>
                </pt>
                <pt idx="390">
                  <v>0.95</v>
                </pt>
                <pt idx="391">
                  <v>0.95</v>
                </pt>
                <pt idx="392">
                  <v>0.95</v>
                </pt>
                <pt idx="393">
                  <v>0.95</v>
                </pt>
                <pt idx="394">
                  <v>0.95</v>
                </pt>
                <pt idx="395">
                  <v>0.95</v>
                </pt>
                <pt idx="396">
                  <v>0.95</v>
                </pt>
                <pt idx="397">
                  <v>0.95</v>
                </pt>
                <pt idx="398">
                  <v>0.95</v>
                </pt>
                <pt idx="399">
                  <v>0.95</v>
                </pt>
                <pt idx="400">
                  <v>0.95</v>
                </pt>
                <pt idx="401">
                  <v>0.95</v>
                </pt>
                <pt idx="402">
                  <v>0.95</v>
                </pt>
                <pt idx="403">
                  <v>0.95</v>
                </pt>
                <pt idx="404">
                  <v>0.95</v>
                </pt>
                <pt idx="405">
                  <v>0.95</v>
                </pt>
                <pt idx="406">
                  <v>0.95</v>
                </pt>
                <pt idx="407">
                  <v>0.95</v>
                </pt>
                <pt idx="408">
                  <v>0.95</v>
                </pt>
                <pt idx="409">
                  <v>0.95</v>
                </pt>
                <pt idx="410">
                  <v>0.95</v>
                </pt>
                <pt idx="411">
                  <v>0.95</v>
                </pt>
                <pt idx="412">
                  <v>0.95</v>
                </pt>
                <pt idx="413">
                  <v>0.95</v>
                </pt>
                <pt idx="414">
                  <v>0.95</v>
                </pt>
                <pt idx="415">
                  <v>0.95</v>
                </pt>
                <pt idx="416">
                  <v>0.95</v>
                </pt>
                <pt idx="417">
                  <v>0.95</v>
                </pt>
                <pt idx="418">
                  <v>0.95</v>
                </pt>
                <pt idx="419">
                  <v>0.95</v>
                </pt>
                <pt idx="420">
                  <v>0.95</v>
                </pt>
                <pt idx="421">
                  <v>0.95</v>
                </pt>
                <pt idx="422">
                  <v>0.95</v>
                </pt>
                <pt idx="423">
                  <v>0.95</v>
                </pt>
                <pt idx="424">
                  <v>0.95</v>
                </pt>
                <pt idx="425">
                  <v>0.95</v>
                </pt>
                <pt idx="426">
                  <v>0.95</v>
                </pt>
                <pt idx="427">
                  <v>0.95</v>
                </pt>
                <pt idx="428">
                  <v>0.95</v>
                </pt>
                <pt idx="429">
                  <v>0.95</v>
                </pt>
                <pt idx="430">
                  <v>0.95</v>
                </pt>
                <pt idx="431">
                  <v>0.95</v>
                </pt>
                <pt idx="432">
                  <v>0.95</v>
                </pt>
                <pt idx="433">
                  <v>0.95</v>
                </pt>
                <pt idx="434">
                  <v>0.95</v>
                </pt>
                <pt idx="435">
                  <v>0.95</v>
                </pt>
                <pt idx="436">
                  <v>0.95</v>
                </pt>
                <pt idx="437">
                  <v>0.95</v>
                </pt>
                <pt idx="438">
                  <v>0.95</v>
                </pt>
                <pt idx="439">
                  <v>0.95</v>
                </pt>
                <pt idx="440">
                  <v>0.95</v>
                </pt>
                <pt idx="441">
                  <v>0.95</v>
                </pt>
                <pt idx="442">
                  <v>0.95</v>
                </pt>
                <pt idx="443">
                  <v>0.95</v>
                </pt>
                <pt idx="444">
                  <v>0.95</v>
                </pt>
                <pt idx="445">
                  <v>0.95</v>
                </pt>
                <pt idx="446">
                  <v>0.95</v>
                </pt>
                <pt idx="447">
                  <v>0.95</v>
                </pt>
                <pt idx="448">
                  <v>0.95</v>
                </pt>
                <pt idx="449">
                  <v>0.95</v>
                </pt>
                <pt idx="450">
                  <v>0.95</v>
                </pt>
                <pt idx="451">
                  <v>0.95</v>
                </pt>
                <pt idx="452">
                  <v>0.95</v>
                </pt>
                <pt idx="453">
                  <v>0.95</v>
                </pt>
                <pt idx="454">
                  <v>0.95</v>
                </pt>
                <pt idx="455">
                  <v>0.95</v>
                </pt>
                <pt idx="456">
                  <v>0.95</v>
                </pt>
                <pt idx="457">
                  <v>0.95</v>
                </pt>
                <pt idx="458">
                  <v>0.95</v>
                </pt>
                <pt idx="459">
                  <v>0.95</v>
                </pt>
                <pt idx="460">
                  <v>0.95</v>
                </pt>
                <pt idx="461">
                  <v>0.95</v>
                </pt>
                <pt idx="462">
                  <v>0.95</v>
                </pt>
                <pt idx="463">
                  <v>0.95</v>
                </pt>
                <pt idx="464">
                  <v>0.95</v>
                </pt>
                <pt idx="465">
                  <v>0.95</v>
                </pt>
                <pt idx="466">
                  <v>0.95</v>
                </pt>
                <pt idx="467">
                  <v>0.95</v>
                </pt>
                <pt idx="468">
                  <v>0.95</v>
                </pt>
                <pt idx="469">
                  <v>0.95</v>
                </pt>
                <pt idx="470">
                  <v>0.95</v>
                </pt>
                <pt idx="471">
                  <v>0.95</v>
                </pt>
                <pt idx="472">
                  <v>0.95</v>
                </pt>
                <pt idx="473">
                  <v>0.95</v>
                </pt>
                <pt idx="474">
                  <v>0.95</v>
                </pt>
                <pt idx="475">
                  <v>0.95</v>
                </pt>
                <pt idx="476">
                  <v>0.95</v>
                </pt>
                <pt idx="477">
                  <v>0.95</v>
                </pt>
                <pt idx="478">
                  <v>0.95</v>
                </pt>
                <pt idx="479">
                  <v>0.95</v>
                </pt>
                <pt idx="480">
                  <v>0.95</v>
                </pt>
                <pt idx="481">
                  <v>0.95</v>
                </pt>
                <pt idx="482">
                  <v>0.95</v>
                </pt>
                <pt idx="483">
                  <v>0.95</v>
                </pt>
                <pt idx="484">
                  <v>0.95</v>
                </pt>
                <pt idx="485">
                  <v>0.95</v>
                </pt>
                <pt idx="486">
                  <v>0.95</v>
                </pt>
                <pt idx="487">
                  <v>0.95</v>
                </pt>
                <pt idx="488">
                  <v>0.95</v>
                </pt>
                <pt idx="489">
                  <v>0.95</v>
                </pt>
                <pt idx="490">
                  <v>0.95</v>
                </pt>
                <pt idx="491">
                  <v>0.95</v>
                </pt>
                <pt idx="492">
                  <v>0.95</v>
                </pt>
                <pt idx="493">
                  <v>0.95</v>
                </pt>
                <pt idx="494">
                  <v>0.95</v>
                </pt>
                <pt idx="495">
                  <v>0.95</v>
                </pt>
                <pt idx="496">
                  <v>0.95</v>
                </pt>
                <pt idx="497">
                  <v>0.95</v>
                </pt>
                <pt idx="498">
                  <v>0.95</v>
                </pt>
                <pt idx="499">
                  <v>0.95</v>
                </pt>
                <pt idx="500">
                  <v>0.95</v>
                </pt>
                <pt idx="501">
                  <v>0.95</v>
                </pt>
                <pt idx="502">
                  <v>0.95</v>
                </pt>
                <pt idx="503">
                  <v>0.95</v>
                </pt>
                <pt idx="504">
                  <v>0.95</v>
                </pt>
                <pt idx="505">
                  <v>0.95</v>
                </pt>
                <pt idx="506">
                  <v>0.95</v>
                </pt>
                <pt idx="507">
                  <v>0.95</v>
                </pt>
                <pt idx="508">
                  <v>0.95</v>
                </pt>
                <pt idx="509">
                  <v>0.95</v>
                </pt>
                <pt idx="510">
                  <v>0.95</v>
                </pt>
                <pt idx="511">
                  <v>0.95</v>
                </pt>
                <pt idx="512">
                  <v>0.95</v>
                </pt>
                <pt idx="513">
                  <v>0.95</v>
                </pt>
                <pt idx="514">
                  <v>0.95</v>
                </pt>
                <pt idx="515">
                  <v>0.95</v>
                </pt>
                <pt idx="516">
                  <v>0.95</v>
                </pt>
                <pt idx="517">
                  <v>0.95</v>
                </pt>
                <pt idx="518">
                  <v>0.95</v>
                </pt>
                <pt idx="519">
                  <v>0.95</v>
                </pt>
                <pt idx="520">
                  <v>0.95</v>
                </pt>
                <pt idx="521">
                  <v>0.95</v>
                </pt>
                <pt idx="522">
                  <v>0.95</v>
                </pt>
                <pt idx="523">
                  <v>0.95</v>
                </pt>
                <pt idx="524">
                  <v>0.95</v>
                </pt>
                <pt idx="525">
                  <v>0.95</v>
                </pt>
                <pt idx="526">
                  <v>0.95</v>
                </pt>
                <pt idx="527">
                  <v>0.95</v>
                </pt>
                <pt idx="528">
                  <v>0.95</v>
                </pt>
                <pt idx="529">
                  <v>0.95</v>
                </pt>
                <pt idx="530">
                  <v>0.95</v>
                </pt>
                <pt idx="531">
                  <v>0.95</v>
                </pt>
                <pt idx="532">
                  <v>0.95</v>
                </pt>
                <pt idx="533">
                  <v>0.95</v>
                </pt>
                <pt idx="534">
                  <v>0.95</v>
                </pt>
                <pt idx="535">
                  <v>0.95</v>
                </pt>
                <pt idx="536">
                  <v>0.95</v>
                </pt>
                <pt idx="537">
                  <v>0.95</v>
                </pt>
                <pt idx="538">
                  <v>0.95</v>
                </pt>
                <pt idx="539">
                  <v>0.95</v>
                </pt>
                <pt idx="540">
                  <v>0.95</v>
                </pt>
                <pt idx="541">
                  <v>0.95</v>
                </pt>
                <pt idx="542">
                  <v>0.95</v>
                </pt>
                <pt idx="543">
                  <v>0.95</v>
                </pt>
                <pt idx="544">
                  <v>0.95</v>
                </pt>
                <pt idx="545">
                  <v>0.95</v>
                </pt>
                <pt idx="546">
                  <v>0.95</v>
                </pt>
                <pt idx="547">
                  <v>0.95</v>
                </pt>
                <pt idx="548">
                  <v>0.95</v>
                </pt>
                <pt idx="549">
                  <v>0.95</v>
                </pt>
                <pt idx="550">
                  <v>0.95</v>
                </pt>
                <pt idx="551">
                  <v>0.95</v>
                </pt>
                <pt idx="552">
                  <v>0.95</v>
                </pt>
                <pt idx="553">
                  <v>0.95</v>
                </pt>
                <pt idx="554">
                  <v>0.95</v>
                </pt>
                <pt idx="555">
                  <v>0.95</v>
                </pt>
                <pt idx="556">
                  <v>0.95</v>
                </pt>
                <pt idx="557">
                  <v>0.95</v>
                </pt>
                <pt idx="558">
                  <v>0.95</v>
                </pt>
                <pt idx="559">
                  <v>0.95</v>
                </pt>
                <pt idx="560">
                  <v>0.95</v>
                </pt>
                <pt idx="561">
                  <v>0.95</v>
                </pt>
                <pt idx="562">
                  <v>0.95</v>
                </pt>
                <pt idx="563">
                  <v>0.95</v>
                </pt>
                <pt idx="564">
                  <v>0.95</v>
                </pt>
                <pt idx="565">
                  <v>0.95</v>
                </pt>
                <pt idx="566">
                  <v>0.95</v>
                </pt>
                <pt idx="567">
                  <v>0.95</v>
                </pt>
                <pt idx="568">
                  <v>0.95</v>
                </pt>
                <pt idx="569">
                  <v>0.95</v>
                </pt>
                <pt idx="570">
                  <v>0.95</v>
                </pt>
                <pt idx="571">
                  <v>0.95</v>
                </pt>
                <pt idx="572">
                  <v>0.95</v>
                </pt>
                <pt idx="573">
                  <v>0.95</v>
                </pt>
                <pt idx="574">
                  <v>0.95</v>
                </pt>
                <pt idx="575">
                  <v>0.95</v>
                </pt>
                <pt idx="576">
                  <v>0.95</v>
                </pt>
                <pt idx="577">
                  <v>0.95</v>
                </pt>
                <pt idx="578">
                  <v>0.95</v>
                </pt>
                <pt idx="579">
                  <v>0.95</v>
                </pt>
                <pt idx="580">
                  <v>0.95</v>
                </pt>
                <pt idx="581">
                  <v>0.95</v>
                </pt>
                <pt idx="582">
                  <v>0.95</v>
                </pt>
                <pt idx="583">
                  <v>0.95</v>
                </pt>
                <pt idx="584">
                  <v>0.95</v>
                </pt>
                <pt idx="585">
                  <v>0.95</v>
                </pt>
                <pt idx="586">
                  <v>0.95</v>
                </pt>
                <pt idx="587">
                  <v>0.95</v>
                </pt>
                <pt idx="588">
                  <v>0.95</v>
                </pt>
                <pt idx="589">
                  <v>0.95</v>
                </pt>
                <pt idx="590">
                  <v>0.95</v>
                </pt>
                <pt idx="591">
                  <v>0.95</v>
                </pt>
                <pt idx="592">
                  <v>0.95</v>
                </pt>
                <pt idx="593">
                  <v>0.95</v>
                </pt>
                <pt idx="594">
                  <v>0.95</v>
                </pt>
                <pt idx="595">
                  <v>0.95</v>
                </pt>
                <pt idx="596">
                  <v>0.95</v>
                </pt>
                <pt idx="597">
                  <v>0.95</v>
                </pt>
                <pt idx="598">
                  <v>0.95</v>
                </pt>
                <pt idx="599">
                  <v>0.95</v>
                </pt>
                <pt idx="600">
                  <v>0.95</v>
                </pt>
                <pt idx="601">
                  <v>0.95</v>
                </pt>
                <pt idx="602">
                  <v>0.95</v>
                </pt>
                <pt idx="603">
                  <v>0.95</v>
                </pt>
                <pt idx="604">
                  <v>0.95</v>
                </pt>
                <pt idx="605">
                  <v>0.95</v>
                </pt>
                <pt idx="606">
                  <v>0.95</v>
                </pt>
                <pt idx="607">
                  <v>0.95</v>
                </pt>
                <pt idx="608">
                  <v>0.95</v>
                </pt>
                <pt idx="609">
                  <v>0.95</v>
                </pt>
                <pt idx="610">
                  <v>0.95</v>
                </pt>
                <pt idx="611">
                  <v>0.95</v>
                </pt>
                <pt idx="612">
                  <v>0.95</v>
                </pt>
                <pt idx="613">
                  <v>0.95</v>
                </pt>
                <pt idx="614">
                  <v>0.95</v>
                </pt>
                <pt idx="615">
                  <v>0.95</v>
                </pt>
                <pt idx="616">
                  <v>0.95</v>
                </pt>
                <pt idx="617">
                  <v>0.95</v>
                </pt>
                <pt idx="618">
                  <v>0.95</v>
                </pt>
                <pt idx="619">
                  <v>0.95</v>
                </pt>
                <pt idx="620">
                  <v>0.95</v>
                </pt>
                <pt idx="621">
                  <v>0.95</v>
                </pt>
                <pt idx="622">
                  <v>0.95</v>
                </pt>
                <pt idx="623">
                  <v>0.95</v>
                </pt>
                <pt idx="624">
                  <v>0.95</v>
                </pt>
                <pt idx="625">
                  <v>0.95</v>
                </pt>
                <pt idx="626">
                  <v>0.95</v>
                </pt>
                <pt idx="627">
                  <v>0.95</v>
                </pt>
                <pt idx="628">
                  <v>0.95</v>
                </pt>
                <pt idx="629">
                  <v>0.95</v>
                </pt>
                <pt idx="630">
                  <v>0.95</v>
                </pt>
                <pt idx="631">
                  <v>0.95</v>
                </pt>
                <pt idx="632">
                  <v>0.95</v>
                </pt>
                <pt idx="633">
                  <v>0.95</v>
                </pt>
                <pt idx="634">
                  <v>0.95</v>
                </pt>
                <pt idx="635">
                  <v>0.95</v>
                </pt>
                <pt idx="636">
                  <v>0.95</v>
                </pt>
                <pt idx="637">
                  <v>0.95</v>
                </pt>
                <pt idx="638">
                  <v>0.95</v>
                </pt>
                <pt idx="639">
                  <v>0.95</v>
                </pt>
                <pt idx="640">
                  <v>0.95</v>
                </pt>
                <pt idx="641">
                  <v>0.95</v>
                </pt>
                <pt idx="642">
                  <v>0.95</v>
                </pt>
                <pt idx="643">
                  <v>0.95</v>
                </pt>
                <pt idx="644">
                  <v>0.95</v>
                </pt>
                <pt idx="645">
                  <v>0.95</v>
                </pt>
                <pt idx="646">
                  <v>0.95</v>
                </pt>
                <pt idx="647">
                  <v>0.95</v>
                </pt>
                <pt idx="648">
                  <v>0.95</v>
                </pt>
                <pt idx="649">
                  <v>0.95</v>
                </pt>
                <pt idx="650">
                  <v>0.95</v>
                </pt>
                <pt idx="651">
                  <v>0.95</v>
                </pt>
                <pt idx="652">
                  <v>0.95</v>
                </pt>
                <pt idx="653">
                  <v>0.95</v>
                </pt>
                <pt idx="654">
                  <v>0.95</v>
                </pt>
                <pt idx="655">
                  <v>0.95</v>
                </pt>
                <pt idx="656">
                  <v>0.95</v>
                </pt>
                <pt idx="657">
                  <v>0.95</v>
                </pt>
                <pt idx="658">
                  <v>0.95</v>
                </pt>
                <pt idx="659">
                  <v>0.95</v>
                </pt>
                <pt idx="660">
                  <v>0.95</v>
                </pt>
                <pt idx="661">
                  <v>0.95</v>
                </pt>
                <pt idx="662">
                  <v>0.95</v>
                </pt>
                <pt idx="663">
                  <v>0.95</v>
                </pt>
                <pt idx="664">
                  <v>0.95</v>
                </pt>
                <pt idx="665">
                  <v>0.95</v>
                </pt>
                <pt idx="666">
                  <v>0.95</v>
                </pt>
                <pt idx="667">
                  <v>0.95</v>
                </pt>
                <pt idx="668">
                  <v>0.95</v>
                </pt>
                <pt idx="669">
                  <v>0.95</v>
                </pt>
                <pt idx="670">
                  <v>0.95</v>
                </pt>
                <pt idx="671">
                  <v>0.95</v>
                </pt>
                <pt idx="672">
                  <v>0.95</v>
                </pt>
                <pt idx="673">
                  <v>0.95</v>
                </pt>
                <pt idx="674">
                  <v>0.95</v>
                </pt>
                <pt idx="675">
                  <v>0.95</v>
                </pt>
                <pt idx="676">
                  <v>0.95</v>
                </pt>
                <pt idx="677">
                  <v>0.95</v>
                </pt>
                <pt idx="678">
                  <v>0.95</v>
                </pt>
                <pt idx="679">
                  <v>0.95</v>
                </pt>
                <pt idx="680">
                  <v>0.95</v>
                </pt>
                <pt idx="681">
                  <v>0.95</v>
                </pt>
                <pt idx="682">
                  <v>0.95</v>
                </pt>
                <pt idx="683">
                  <v>0.95</v>
                </pt>
                <pt idx="684">
                  <v>0.95</v>
                </pt>
                <pt idx="685">
                  <v>0.95</v>
                </pt>
                <pt idx="686">
                  <v>0.95</v>
                </pt>
                <pt idx="687">
                  <v>0.95</v>
                </pt>
                <pt idx="688">
                  <v>0.95</v>
                </pt>
                <pt idx="689">
                  <v>0.95</v>
                </pt>
                <pt idx="690">
                  <v>0.95</v>
                </pt>
                <pt idx="691">
                  <v>0.95</v>
                </pt>
                <pt idx="692">
                  <v>0.95</v>
                </pt>
                <pt idx="693">
                  <v>0.95</v>
                </pt>
                <pt idx="694">
                  <v>0.95</v>
                </pt>
                <pt idx="695">
                  <v>0.95</v>
                </pt>
                <pt idx="696">
                  <v>0.95</v>
                </pt>
                <pt idx="697">
                  <v>0.95</v>
                </pt>
                <pt idx="698">
                  <v>0.95</v>
                </pt>
                <pt idx="699">
                  <v>0.95</v>
                </pt>
                <pt idx="700">
                  <v>0.95</v>
                </pt>
                <pt idx="701">
                  <v>0.95</v>
                </pt>
                <pt idx="702">
                  <v>0.95</v>
                </pt>
                <pt idx="703">
                  <v>0.95</v>
                </pt>
                <pt idx="704">
                  <v>0.95</v>
                </pt>
                <pt idx="705">
                  <v>0.95</v>
                </pt>
                <pt idx="706">
                  <v>0.95</v>
                </pt>
                <pt idx="707">
                  <v>0.95</v>
                </pt>
                <pt idx="708">
                  <v>0.95</v>
                </pt>
                <pt idx="709">
                  <v>0.95</v>
                </pt>
                <pt idx="710">
                  <v>0.95</v>
                </pt>
                <pt idx="711">
                  <v>0.95</v>
                </pt>
                <pt idx="712">
                  <v>0.95</v>
                </pt>
                <pt idx="713">
                  <v>0.95</v>
                </pt>
                <pt idx="714">
                  <v>0.95</v>
                </pt>
                <pt idx="715">
                  <v>0.95</v>
                </pt>
                <pt idx="716">
                  <v>0.95</v>
                </pt>
                <pt idx="717">
                  <v>0.95</v>
                </pt>
                <pt idx="718">
                  <v>0.95</v>
                </pt>
                <pt idx="719">
                  <v>0.95</v>
                </pt>
                <pt idx="720">
                  <v>0.95</v>
                </pt>
                <pt idx="721">
                  <v>0.95</v>
                </pt>
                <pt idx="722">
                  <v>0.95</v>
                </pt>
                <pt idx="723">
                  <v>0.95</v>
                </pt>
                <pt idx="724">
                  <v>0.95</v>
                </pt>
                <pt idx="725">
                  <v>0.95</v>
                </pt>
                <pt idx="726">
                  <v>0.95</v>
                </pt>
                <pt idx="727">
                  <v>0.95</v>
                </pt>
                <pt idx="728">
                  <v>0.95</v>
                </pt>
                <pt idx="729">
                  <v>0.95</v>
                </pt>
                <pt idx="730">
                  <v>0.95</v>
                </pt>
                <pt idx="731">
                  <v>0.95</v>
                </pt>
                <pt idx="732">
                  <v>0.95</v>
                </pt>
                <pt idx="733">
                  <v>0.95</v>
                </pt>
                <pt idx="734">
                  <v>0.95</v>
                </pt>
                <pt idx="735">
                  <v>0.95</v>
                </pt>
                <pt idx="736">
                  <v>0.95</v>
                </pt>
                <pt idx="737">
                  <v>0.95</v>
                </pt>
                <pt idx="738">
                  <v>0.95</v>
                </pt>
                <pt idx="739">
                  <v>0.95</v>
                </pt>
                <pt idx="740">
                  <v>0.95</v>
                </pt>
                <pt idx="741">
                  <v>0.95</v>
                </pt>
                <pt idx="742">
                  <v>0.95</v>
                </pt>
                <pt idx="743">
                  <v>0.95</v>
                </pt>
                <pt idx="744">
                  <v>0.95</v>
                </pt>
                <pt idx="745">
                  <v>0.95</v>
                </pt>
                <pt idx="746">
                  <v>0.95</v>
                </pt>
                <pt idx="747">
                  <v>0.95</v>
                </pt>
                <pt idx="748">
                  <v>0.95</v>
                </pt>
                <pt idx="749">
                  <v>0.95</v>
                </pt>
                <pt idx="750">
                  <v>0.95</v>
                </pt>
                <pt idx="751">
                  <v>0.95</v>
                </pt>
                <pt idx="752">
                  <v>0.95</v>
                </pt>
                <pt idx="753">
                  <v>0.95</v>
                </pt>
                <pt idx="754">
                  <v>0.95</v>
                </pt>
                <pt idx="755">
                  <v>0.95</v>
                </pt>
                <pt idx="756">
                  <v>0.95</v>
                </pt>
                <pt idx="757">
                  <v>0.95</v>
                </pt>
                <pt idx="758">
                  <v>0.95</v>
                </pt>
                <pt idx="759">
                  <v>0.95</v>
                </pt>
                <pt idx="760">
                  <v>0.95</v>
                </pt>
                <pt idx="761">
                  <v>0.95</v>
                </pt>
                <pt idx="762">
                  <v>0.95</v>
                </pt>
                <pt idx="763">
                  <v>0.95</v>
                </pt>
                <pt idx="764">
                  <v>0.95</v>
                </pt>
                <pt idx="765">
                  <v>0.95</v>
                </pt>
                <pt idx="766">
                  <v>0.95</v>
                </pt>
                <pt idx="767">
                  <v>0.95</v>
                </pt>
                <pt idx="768">
                  <v>0.95</v>
                </pt>
                <pt idx="769">
                  <v>0.95</v>
                </pt>
                <pt idx="770">
                  <v>0.95</v>
                </pt>
                <pt idx="771">
                  <v>0.95</v>
                </pt>
                <pt idx="772">
                  <v>0.95</v>
                </pt>
                <pt idx="773">
                  <v>0.95</v>
                </pt>
                <pt idx="774">
                  <v>0.95</v>
                </pt>
                <pt idx="775">
                  <v>0.95</v>
                </pt>
                <pt idx="776">
                  <v>0.95</v>
                </pt>
                <pt idx="777">
                  <v>0.95</v>
                </pt>
                <pt idx="778">
                  <v>0.95</v>
                </pt>
                <pt idx="779">
                  <v>0.95</v>
                </pt>
                <pt idx="780">
                  <v>0.95</v>
                </pt>
                <pt idx="781">
                  <v>0.95</v>
                </pt>
                <pt idx="782">
                  <v>0.95</v>
                </pt>
                <pt idx="783">
                  <v>0.95</v>
                </pt>
                <pt idx="784">
                  <v>0.95</v>
                </pt>
                <pt idx="785">
                  <v>0.95</v>
                </pt>
                <pt idx="786">
                  <v>0.95</v>
                </pt>
                <pt idx="787">
                  <v>0.95</v>
                </pt>
                <pt idx="788">
                  <v>0.95</v>
                </pt>
                <pt idx="789">
                  <v>0.95</v>
                </pt>
                <pt idx="790">
                  <v>0.95</v>
                </pt>
                <pt idx="791">
                  <v>0.95</v>
                </pt>
                <pt idx="792">
                  <v>0.95</v>
                </pt>
                <pt idx="793">
                  <v>0.95</v>
                </pt>
                <pt idx="794">
                  <v>0.95</v>
                </pt>
                <pt idx="795">
                  <v>0.95</v>
                </pt>
                <pt idx="796">
                  <v>0.95</v>
                </pt>
                <pt idx="797">
                  <v>0.95</v>
                </pt>
                <pt idx="798">
                  <v>0.95</v>
                </pt>
                <pt idx="799">
                  <v>0.95</v>
                </pt>
                <pt idx="800">
                  <v>0.95</v>
                </pt>
                <pt idx="801">
                  <v>0.95</v>
                </pt>
                <pt idx="802">
                  <v>0.95</v>
                </pt>
                <pt idx="803">
                  <v>0.95</v>
                </pt>
                <pt idx="804">
                  <v>0.95</v>
                </pt>
                <pt idx="805">
                  <v>0.95</v>
                </pt>
                <pt idx="806">
                  <v>0.95</v>
                </pt>
                <pt idx="807">
                  <v>0.95</v>
                </pt>
                <pt idx="808">
                  <v>0.95</v>
                </pt>
                <pt idx="809">
                  <v>0.95</v>
                </pt>
                <pt idx="810">
                  <v>0.95</v>
                </pt>
                <pt idx="811">
                  <v>0.95</v>
                </pt>
                <pt idx="812">
                  <v>0.95</v>
                </pt>
                <pt idx="813">
                  <v>0.95</v>
                </pt>
                <pt idx="814">
                  <v>0.95</v>
                </pt>
                <pt idx="815">
                  <v>0.95</v>
                </pt>
                <pt idx="816">
                  <v>0.95</v>
                </pt>
                <pt idx="817">
                  <v>0.95</v>
                </pt>
                <pt idx="818">
                  <v>0.95</v>
                </pt>
                <pt idx="819">
                  <v>0.95</v>
                </pt>
                <pt idx="820">
                  <v>0.95</v>
                </pt>
                <pt idx="821">
                  <v>0.95</v>
                </pt>
                <pt idx="822">
                  <v>0.95</v>
                </pt>
                <pt idx="823">
                  <v>0.95</v>
                </pt>
                <pt idx="824">
                  <v>0.95</v>
                </pt>
                <pt idx="825">
                  <v>0.95</v>
                </pt>
                <pt idx="826">
                  <v>0.95</v>
                </pt>
                <pt idx="827">
                  <v>0.95</v>
                </pt>
                <pt idx="828">
                  <v>0.95</v>
                </pt>
                <pt idx="829">
                  <v>0.95</v>
                </pt>
                <pt idx="830">
                  <v>0.95</v>
                </pt>
                <pt idx="831">
                  <v>0.95</v>
                </pt>
                <pt idx="832">
                  <v>0.95</v>
                </pt>
                <pt idx="833">
                  <v>0.95</v>
                </pt>
                <pt idx="834">
                  <v>0.95</v>
                </pt>
                <pt idx="835">
                  <v>0.95</v>
                </pt>
                <pt idx="836">
                  <v>0.95</v>
                </pt>
                <pt idx="837">
                  <v>0.95</v>
                </pt>
                <pt idx="838">
                  <v>0.95</v>
                </pt>
                <pt idx="839">
                  <v>0.95</v>
                </pt>
                <pt idx="840">
                  <v>0.95</v>
                </pt>
                <pt idx="841">
                  <v>0.95</v>
                </pt>
                <pt idx="842">
                  <v>0.95</v>
                </pt>
                <pt idx="843">
                  <v>0.95</v>
                </pt>
                <pt idx="844">
                  <v>0.95</v>
                </pt>
                <pt idx="845">
                  <v>0.95</v>
                </pt>
                <pt idx="846">
                  <v>0.95</v>
                </pt>
                <pt idx="847">
                  <v>0.95</v>
                </pt>
                <pt idx="848">
                  <v>0.95</v>
                </pt>
                <pt idx="849">
                  <v>0.95</v>
                </pt>
                <pt idx="850">
                  <v>0.95</v>
                </pt>
                <pt idx="851">
                  <v>0.95</v>
                </pt>
                <pt idx="852">
                  <v>0.95</v>
                </pt>
                <pt idx="853">
                  <v>0.95</v>
                </pt>
                <pt idx="854">
                  <v>0.95</v>
                </pt>
                <pt idx="855">
                  <v>0.95</v>
                </pt>
                <pt idx="856">
                  <v>0.95</v>
                </pt>
                <pt idx="857">
                  <v>0.95</v>
                </pt>
                <pt idx="858">
                  <v>0.95</v>
                </pt>
                <pt idx="859">
                  <v>0.95</v>
                </pt>
                <pt idx="860">
                  <v>0.95</v>
                </pt>
                <pt idx="861">
                  <v>0.95</v>
                </pt>
                <pt idx="862">
                  <v>0.95</v>
                </pt>
                <pt idx="863">
                  <v>0.95</v>
                </pt>
                <pt idx="864">
                  <v>0.95</v>
                </pt>
                <pt idx="865">
                  <v>0.95</v>
                </pt>
                <pt idx="866">
                  <v>0.95</v>
                </pt>
                <pt idx="867">
                  <v>0.95</v>
                </pt>
                <pt idx="868">
                  <v>0.95</v>
                </pt>
                <pt idx="869">
                  <v>0.95</v>
                </pt>
                <pt idx="870">
                  <v>0.95</v>
                </pt>
                <pt idx="871">
                  <v>0.95</v>
                </pt>
                <pt idx="872">
                  <v>0.95</v>
                </pt>
                <pt idx="873">
                  <v>0.95</v>
                </pt>
                <pt idx="874">
                  <v>0.95</v>
                </pt>
                <pt idx="875">
                  <v>0.95</v>
                </pt>
                <pt idx="876">
                  <v>0.95</v>
                </pt>
                <pt idx="877">
                  <v>0.95</v>
                </pt>
                <pt idx="878">
                  <v>0.95</v>
                </pt>
                <pt idx="879">
                  <v>0.95</v>
                </pt>
                <pt idx="880">
                  <v>0.95</v>
                </pt>
                <pt idx="881">
                  <v>0.95</v>
                </pt>
                <pt idx="882">
                  <v>0.95</v>
                </pt>
                <pt idx="883">
                  <v>0.95</v>
                </pt>
                <pt idx="884">
                  <v>0.95</v>
                </pt>
                <pt idx="885">
                  <v>0.95</v>
                </pt>
                <pt idx="886">
                  <v>0.95</v>
                </pt>
                <pt idx="887">
                  <v>0.95</v>
                </pt>
                <pt idx="888">
                  <v>0.95</v>
                </pt>
                <pt idx="889">
                  <v>0.95</v>
                </pt>
                <pt idx="890">
                  <v>0.95</v>
                </pt>
                <pt idx="891">
                  <v>0.95</v>
                </pt>
                <pt idx="892">
                  <v>0.95</v>
                </pt>
                <pt idx="893">
                  <v>0.95</v>
                </pt>
                <pt idx="894">
                  <v>0.95</v>
                </pt>
                <pt idx="895">
                  <v>0.95</v>
                </pt>
                <pt idx="896">
                  <v>0.95</v>
                </pt>
                <pt idx="897">
                  <v>0.95</v>
                </pt>
                <pt idx="898">
                  <v>0.95</v>
                </pt>
                <pt idx="899">
                  <v>0.95</v>
                </pt>
                <pt idx="900">
                  <v>0.95</v>
                </pt>
                <pt idx="901">
                  <v>0.95</v>
                </pt>
                <pt idx="902">
                  <v>0.95</v>
                </pt>
                <pt idx="903">
                  <v>0.95</v>
                </pt>
                <pt idx="904">
                  <v>0.95</v>
                </pt>
                <pt idx="905">
                  <v>0.95</v>
                </pt>
                <pt idx="906">
                  <v>0.95</v>
                </pt>
                <pt idx="907">
                  <v>0.95</v>
                </pt>
                <pt idx="908">
                  <v>0.95</v>
                </pt>
                <pt idx="909">
                  <v>0.95</v>
                </pt>
                <pt idx="910">
                  <v>0.95</v>
                </pt>
                <pt idx="911">
                  <v>0.95</v>
                </pt>
                <pt idx="912">
                  <v>0.95</v>
                </pt>
                <pt idx="913">
                  <v>0.95</v>
                </pt>
                <pt idx="914">
                  <v>0.95</v>
                </pt>
                <pt idx="915">
                  <v>0.95</v>
                </pt>
                <pt idx="916">
                  <v>0.95</v>
                </pt>
                <pt idx="917">
                  <v>0.95</v>
                </pt>
                <pt idx="918">
                  <v>0.95</v>
                </pt>
                <pt idx="919">
                  <v>0.95</v>
                </pt>
                <pt idx="920">
                  <v>0.95</v>
                </pt>
                <pt idx="921">
                  <v>0.95</v>
                </pt>
                <pt idx="922">
                  <v>0.95</v>
                </pt>
                <pt idx="923">
                  <v>0.95</v>
                </pt>
                <pt idx="924">
                  <v>0.95</v>
                </pt>
                <pt idx="925">
                  <v>0.95</v>
                </pt>
                <pt idx="926">
                  <v>0.95</v>
                </pt>
                <pt idx="927">
                  <v>0.95</v>
                </pt>
                <pt idx="928">
                  <v>0.95</v>
                </pt>
                <pt idx="929">
                  <v>0.95</v>
                </pt>
                <pt idx="930">
                  <v>0.95</v>
                </pt>
                <pt idx="931">
                  <v>0.95</v>
                </pt>
                <pt idx="932">
                  <v>0.95</v>
                </pt>
                <pt idx="933">
                  <v>0.95</v>
                </pt>
                <pt idx="934">
                  <v>0.95</v>
                </pt>
                <pt idx="935">
                  <v>0.95</v>
                </pt>
                <pt idx="936">
                  <v>0.95</v>
                </pt>
                <pt idx="937">
                  <v>0.95</v>
                </pt>
                <pt idx="938">
                  <v>0.95</v>
                </pt>
                <pt idx="939">
                  <v>0.95</v>
                </pt>
                <pt idx="940">
                  <v>0.95</v>
                </pt>
                <pt idx="941">
                  <v>0.95</v>
                </pt>
                <pt idx="942">
                  <v>0.95</v>
                </pt>
                <pt idx="943">
                  <v>0.95</v>
                </pt>
                <pt idx="944">
                  <v>0.95</v>
                </pt>
                <pt idx="945">
                  <v>0.95</v>
                </pt>
                <pt idx="946">
                  <v>0.95</v>
                </pt>
                <pt idx="947">
                  <v>0.95</v>
                </pt>
                <pt idx="948">
                  <v>0.95</v>
                </pt>
                <pt idx="949">
                  <v>0.95</v>
                </pt>
                <pt idx="950">
                  <v>0.95</v>
                </pt>
                <pt idx="951">
                  <v>0.95</v>
                </pt>
                <pt idx="952">
                  <v>0.95</v>
                </pt>
                <pt idx="953">
                  <v>0.95</v>
                </pt>
                <pt idx="954">
                  <v>0.95</v>
                </pt>
                <pt idx="955">
                  <v>0.95</v>
                </pt>
                <pt idx="956">
                  <v>0.95</v>
                </pt>
                <pt idx="957">
                  <v>0.95</v>
                </pt>
                <pt idx="958">
                  <v>0.95</v>
                </pt>
                <pt idx="959">
                  <v>0.95</v>
                </pt>
                <pt idx="960">
                  <v>0.95</v>
                </pt>
                <pt idx="961">
                  <v>0.95</v>
                </pt>
                <pt idx="962">
                  <v>0.95</v>
                </pt>
                <pt idx="963">
                  <v>0.95</v>
                </pt>
                <pt idx="964">
                  <v>0.95</v>
                </pt>
                <pt idx="965">
                  <v>0.95</v>
                </pt>
                <pt idx="966">
                  <v>0.95</v>
                </pt>
                <pt idx="967">
                  <v>0.95</v>
                </pt>
                <pt idx="968">
                  <v>0.95</v>
                </pt>
                <pt idx="969">
                  <v>0.95</v>
                </pt>
                <pt idx="970">
                  <v>0.95</v>
                </pt>
                <pt idx="971">
                  <v>0.95</v>
                </pt>
                <pt idx="972">
                  <v>0.95</v>
                </pt>
                <pt idx="973">
                  <v>0.95</v>
                </pt>
                <pt idx="974">
                  <v>0.95</v>
                </pt>
                <pt idx="975">
                  <v>0.95</v>
                </pt>
                <pt idx="976">
                  <v>0.95</v>
                </pt>
                <pt idx="977">
                  <v>0.95</v>
                </pt>
                <pt idx="978">
                  <v>0.95</v>
                </pt>
                <pt idx="979">
                  <v>0.95</v>
                </pt>
                <pt idx="980">
                  <v>0.95</v>
                </pt>
                <pt idx="981">
                  <v>0.95</v>
                </pt>
                <pt idx="982">
                  <v>0.95</v>
                </pt>
                <pt idx="983">
                  <v>0.95</v>
                </pt>
                <pt idx="984">
                  <v>0.95</v>
                </pt>
                <pt idx="985">
                  <v>0.95</v>
                </pt>
                <pt idx="986">
                  <v>0.95</v>
                </pt>
                <pt idx="987">
                  <v>0.95</v>
                </pt>
                <pt idx="988">
                  <v>0.95</v>
                </pt>
                <pt idx="989">
                  <v>0.95</v>
                </pt>
                <pt idx="990">
                  <v>0.95</v>
                </pt>
                <pt idx="991">
                  <v>0.95</v>
                </pt>
                <pt idx="992">
                  <v>0.95</v>
                </pt>
                <pt idx="993">
                  <v>0.95</v>
                </pt>
                <pt idx="994">
                  <v>0.95</v>
                </pt>
                <pt idx="995">
                  <v>0.95</v>
                </pt>
                <pt idx="996">
                  <v>0.95</v>
                </pt>
                <pt idx="997">
                  <v>0.95</v>
                </pt>
                <pt idx="998">
                  <v>0.95</v>
                </pt>
                <pt idx="999">
                  <v>0.95</v>
                </pt>
                <pt idx="1000">
                  <v>0.95</v>
                </pt>
              </numCache>
            </numRef>
          </val>
          <smooth val="0"/>
        </ser>
        <ser>
          <idx val="4"/>
          <order val="4"/>
          <tx>
            <strRef>
              <f>Лист4!$Q$1</f>
              <strCache>
                <ptCount val="1"/>
                <pt idx="0">
                  <v>f(t)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Лист4!$Q$2:$Q$1002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64901887"/>
        <axId val="1564903967"/>
      </lineChart>
      <catAx>
        <axId val="156490188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 cap="flat" cmpd="sng" algn="ctr">
            <a:solidFill>
              <a:schemeClr val="tx1"/>
            </a:solidFill>
            <a:prstDash val="solid"/>
            <a:round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3967"/>
        <crosses val="autoZero"/>
        <auto val="1"/>
        <lblAlgn val="ctr"/>
        <lblOffset val="100"/>
        <tickLblSkip val="50"/>
        <tickMarkSkip val="50"/>
        <noMultiLvlLbl val="0"/>
      </catAx>
      <valAx>
        <axId val="15649039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>
            <a:solidFill>
              <a:schemeClr val="tx1"/>
            </a:solidFill>
            <a:prstDash val="solid"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18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Лист4!$V$1</f>
              <strCache>
                <ptCount val="1"/>
                <pt idx="0">
                  <v>y(nT0)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Лист4!$V$2:$V$1002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0.009155413138017853</v>
                </pt>
                <pt idx="64">
                  <v>0.03509575036240177</v>
                </pt>
                <pt idx="65">
                  <v>0.07629510948348212</v>
                </pt>
                <pt idx="66">
                  <v>0.123598077363241</v>
                </pt>
                <pt idx="67">
                  <v>0.1678492408636607</v>
                </pt>
                <pt idx="68">
                  <v>0.2105745021744106</v>
                </pt>
                <pt idx="69">
                  <v>0.251773861295491</v>
                </pt>
                <pt idx="70">
                  <v>0.2914473182269017</v>
                </pt>
                <pt idx="71">
                  <v>0.3295948729686427</v>
                </pt>
                <pt idx="72">
                  <v>0.3646906233310445</v>
                </pt>
                <pt idx="73">
                  <v>0.3997863736934462</v>
                </pt>
                <pt idx="74">
                  <v>0.434882124055848</v>
                </pt>
                <pt idx="75">
                  <v>0.4669260700389105</v>
                </pt>
                <pt idx="76">
                  <v>0.4989700160219729</v>
                </pt>
                <pt idx="77">
                  <v>0.5310139620050355</v>
                </pt>
                <pt idx="78">
                  <v>0.5615320057984283</v>
                </pt>
                <pt idx="79">
                  <v>0.5905241474021515</v>
                </pt>
                <pt idx="80">
                  <v>0.6195162890058747</v>
                </pt>
                <pt idx="81">
                  <v>0.648508430609598</v>
                </pt>
                <pt idx="82">
                  <v>0.6759746700236515</v>
                </pt>
                <pt idx="83">
                  <v>0.7034409094377051</v>
                </pt>
                <pt idx="84">
                  <v>0.7309071488517586</v>
                </pt>
                <pt idx="85">
                  <v>0.7583733882658121</v>
                </pt>
                <pt idx="86">
                  <v>0.7843137254901961</v>
                </pt>
                <pt idx="87">
                  <v>0.8087281605249105</v>
                </pt>
                <pt idx="88">
                  <v>0.831616693369955</v>
                </pt>
                <pt idx="89">
                  <v>0.8514534218356603</v>
                </pt>
                <pt idx="90">
                  <v>0.8697642481116961</v>
                </pt>
                <pt idx="91">
                  <v>0.8865491721980621</v>
                </pt>
                <pt idx="92">
                  <v>0.9018081940947584</v>
                </pt>
                <pt idx="93">
                  <v>0.9140154116121157</v>
                </pt>
                <pt idx="94">
                  <v>0.9262226291294728</v>
                </pt>
                <pt idx="95">
                  <v>0.9353780422674907</v>
                </pt>
                <pt idx="96">
                  <v>0.9445334554055085</v>
                </pt>
                <pt idx="97">
                  <v>0.9521629663538568</v>
                </pt>
                <pt idx="98">
                  <v>0.9582665751125353</v>
                </pt>
                <pt idx="99">
                  <v>0.9643701838712139</v>
                </pt>
                <pt idx="100">
                  <v>0.9689478904402228</v>
                </pt>
                <pt idx="101">
                  <v>0.9735255970092317</v>
                </pt>
                <pt idx="102">
                  <v>0.976577401388571</v>
                </pt>
                <pt idx="103">
                  <v>0.9781033035782406</v>
                </pt>
                <pt idx="104">
                  <v>0.9796292057679102</v>
                </pt>
                <pt idx="105">
                  <v>0.9811551079575799</v>
                </pt>
                <pt idx="106">
                  <v>0.9811551079575799</v>
                </pt>
                <pt idx="107">
                  <v>0.9811551079575799</v>
                </pt>
                <pt idx="108">
                  <v>0.9796292057679102</v>
                </pt>
                <pt idx="109">
                  <v>0.9781033035782406</v>
                </pt>
                <pt idx="110">
                  <v>0.976577401388571</v>
                </pt>
                <pt idx="111">
                  <v>0.9735255970092317</v>
                </pt>
                <pt idx="112">
                  <v>0.9704737926298924</v>
                </pt>
                <pt idx="113">
                  <v>0.9674219882505531</v>
                </pt>
                <pt idx="114">
                  <v>0.9643701838712139</v>
                </pt>
                <pt idx="115">
                  <v>0.9613183794918746</v>
                </pt>
                <pt idx="116">
                  <v>0.9582665751125353</v>
                </pt>
                <pt idx="117">
                  <v>0.9536888685435264</v>
                </pt>
                <pt idx="118">
                  <v>0.950637064164187</v>
                </pt>
                <pt idx="119">
                  <v>0.9475852597848478</v>
                </pt>
                <pt idx="120">
                  <v>0.9445334554055085</v>
                </pt>
                <pt idx="121">
                  <v>0.9414816510261692</v>
                </pt>
                <pt idx="122">
                  <v>0.9384298466468299</v>
                </pt>
                <pt idx="123">
                  <v>0.9369039444571603</v>
                </pt>
                <pt idx="124">
                  <v>0.933852140077821</v>
                </pt>
                <pt idx="125">
                  <v>0.9323262378881514</v>
                </pt>
                <pt idx="126">
                  <v>0.9292744335088121</v>
                </pt>
                <pt idx="127">
                  <v>0.9277485313191425</v>
                </pt>
                <pt idx="128">
                  <v>0.9262226291294728</v>
                </pt>
                <pt idx="129">
                  <v>0.9262226291294728</v>
                </pt>
                <pt idx="130">
                  <v>0.9246967269398032</v>
                </pt>
                <pt idx="131">
                  <v>0.9246967269398032</v>
                </pt>
                <pt idx="132">
                  <v>0.9231708247501336</v>
                </pt>
                <pt idx="133">
                  <v>0.9231708247501336</v>
                </pt>
                <pt idx="134">
                  <v>0.9231708247501336</v>
                </pt>
                <pt idx="135">
                  <v>0.9246967269398032</v>
                </pt>
                <pt idx="136">
                  <v>0.9246967269398032</v>
                </pt>
                <pt idx="137">
                  <v>0.9262226291294728</v>
                </pt>
                <pt idx="138">
                  <v>0.9277485313191425</v>
                </pt>
                <pt idx="139">
                  <v>0.9277485313191425</v>
                </pt>
                <pt idx="140">
                  <v>0.9308003356984818</v>
                </pt>
                <pt idx="141">
                  <v>0.9323262378881514</v>
                </pt>
                <pt idx="142">
                  <v>0.933852140077821</v>
                </pt>
                <pt idx="143">
                  <v>0.9353780422674907</v>
                </pt>
                <pt idx="144">
                  <v>0.9384298466468299</v>
                </pt>
                <pt idx="145">
                  <v>0.9399557488364996</v>
                </pt>
                <pt idx="146">
                  <v>0.9430075532158388</v>
                </pt>
                <pt idx="147">
                  <v>0.9460593575951781</v>
                </pt>
                <pt idx="148">
                  <v>0.9475852597848478</v>
                </pt>
                <pt idx="149">
                  <v>0.950637064164187</v>
                </pt>
                <pt idx="150">
                  <v>0.9536888685435264</v>
                </pt>
                <pt idx="151">
                  <v>0.9567406729228657</v>
                </pt>
                <pt idx="152">
                  <v>0.9582665751125353</v>
                </pt>
                <pt idx="153">
                  <v>0.9613183794918746</v>
                </pt>
                <pt idx="154">
                  <v>0.9643701838712139</v>
                </pt>
                <pt idx="155">
                  <v>0.9674219882505531</v>
                </pt>
                <pt idx="156">
                  <v>0.9689478904402228</v>
                </pt>
                <pt idx="157">
                  <v>0.9719996948195621</v>
                </pt>
                <pt idx="158">
                  <v>0.9750514991989013</v>
                </pt>
                <pt idx="159">
                  <v>0.976577401388571</v>
                </pt>
                <pt idx="160">
                  <v>0.9796292057679102</v>
                </pt>
                <pt idx="161">
                  <v>0.9826810101472495</v>
                </pt>
                <pt idx="162">
                  <v>0.9842069123369191</v>
                </pt>
                <pt idx="163">
                  <v>0.9857328145265888</v>
                </pt>
                <pt idx="164">
                  <v>0.9887846189059281</v>
                </pt>
                <pt idx="165">
                  <v>0.9903105210955977</v>
                </pt>
                <pt idx="166">
                  <v>0.9918364232852673</v>
                </pt>
                <pt idx="167">
                  <v>0.993362325474937</v>
                </pt>
                <pt idx="168">
                  <v>0.9948882276646066</v>
                </pt>
                <pt idx="169">
                  <v>0.9964141298542762</v>
                </pt>
                <pt idx="170">
                  <v>0.9979400320439459</v>
                </pt>
                <pt idx="171">
                  <v>0.9994659342336155</v>
                </pt>
                <pt idx="172">
                  <v>1.000991836423285</v>
                </pt>
                <pt idx="173">
                  <v>1.002517738612955</v>
                </pt>
                <pt idx="174">
                  <v>1.002517738612955</v>
                </pt>
                <pt idx="175">
                  <v>1.004043640802625</v>
                </pt>
                <pt idx="176">
                  <v>1.004043640802625</v>
                </pt>
                <pt idx="177">
                  <v>1.005569542992294</v>
                </pt>
                <pt idx="178">
                  <v>1.005569542992294</v>
                </pt>
                <pt idx="179">
                  <v>1.005569542992294</v>
                </pt>
                <pt idx="180">
                  <v>1.007095445181964</v>
                </pt>
                <pt idx="181">
                  <v>1.007095445181964</v>
                </pt>
                <pt idx="182">
                  <v>1.007095445181964</v>
                </pt>
                <pt idx="183">
                  <v>1.007095445181964</v>
                </pt>
                <pt idx="184">
                  <v>1.007095445181964</v>
                </pt>
                <pt idx="185">
                  <v>1.007095445181964</v>
                </pt>
                <pt idx="186">
                  <v>1.007095445181964</v>
                </pt>
                <pt idx="187">
                  <v>1.007095445181964</v>
                </pt>
                <pt idx="188">
                  <v>1.007095445181964</v>
                </pt>
                <pt idx="189">
                  <v>1.007095445181964</v>
                </pt>
                <pt idx="190">
                  <v>1.007095445181964</v>
                </pt>
                <pt idx="191">
                  <v>1.007095445181964</v>
                </pt>
                <pt idx="192">
                  <v>1.005569542992294</v>
                </pt>
                <pt idx="193">
                  <v>1.005569542992294</v>
                </pt>
                <pt idx="194">
                  <v>1.005569542992294</v>
                </pt>
                <pt idx="195">
                  <v>1.005569542992294</v>
                </pt>
                <pt idx="196">
                  <v>1.004043640802625</v>
                </pt>
                <pt idx="197">
                  <v>1.004043640802625</v>
                </pt>
                <pt idx="198">
                  <v>1.004043640802625</v>
                </pt>
                <pt idx="199">
                  <v>1.004043640802625</v>
                </pt>
                <pt idx="200">
                  <v>1.002517738612955</v>
                </pt>
                <pt idx="201">
                  <v>1.002517738612955</v>
                </pt>
                <pt idx="202">
                  <v>1.002517738612955</v>
                </pt>
                <pt idx="203">
                  <v>1.002517738612955</v>
                </pt>
                <pt idx="204">
                  <v>1.000991836423285</v>
                </pt>
                <pt idx="205">
                  <v>1.000991836423285</v>
                </pt>
                <pt idx="206">
                  <v>1.000991836423285</v>
                </pt>
                <pt idx="207">
                  <v>1.000991836423285</v>
                </pt>
                <pt idx="208">
                  <v>1.000991836423285</v>
                </pt>
                <pt idx="209">
                  <v>1.000991836423285</v>
                </pt>
                <pt idx="210">
                  <v>1.000991836423285</v>
                </pt>
                <pt idx="211">
                  <v>0.9994659342336155</v>
                </pt>
                <pt idx="212">
                  <v>0.9994659342336155</v>
                </pt>
                <pt idx="213">
                  <v>0.9994659342336155</v>
                </pt>
                <pt idx="214">
                  <v>0.9994659342336155</v>
                </pt>
                <pt idx="215">
                  <v>0.9994659342336155</v>
                </pt>
                <pt idx="216">
                  <v>0.9994659342336155</v>
                </pt>
                <pt idx="217">
                  <v>0.9994659342336155</v>
                </pt>
                <pt idx="218">
                  <v>0.9994659342336155</v>
                </pt>
                <pt idx="219">
                  <v>0.9994659342336155</v>
                </pt>
                <pt idx="220">
                  <v>0.9994659342336155</v>
                </pt>
                <pt idx="221">
                  <v>0.9994659342336155</v>
                </pt>
                <pt idx="222">
                  <v>0.9994659342336155</v>
                </pt>
                <pt idx="223">
                  <v>0.9994659342336155</v>
                </pt>
                <pt idx="224">
                  <v>0.9994659342336155</v>
                </pt>
                <pt idx="225">
                  <v>0.9994659342336155</v>
                </pt>
                <pt idx="226">
                  <v>0.9994659342336155</v>
                </pt>
                <pt idx="227">
                  <v>0.9994659342336155</v>
                </pt>
                <pt idx="228">
                  <v>0.9994659342336155</v>
                </pt>
                <pt idx="229">
                  <v>0.9994659342336155</v>
                </pt>
                <pt idx="230">
                  <v>0.9994659342336155</v>
                </pt>
                <pt idx="231">
                  <v>0.9994659342336155</v>
                </pt>
                <pt idx="232">
                  <v>1.000991836423285</v>
                </pt>
                <pt idx="233">
                  <v>1.000991836423285</v>
                </pt>
                <pt idx="234">
                  <v>1.000991836423285</v>
                </pt>
                <pt idx="235">
                  <v>1.000991836423285</v>
                </pt>
                <pt idx="236">
                  <v>1.000991836423285</v>
                </pt>
                <pt idx="237">
                  <v>1.000991836423285</v>
                </pt>
                <pt idx="238">
                  <v>1.000991836423285</v>
                </pt>
                <pt idx="239">
                  <v>1.000991836423285</v>
                </pt>
                <pt idx="240">
                  <v>1.000991836423285</v>
                </pt>
                <pt idx="241">
                  <v>1.000991836423285</v>
                </pt>
                <pt idx="242">
                  <v>1.000991836423285</v>
                </pt>
                <pt idx="243">
                  <v>1.000991836423285</v>
                </pt>
                <pt idx="244">
                  <v>1.000991836423285</v>
                </pt>
                <pt idx="245">
                  <v>1.000991836423285</v>
                </pt>
                <pt idx="246">
                  <v>1.000991836423285</v>
                </pt>
                <pt idx="247">
                  <v>1.000991836423285</v>
                </pt>
                <pt idx="248">
                  <v>1.000991836423285</v>
                </pt>
                <pt idx="249">
                  <v>1.000991836423285</v>
                </pt>
                <pt idx="250">
                  <v>1.000991836423285</v>
                </pt>
                <pt idx="251">
                  <v>1.000991836423285</v>
                </pt>
                <pt idx="252">
                  <v>1.000991836423285</v>
                </pt>
                <pt idx="253">
                  <v>1.000991836423285</v>
                </pt>
                <pt idx="254">
                  <v>1.000991836423285</v>
                </pt>
                <pt idx="255">
                  <v>1.000991836423285</v>
                </pt>
                <pt idx="256">
                  <v>1.000991836423285</v>
                </pt>
                <pt idx="257">
                  <v>1.000991836423285</v>
                </pt>
                <pt idx="258">
                  <v>1.000991836423285</v>
                </pt>
                <pt idx="259">
                  <v>1.000991836423285</v>
                </pt>
                <pt idx="260">
                  <v>1.000991836423285</v>
                </pt>
                <pt idx="261">
                  <v>1.000991836423285</v>
                </pt>
                <pt idx="262">
                  <v>1.000991836423285</v>
                </pt>
                <pt idx="263">
                  <v>1.000991836423285</v>
                </pt>
                <pt idx="264">
                  <v>1.000991836423285</v>
                </pt>
                <pt idx="265">
                  <v>1.000991836423285</v>
                </pt>
                <pt idx="266">
                  <v>1.000991836423285</v>
                </pt>
                <pt idx="267">
                  <v>1.000991836423285</v>
                </pt>
                <pt idx="268">
                  <v>1.000991836423285</v>
                </pt>
                <pt idx="269">
                  <v>1.000991836423285</v>
                </pt>
                <pt idx="270">
                  <v>1.000991836423285</v>
                </pt>
                <pt idx="271">
                  <v>1.000991836423285</v>
                </pt>
                <pt idx="272">
                  <v>1.000991836423285</v>
                </pt>
                <pt idx="273">
                  <v>1.000991836423285</v>
                </pt>
                <pt idx="274">
                  <v>0.9994659342336155</v>
                </pt>
                <pt idx="275">
                  <v>0.9994659342336155</v>
                </pt>
                <pt idx="276">
                  <v>0.9994659342336155</v>
                </pt>
                <pt idx="277">
                  <v>0.9994659342336155</v>
                </pt>
                <pt idx="278">
                  <v>0.9994659342336155</v>
                </pt>
                <pt idx="279">
                  <v>0.9994659342336155</v>
                </pt>
                <pt idx="280">
                  <v>0.9994659342336155</v>
                </pt>
                <pt idx="281">
                  <v>0.9994659342336155</v>
                </pt>
                <pt idx="282">
                  <v>0.9994659342336155</v>
                </pt>
                <pt idx="283">
                  <v>0.9994659342336155</v>
                </pt>
                <pt idx="284">
                  <v>0.9994659342336155</v>
                </pt>
                <pt idx="285">
                  <v>0.9994659342336155</v>
                </pt>
                <pt idx="286">
                  <v>0.9994659342336155</v>
                </pt>
                <pt idx="287">
                  <v>0.9994659342336155</v>
                </pt>
                <pt idx="288">
                  <v>0.9994659342336155</v>
                </pt>
                <pt idx="289">
                  <v>0.9994659342336155</v>
                </pt>
                <pt idx="290">
                  <v>0.9994659342336155</v>
                </pt>
                <pt idx="291">
                  <v>0.9994659342336155</v>
                </pt>
                <pt idx="292">
                  <v>0.9994659342336155</v>
                </pt>
                <pt idx="293">
                  <v>0.9994659342336155</v>
                </pt>
                <pt idx="294">
                  <v>0.9994659342336155</v>
                </pt>
                <pt idx="295">
                  <v>0.9994659342336155</v>
                </pt>
                <pt idx="296">
                  <v>0.9994659342336155</v>
                </pt>
                <pt idx="297">
                  <v>0.9994659342336155</v>
                </pt>
                <pt idx="298">
                  <v>0.9994659342336155</v>
                </pt>
                <pt idx="299">
                  <v>1.000991836423285</v>
                </pt>
                <pt idx="300">
                  <v>1.000991836423285</v>
                </pt>
                <pt idx="301">
                  <v>1.000991836423285</v>
                </pt>
                <pt idx="302">
                  <v>1.000991836423285</v>
                </pt>
                <pt idx="303">
                  <v>1.000991836423285</v>
                </pt>
                <pt idx="304">
                  <v>1.000991836423285</v>
                </pt>
                <pt idx="305">
                  <v>1.000991836423285</v>
                </pt>
                <pt idx="306">
                  <v>1.000991836423285</v>
                </pt>
                <pt idx="307">
                  <v>1.000991836423285</v>
                </pt>
                <pt idx="308">
                  <v>1.000991836423285</v>
                </pt>
                <pt idx="309">
                  <v>1.000991836423285</v>
                </pt>
                <pt idx="310">
                  <v>1.000991836423285</v>
                </pt>
                <pt idx="311">
                  <v>1.000991836423285</v>
                </pt>
                <pt idx="312">
                  <v>1.000991836423285</v>
                </pt>
                <pt idx="313">
                  <v>1.000991836423285</v>
                </pt>
                <pt idx="314">
                  <v>1.000991836423285</v>
                </pt>
                <pt idx="315">
                  <v>1.000991836423285</v>
                </pt>
                <pt idx="316">
                  <v>1.000991836423285</v>
                </pt>
                <pt idx="317">
                  <v>1.000991836423285</v>
                </pt>
                <pt idx="318">
                  <v>1.000991836423285</v>
                </pt>
                <pt idx="319">
                  <v>1.000991836423285</v>
                </pt>
                <pt idx="320">
                  <v>1.000991836423285</v>
                </pt>
                <pt idx="321">
                  <v>1.000991836423285</v>
                </pt>
                <pt idx="322">
                  <v>1.000991836423285</v>
                </pt>
                <pt idx="323">
                  <v>1.000991836423285</v>
                </pt>
                <pt idx="324">
                  <v>1.000991836423285</v>
                </pt>
                <pt idx="325">
                  <v>1.000991836423285</v>
                </pt>
                <pt idx="326">
                  <v>1.000991836423285</v>
                </pt>
                <pt idx="327">
                  <v>1.000991836423285</v>
                </pt>
                <pt idx="328">
                  <v>0.9994659342336155</v>
                </pt>
                <pt idx="329">
                  <v>0.9994659342336155</v>
                </pt>
                <pt idx="330">
                  <v>0.9994659342336155</v>
                </pt>
                <pt idx="331">
                  <v>0.9994659342336155</v>
                </pt>
                <pt idx="332">
                  <v>0.9994659342336155</v>
                </pt>
                <pt idx="333">
                  <v>0.9994659342336155</v>
                </pt>
                <pt idx="334">
                  <v>0.9994659342336155</v>
                </pt>
                <pt idx="335">
                  <v>0.9994659342336155</v>
                </pt>
                <pt idx="336">
                  <v>0.9994659342336155</v>
                </pt>
                <pt idx="337">
                  <v>0.9994659342336155</v>
                </pt>
                <pt idx="338">
                  <v>0.9994659342336155</v>
                </pt>
                <pt idx="339">
                  <v>0.9994659342336155</v>
                </pt>
                <pt idx="340">
                  <v>0.9994659342336155</v>
                </pt>
                <pt idx="341">
                  <v>0.9994659342336155</v>
                </pt>
                <pt idx="342">
                  <v>0.9994659342336155</v>
                </pt>
                <pt idx="343">
                  <v>0.9994659342336155</v>
                </pt>
                <pt idx="344">
                  <v>0.9994659342336155</v>
                </pt>
                <pt idx="345">
                  <v>0.9994659342336155</v>
                </pt>
                <pt idx="346">
                  <v>0.9994659342336155</v>
                </pt>
                <pt idx="347">
                  <v>0.9994659342336155</v>
                </pt>
                <pt idx="348">
                  <v>0.9994659342336155</v>
                </pt>
                <pt idx="349">
                  <v>0.9994659342336155</v>
                </pt>
                <pt idx="350">
                  <v>0.9994659342336155</v>
                </pt>
                <pt idx="351">
                  <v>0.9994659342336155</v>
                </pt>
                <pt idx="352">
                  <v>0.9994659342336155</v>
                </pt>
                <pt idx="353">
                  <v>0.9994659342336155</v>
                </pt>
                <pt idx="354">
                  <v>0.9994659342336155</v>
                </pt>
                <pt idx="355">
                  <v>1.000991836423285</v>
                </pt>
                <pt idx="356">
                  <v>1.000991836423285</v>
                </pt>
                <pt idx="357">
                  <v>1.000991836423285</v>
                </pt>
                <pt idx="358">
                  <v>1.000991836423285</v>
                </pt>
                <pt idx="359">
                  <v>1.000991836423285</v>
                </pt>
                <pt idx="360">
                  <v>1.000991836423285</v>
                </pt>
                <pt idx="361">
                  <v>1.000991836423285</v>
                </pt>
                <pt idx="362">
                  <v>1.000991836423285</v>
                </pt>
                <pt idx="363">
                  <v>1.000991836423285</v>
                </pt>
                <pt idx="364">
                  <v>1.000991836423285</v>
                </pt>
                <pt idx="365">
                  <v>1.000991836423285</v>
                </pt>
                <pt idx="366">
                  <v>1.000991836423285</v>
                </pt>
                <pt idx="367">
                  <v>1.000991836423285</v>
                </pt>
                <pt idx="368">
                  <v>1.000991836423285</v>
                </pt>
                <pt idx="369">
                  <v>1.000991836423285</v>
                </pt>
                <pt idx="370">
                  <v>1.000991836423285</v>
                </pt>
                <pt idx="371">
                  <v>1.000991836423285</v>
                </pt>
                <pt idx="372">
                  <v>1.000991836423285</v>
                </pt>
                <pt idx="373">
                  <v>1.000991836423285</v>
                </pt>
                <pt idx="374">
                  <v>1.000991836423285</v>
                </pt>
                <pt idx="375">
                  <v>1.000991836423285</v>
                </pt>
                <pt idx="376">
                  <v>1.000991836423285</v>
                </pt>
                <pt idx="377">
                  <v>1.000991836423285</v>
                </pt>
                <pt idx="378">
                  <v>1.000991836423285</v>
                </pt>
                <pt idx="379">
                  <v>1.000991836423285</v>
                </pt>
                <pt idx="380">
                  <v>1.000991836423285</v>
                </pt>
                <pt idx="381">
                  <v>1.000991836423285</v>
                </pt>
                <pt idx="382">
                  <v>1.000991836423285</v>
                </pt>
                <pt idx="383">
                  <v>0.9994659342336155</v>
                </pt>
                <pt idx="384">
                  <v>0.9994659342336155</v>
                </pt>
                <pt idx="385">
                  <v>0.9994659342336155</v>
                </pt>
                <pt idx="386">
                  <v>0.9994659342336155</v>
                </pt>
                <pt idx="387">
                  <v>0.9994659342336155</v>
                </pt>
                <pt idx="388">
                  <v>0.9994659342336155</v>
                </pt>
                <pt idx="389">
                  <v>0.9994659342336155</v>
                </pt>
                <pt idx="390">
                  <v>0.9994659342336155</v>
                </pt>
                <pt idx="391">
                  <v>0.9994659342336155</v>
                </pt>
                <pt idx="392">
                  <v>0.9994659342336155</v>
                </pt>
                <pt idx="393">
                  <v>0.9994659342336155</v>
                </pt>
                <pt idx="394">
                  <v>0.9994659342336155</v>
                </pt>
                <pt idx="395">
                  <v>0.9994659342336155</v>
                </pt>
                <pt idx="396">
                  <v>0.9994659342336155</v>
                </pt>
                <pt idx="397">
                  <v>0.9994659342336155</v>
                </pt>
                <pt idx="398">
                  <v>0.9994659342336155</v>
                </pt>
                <pt idx="399">
                  <v>0.9994659342336155</v>
                </pt>
                <pt idx="400">
                  <v>0.9994659342336155</v>
                </pt>
                <pt idx="401">
                  <v>0.9994659342336155</v>
                </pt>
                <pt idx="402">
                  <v>0.9994659342336155</v>
                </pt>
                <pt idx="403">
                  <v>0.9994659342336155</v>
                </pt>
                <pt idx="404">
                  <v>0.9994659342336155</v>
                </pt>
                <pt idx="405">
                  <v>0.9994659342336155</v>
                </pt>
                <pt idx="406">
                  <v>0.9994659342336155</v>
                </pt>
                <pt idx="407">
                  <v>0.9994659342336155</v>
                </pt>
                <pt idx="408">
                  <v>0.9994659342336155</v>
                </pt>
                <pt idx="409">
                  <v>0.9994659342336155</v>
                </pt>
                <pt idx="410">
                  <v>1.000991836423285</v>
                </pt>
                <pt idx="411">
                  <v>1.000991836423285</v>
                </pt>
                <pt idx="412">
                  <v>1.000991836423285</v>
                </pt>
                <pt idx="413">
                  <v>1.000991836423285</v>
                </pt>
                <pt idx="414">
                  <v>1.000991836423285</v>
                </pt>
                <pt idx="415">
                  <v>1.000991836423285</v>
                </pt>
                <pt idx="416">
                  <v>1.000991836423285</v>
                </pt>
                <pt idx="417">
                  <v>1.000991836423285</v>
                </pt>
                <pt idx="418">
                  <v>1.000991836423285</v>
                </pt>
                <pt idx="419">
                  <v>1.000991836423285</v>
                </pt>
                <pt idx="420">
                  <v>1.000991836423285</v>
                </pt>
                <pt idx="421">
                  <v>1.000991836423285</v>
                </pt>
                <pt idx="422">
                  <v>1.000991836423285</v>
                </pt>
                <pt idx="423">
                  <v>1.000991836423285</v>
                </pt>
                <pt idx="424">
                  <v>1.000991836423285</v>
                </pt>
                <pt idx="425">
                  <v>1.000991836423285</v>
                </pt>
                <pt idx="426">
                  <v>1.000991836423285</v>
                </pt>
                <pt idx="427">
                  <v>1.000991836423285</v>
                </pt>
                <pt idx="428">
                  <v>1.000991836423285</v>
                </pt>
                <pt idx="429">
                  <v>1.000991836423285</v>
                </pt>
                <pt idx="430">
                  <v>1.000991836423285</v>
                </pt>
                <pt idx="431">
                  <v>1.000991836423285</v>
                </pt>
                <pt idx="432">
                  <v>1.000991836423285</v>
                </pt>
                <pt idx="433">
                  <v>1.000991836423285</v>
                </pt>
                <pt idx="434">
                  <v>1.000991836423285</v>
                </pt>
                <pt idx="435">
                  <v>1.000991836423285</v>
                </pt>
                <pt idx="436">
                  <v>1.000991836423285</v>
                </pt>
                <pt idx="437">
                  <v>0.9994659342336155</v>
                </pt>
                <pt idx="438">
                  <v>0.9994659342336155</v>
                </pt>
                <pt idx="439">
                  <v>0.9994659342336155</v>
                </pt>
                <pt idx="440">
                  <v>0.9994659342336155</v>
                </pt>
                <pt idx="441">
                  <v>0.9994659342336155</v>
                </pt>
                <pt idx="442">
                  <v>0.9994659342336155</v>
                </pt>
                <pt idx="443">
                  <v>0.9994659342336155</v>
                </pt>
                <pt idx="444">
                  <v>0.9994659342336155</v>
                </pt>
                <pt idx="445">
                  <v>0.9994659342336155</v>
                </pt>
                <pt idx="446">
                  <v>0.9994659342336155</v>
                </pt>
                <pt idx="447">
                  <v>0.9994659342336155</v>
                </pt>
                <pt idx="448">
                  <v>0.9994659342336155</v>
                </pt>
                <pt idx="449">
                  <v>0.9994659342336155</v>
                </pt>
                <pt idx="450">
                  <v>0.9994659342336155</v>
                </pt>
                <pt idx="451">
                  <v>0.9994659342336155</v>
                </pt>
                <pt idx="452">
                  <v>0.9994659342336155</v>
                </pt>
                <pt idx="453">
                  <v>0.9994659342336155</v>
                </pt>
                <pt idx="454">
                  <v>0.9994659342336155</v>
                </pt>
                <pt idx="455">
                  <v>0.9994659342336155</v>
                </pt>
                <pt idx="456">
                  <v>0.9994659342336155</v>
                </pt>
                <pt idx="457">
                  <v>0.9994659342336155</v>
                </pt>
                <pt idx="458">
                  <v>0.9994659342336155</v>
                </pt>
                <pt idx="459">
                  <v>0.9994659342336155</v>
                </pt>
                <pt idx="460">
                  <v>0.9994659342336155</v>
                </pt>
                <pt idx="461">
                  <v>0.9994659342336155</v>
                </pt>
                <pt idx="462">
                  <v>0.9994659342336155</v>
                </pt>
                <pt idx="463">
                  <v>0.9994659342336155</v>
                </pt>
                <pt idx="464">
                  <v>1.000991836423285</v>
                </pt>
                <pt idx="465">
                  <v>1.000991836423285</v>
                </pt>
                <pt idx="466">
                  <v>1.000991836423285</v>
                </pt>
                <pt idx="467">
                  <v>1.000991836423285</v>
                </pt>
                <pt idx="468">
                  <v>1.000991836423285</v>
                </pt>
                <pt idx="469">
                  <v>1.000991836423285</v>
                </pt>
                <pt idx="470">
                  <v>1.000991836423285</v>
                </pt>
                <pt idx="471">
                  <v>1.000991836423285</v>
                </pt>
                <pt idx="472">
                  <v>1.000991836423285</v>
                </pt>
                <pt idx="473">
                  <v>1.000991836423285</v>
                </pt>
                <pt idx="474">
                  <v>1.000991836423285</v>
                </pt>
                <pt idx="475">
                  <v>1.000991836423285</v>
                </pt>
                <pt idx="476">
                  <v>1.000991836423285</v>
                </pt>
                <pt idx="477">
                  <v>1.000991836423285</v>
                </pt>
                <pt idx="478">
                  <v>1.000991836423285</v>
                </pt>
                <pt idx="479">
                  <v>1.000991836423285</v>
                </pt>
                <pt idx="480">
                  <v>1.000991836423285</v>
                </pt>
                <pt idx="481">
                  <v>1.000991836423285</v>
                </pt>
                <pt idx="482">
                  <v>1.000991836423285</v>
                </pt>
                <pt idx="483">
                  <v>1.000991836423285</v>
                </pt>
                <pt idx="484">
                  <v>1.000991836423285</v>
                </pt>
                <pt idx="485">
                  <v>1.000991836423285</v>
                </pt>
                <pt idx="486">
                  <v>1.000991836423285</v>
                </pt>
                <pt idx="487">
                  <v>1.000991836423285</v>
                </pt>
                <pt idx="488">
                  <v>1.000991836423285</v>
                </pt>
                <pt idx="489">
                  <v>1.000991836423285</v>
                </pt>
                <pt idx="490">
                  <v>1.000991836423285</v>
                </pt>
                <pt idx="491">
                  <v>0.9994659342336155</v>
                </pt>
                <pt idx="492">
                  <v>0.9994659342336155</v>
                </pt>
                <pt idx="493">
                  <v>0.9994659342336155</v>
                </pt>
                <pt idx="494">
                  <v>0.9994659342336155</v>
                </pt>
                <pt idx="495">
                  <v>0.9994659342336155</v>
                </pt>
                <pt idx="496">
                  <v>0.9994659342336155</v>
                </pt>
                <pt idx="497">
                  <v>0.9994659342336155</v>
                </pt>
                <pt idx="498">
                  <v>0.9994659342336155</v>
                </pt>
                <pt idx="499">
                  <v>0.9994659342336155</v>
                </pt>
                <pt idx="500">
                  <v>0.9994659342336155</v>
                </pt>
                <pt idx="501">
                  <v>0.9994659342336155</v>
                </pt>
                <pt idx="502">
                  <v>0.9994659342336155</v>
                </pt>
                <pt idx="503">
                  <v>0.9994659342336155</v>
                </pt>
                <pt idx="504">
                  <v>0.9994659342336155</v>
                </pt>
                <pt idx="505">
                  <v>0.9994659342336155</v>
                </pt>
                <pt idx="506">
                  <v>0.9994659342336155</v>
                </pt>
                <pt idx="507">
                  <v>0.9994659342336155</v>
                </pt>
                <pt idx="508">
                  <v>0.9994659342336155</v>
                </pt>
                <pt idx="509">
                  <v>0.9994659342336155</v>
                </pt>
                <pt idx="510">
                  <v>0.9994659342336155</v>
                </pt>
                <pt idx="511">
                  <v>0.9994659342336155</v>
                </pt>
                <pt idx="512">
                  <v>0.9994659342336155</v>
                </pt>
                <pt idx="513">
                  <v>0.9994659342336155</v>
                </pt>
                <pt idx="514">
                  <v>0.9994659342336155</v>
                </pt>
                <pt idx="515">
                  <v>0.9994659342336155</v>
                </pt>
                <pt idx="516">
                  <v>0.9994659342336155</v>
                </pt>
                <pt idx="517">
                  <v>0.9994659342336155</v>
                </pt>
                <pt idx="518">
                  <v>1.000991836423285</v>
                </pt>
                <pt idx="519">
                  <v>1.000991836423285</v>
                </pt>
                <pt idx="520">
                  <v>1.000991836423285</v>
                </pt>
                <pt idx="521">
                  <v>1.000991836423285</v>
                </pt>
                <pt idx="522">
                  <v>1.000991836423285</v>
                </pt>
                <pt idx="523">
                  <v>1.000991836423285</v>
                </pt>
                <pt idx="524">
                  <v>1.000991836423285</v>
                </pt>
                <pt idx="525">
                  <v>1.000991836423285</v>
                </pt>
                <pt idx="526">
                  <v>1.000991836423285</v>
                </pt>
                <pt idx="527">
                  <v>1.000991836423285</v>
                </pt>
                <pt idx="528">
                  <v>1.000991836423285</v>
                </pt>
                <pt idx="529">
                  <v>1.000991836423285</v>
                </pt>
                <pt idx="530">
                  <v>1.000991836423285</v>
                </pt>
                <pt idx="531">
                  <v>1.000991836423285</v>
                </pt>
                <pt idx="532">
                  <v>1.000991836423285</v>
                </pt>
                <pt idx="533">
                  <v>1.000991836423285</v>
                </pt>
                <pt idx="534">
                  <v>1.000991836423285</v>
                </pt>
                <pt idx="535">
                  <v>1.000991836423285</v>
                </pt>
                <pt idx="536">
                  <v>1.000991836423285</v>
                </pt>
                <pt idx="537">
                  <v>1.000991836423285</v>
                </pt>
                <pt idx="538">
                  <v>1.000991836423285</v>
                </pt>
                <pt idx="539">
                  <v>1.000991836423285</v>
                </pt>
                <pt idx="540">
                  <v>1.000991836423285</v>
                </pt>
                <pt idx="541">
                  <v>1.000991836423285</v>
                </pt>
                <pt idx="542">
                  <v>1.000991836423285</v>
                </pt>
                <pt idx="543">
                  <v>1.000991836423285</v>
                </pt>
                <pt idx="544">
                  <v>1.000991836423285</v>
                </pt>
                <pt idx="545">
                  <v>0.9994659342336155</v>
                </pt>
                <pt idx="546">
                  <v>0.9994659342336155</v>
                </pt>
                <pt idx="547">
                  <v>0.9994659342336155</v>
                </pt>
                <pt idx="548">
                  <v>0.9994659342336155</v>
                </pt>
                <pt idx="549">
                  <v>0.9994659342336155</v>
                </pt>
                <pt idx="550">
                  <v>0.9994659342336155</v>
                </pt>
                <pt idx="551">
                  <v>0.9994659342336155</v>
                </pt>
                <pt idx="552">
                  <v>0.9994659342336155</v>
                </pt>
                <pt idx="553">
                  <v>0.9994659342336155</v>
                </pt>
                <pt idx="554">
                  <v>0.9994659342336155</v>
                </pt>
                <pt idx="555">
                  <v>0.9994659342336155</v>
                </pt>
                <pt idx="556">
                  <v>0.9994659342336155</v>
                </pt>
                <pt idx="557">
                  <v>0.9994659342336155</v>
                </pt>
                <pt idx="558">
                  <v>0.9994659342336155</v>
                </pt>
                <pt idx="559">
                  <v>0.9994659342336155</v>
                </pt>
                <pt idx="560">
                  <v>0.9994659342336155</v>
                </pt>
                <pt idx="561">
                  <v>0.9994659342336155</v>
                </pt>
                <pt idx="562">
                  <v>0.9994659342336155</v>
                </pt>
                <pt idx="563">
                  <v>0.9994659342336155</v>
                </pt>
                <pt idx="564">
                  <v>0.9994659342336155</v>
                </pt>
                <pt idx="565">
                  <v>0.9994659342336155</v>
                </pt>
                <pt idx="566">
                  <v>0.9994659342336155</v>
                </pt>
                <pt idx="567">
                  <v>0.9994659342336155</v>
                </pt>
                <pt idx="568">
                  <v>0.9994659342336155</v>
                </pt>
                <pt idx="569">
                  <v>0.9994659342336155</v>
                </pt>
                <pt idx="570">
                  <v>0.9994659342336155</v>
                </pt>
                <pt idx="571">
                  <v>0.9994659342336155</v>
                </pt>
                <pt idx="572">
                  <v>1.000991836423285</v>
                </pt>
                <pt idx="573">
                  <v>1.000991836423285</v>
                </pt>
                <pt idx="574">
                  <v>1.000991836423285</v>
                </pt>
                <pt idx="575">
                  <v>1.000991836423285</v>
                </pt>
                <pt idx="576">
                  <v>1.000991836423285</v>
                </pt>
                <pt idx="577">
                  <v>1.000991836423285</v>
                </pt>
                <pt idx="578">
                  <v>1.000991836423285</v>
                </pt>
                <pt idx="579">
                  <v>1.000991836423285</v>
                </pt>
                <pt idx="580">
                  <v>1.000991836423285</v>
                </pt>
                <pt idx="581">
                  <v>1.000991836423285</v>
                </pt>
                <pt idx="582">
                  <v>1.000991836423285</v>
                </pt>
                <pt idx="583">
                  <v>1.000991836423285</v>
                </pt>
                <pt idx="584">
                  <v>1.000991836423285</v>
                </pt>
                <pt idx="585">
                  <v>1.000991836423285</v>
                </pt>
                <pt idx="586">
                  <v>1.000991836423285</v>
                </pt>
                <pt idx="587">
                  <v>1.000991836423285</v>
                </pt>
                <pt idx="588">
                  <v>1.000991836423285</v>
                </pt>
                <pt idx="589">
                  <v>1.000991836423285</v>
                </pt>
                <pt idx="590">
                  <v>1.000991836423285</v>
                </pt>
                <pt idx="591">
                  <v>1.000991836423285</v>
                </pt>
                <pt idx="592">
                  <v>1.000991836423285</v>
                </pt>
                <pt idx="593">
                  <v>1.000991836423285</v>
                </pt>
                <pt idx="594">
                  <v>1.000991836423285</v>
                </pt>
                <pt idx="595">
                  <v>1.000991836423285</v>
                </pt>
                <pt idx="596">
                  <v>1.000991836423285</v>
                </pt>
                <pt idx="597">
                  <v>1.000991836423285</v>
                </pt>
                <pt idx="598">
                  <v>1.000991836423285</v>
                </pt>
                <pt idx="599">
                  <v>0.9994659342336155</v>
                </pt>
                <pt idx="600">
                  <v>0.9994659342336155</v>
                </pt>
                <pt idx="601">
                  <v>0.9994659342336155</v>
                </pt>
                <pt idx="602">
                  <v>0.9994659342336155</v>
                </pt>
                <pt idx="603">
                  <v>0.9994659342336155</v>
                </pt>
                <pt idx="604">
                  <v>0.9994659342336155</v>
                </pt>
                <pt idx="605">
                  <v>0.9994659342336155</v>
                </pt>
                <pt idx="606">
                  <v>0.9994659342336155</v>
                </pt>
                <pt idx="607">
                  <v>0.9994659342336155</v>
                </pt>
                <pt idx="608">
                  <v>0.9994659342336155</v>
                </pt>
                <pt idx="609">
                  <v>0.9994659342336155</v>
                </pt>
                <pt idx="610">
                  <v>0.9994659342336155</v>
                </pt>
                <pt idx="611">
                  <v>0.9994659342336155</v>
                </pt>
                <pt idx="612">
                  <v>0.9994659342336155</v>
                </pt>
                <pt idx="613">
                  <v>0.9994659342336155</v>
                </pt>
                <pt idx="614">
                  <v>0.9994659342336155</v>
                </pt>
                <pt idx="615">
                  <v>0.9994659342336155</v>
                </pt>
                <pt idx="616">
                  <v>0.9994659342336155</v>
                </pt>
                <pt idx="617">
                  <v>0.9994659342336155</v>
                </pt>
                <pt idx="618">
                  <v>0.9994659342336155</v>
                </pt>
                <pt idx="619">
                  <v>0.9994659342336155</v>
                </pt>
                <pt idx="620">
                  <v>0.9994659342336155</v>
                </pt>
                <pt idx="621">
                  <v>0.9994659342336155</v>
                </pt>
                <pt idx="622">
                  <v>0.9994659342336155</v>
                </pt>
                <pt idx="623">
                  <v>0.9994659342336155</v>
                </pt>
                <pt idx="624">
                  <v>0.9994659342336155</v>
                </pt>
                <pt idx="625">
                  <v>0.9994659342336155</v>
                </pt>
                <pt idx="626">
                  <v>1.000991836423285</v>
                </pt>
                <pt idx="627">
                  <v>1.000991836423285</v>
                </pt>
                <pt idx="628">
                  <v>1.000991836423285</v>
                </pt>
                <pt idx="629">
                  <v>1.000991836423285</v>
                </pt>
                <pt idx="630">
                  <v>1.000991836423285</v>
                </pt>
                <pt idx="631">
                  <v>1.000991836423285</v>
                </pt>
                <pt idx="632">
                  <v>1.000991836423285</v>
                </pt>
                <pt idx="633">
                  <v>1.000991836423285</v>
                </pt>
                <pt idx="634">
                  <v>1.000991836423285</v>
                </pt>
                <pt idx="635">
                  <v>1.000991836423285</v>
                </pt>
                <pt idx="636">
                  <v>1.000991836423285</v>
                </pt>
                <pt idx="637">
                  <v>1.000991836423285</v>
                </pt>
                <pt idx="638">
                  <v>1.000991836423285</v>
                </pt>
                <pt idx="639">
                  <v>1.000991836423285</v>
                </pt>
                <pt idx="640">
                  <v>1.000991836423285</v>
                </pt>
                <pt idx="641">
                  <v>1.000991836423285</v>
                </pt>
                <pt idx="642">
                  <v>1.000991836423285</v>
                </pt>
                <pt idx="643">
                  <v>1.000991836423285</v>
                </pt>
                <pt idx="644">
                  <v>1.000991836423285</v>
                </pt>
                <pt idx="645">
                  <v>1.000991836423285</v>
                </pt>
                <pt idx="646">
                  <v>1.000991836423285</v>
                </pt>
                <pt idx="647">
                  <v>1.000991836423285</v>
                </pt>
                <pt idx="648">
                  <v>1.000991836423285</v>
                </pt>
                <pt idx="649">
                  <v>1.000991836423285</v>
                </pt>
                <pt idx="650">
                  <v>1.000991836423285</v>
                </pt>
                <pt idx="651">
                  <v>1.000991836423285</v>
                </pt>
                <pt idx="652">
                  <v>1.000991836423285</v>
                </pt>
                <pt idx="653">
                  <v>0.9994659342336155</v>
                </pt>
                <pt idx="654">
                  <v>0.9994659342336155</v>
                </pt>
                <pt idx="655">
                  <v>0.9994659342336155</v>
                </pt>
                <pt idx="656">
                  <v>0.9994659342336155</v>
                </pt>
                <pt idx="657">
                  <v>0.9994659342336155</v>
                </pt>
                <pt idx="658">
                  <v>0.9994659342336155</v>
                </pt>
                <pt idx="659">
                  <v>0.9994659342336155</v>
                </pt>
                <pt idx="660">
                  <v>0.9994659342336155</v>
                </pt>
                <pt idx="661">
                  <v>0.9994659342336155</v>
                </pt>
                <pt idx="662">
                  <v>0.9994659342336155</v>
                </pt>
                <pt idx="663">
                  <v>0.9994659342336155</v>
                </pt>
                <pt idx="664">
                  <v>0.9994659342336155</v>
                </pt>
                <pt idx="665">
                  <v>0.9994659342336155</v>
                </pt>
                <pt idx="666">
                  <v>0.9994659342336155</v>
                </pt>
                <pt idx="667">
                  <v>0.9994659342336155</v>
                </pt>
                <pt idx="668">
                  <v>0.9994659342336155</v>
                </pt>
                <pt idx="669">
                  <v>0.9994659342336155</v>
                </pt>
                <pt idx="670">
                  <v>0.9994659342336155</v>
                </pt>
                <pt idx="671">
                  <v>0.9994659342336155</v>
                </pt>
                <pt idx="672">
                  <v>0.9994659342336155</v>
                </pt>
                <pt idx="673">
                  <v>0.9994659342336155</v>
                </pt>
                <pt idx="674">
                  <v>0.9994659342336155</v>
                </pt>
                <pt idx="675">
                  <v>0.9994659342336155</v>
                </pt>
                <pt idx="676">
                  <v>0.9994659342336155</v>
                </pt>
                <pt idx="677">
                  <v>0.9994659342336155</v>
                </pt>
                <pt idx="678">
                  <v>0.9994659342336155</v>
                </pt>
                <pt idx="679">
                  <v>0.9994659342336155</v>
                </pt>
                <pt idx="680">
                  <v>1.000991836423285</v>
                </pt>
                <pt idx="681">
                  <v>1.000991836423285</v>
                </pt>
                <pt idx="682">
                  <v>1.000991836423285</v>
                </pt>
                <pt idx="683">
                  <v>1.000991836423285</v>
                </pt>
                <pt idx="684">
                  <v>1.000991836423285</v>
                </pt>
                <pt idx="685">
                  <v>1.000991836423285</v>
                </pt>
                <pt idx="686">
                  <v>1.000991836423285</v>
                </pt>
                <pt idx="687">
                  <v>1.000991836423285</v>
                </pt>
                <pt idx="688">
                  <v>1.000991836423285</v>
                </pt>
                <pt idx="689">
                  <v>1.000991836423285</v>
                </pt>
                <pt idx="690">
                  <v>1.000991836423285</v>
                </pt>
                <pt idx="691">
                  <v>1.000991836423285</v>
                </pt>
                <pt idx="692">
                  <v>1.000991836423285</v>
                </pt>
                <pt idx="693">
                  <v>1.000991836423285</v>
                </pt>
                <pt idx="694">
                  <v>1.000991836423285</v>
                </pt>
                <pt idx="695">
                  <v>1.000991836423285</v>
                </pt>
                <pt idx="696">
                  <v>1.000991836423285</v>
                </pt>
                <pt idx="697">
                  <v>1.000991836423285</v>
                </pt>
                <pt idx="698">
                  <v>1.000991836423285</v>
                </pt>
                <pt idx="699">
                  <v>1.000991836423285</v>
                </pt>
                <pt idx="700">
                  <v>1.000991836423285</v>
                </pt>
                <pt idx="701">
                  <v>1.000991836423285</v>
                </pt>
                <pt idx="702">
                  <v>1.000991836423285</v>
                </pt>
                <pt idx="703">
                  <v>1.000991836423285</v>
                </pt>
                <pt idx="704">
                  <v>1.000991836423285</v>
                </pt>
                <pt idx="705">
                  <v>1.000991836423285</v>
                </pt>
                <pt idx="706">
                  <v>1.000991836423285</v>
                </pt>
                <pt idx="707">
                  <v>0.9994659342336155</v>
                </pt>
                <pt idx="708">
                  <v>0.9994659342336155</v>
                </pt>
                <pt idx="709">
                  <v>0.9994659342336155</v>
                </pt>
                <pt idx="710">
                  <v>0.9994659342336155</v>
                </pt>
                <pt idx="711">
                  <v>0.9994659342336155</v>
                </pt>
                <pt idx="712">
                  <v>0.9994659342336155</v>
                </pt>
                <pt idx="713">
                  <v>0.9994659342336155</v>
                </pt>
                <pt idx="714">
                  <v>0.9994659342336155</v>
                </pt>
                <pt idx="715">
                  <v>0.9994659342336155</v>
                </pt>
                <pt idx="716">
                  <v>0.9994659342336155</v>
                </pt>
                <pt idx="717">
                  <v>0.9994659342336155</v>
                </pt>
                <pt idx="718">
                  <v>0.9994659342336155</v>
                </pt>
                <pt idx="719">
                  <v>0.9994659342336155</v>
                </pt>
                <pt idx="720">
                  <v>0.9994659342336155</v>
                </pt>
                <pt idx="721">
                  <v>0.9994659342336155</v>
                </pt>
                <pt idx="722">
                  <v>0.9994659342336155</v>
                </pt>
                <pt idx="723">
                  <v>0.9994659342336155</v>
                </pt>
                <pt idx="724">
                  <v>0.9994659342336155</v>
                </pt>
                <pt idx="725">
                  <v>0.9994659342336155</v>
                </pt>
                <pt idx="726">
                  <v>0.9994659342336155</v>
                </pt>
                <pt idx="727">
                  <v>0.9994659342336155</v>
                </pt>
                <pt idx="728">
                  <v>0.9994659342336155</v>
                </pt>
                <pt idx="729">
                  <v>0.9994659342336155</v>
                </pt>
                <pt idx="730">
                  <v>0.9994659342336155</v>
                </pt>
                <pt idx="731">
                  <v>0.9994659342336155</v>
                </pt>
                <pt idx="732">
                  <v>0.9994659342336155</v>
                </pt>
                <pt idx="733">
                  <v>0.9994659342336155</v>
                </pt>
                <pt idx="734">
                  <v>1.000991836423285</v>
                </pt>
                <pt idx="735">
                  <v>1.000991836423285</v>
                </pt>
                <pt idx="736">
                  <v>1.000991836423285</v>
                </pt>
                <pt idx="737">
                  <v>1.000991836423285</v>
                </pt>
                <pt idx="738">
                  <v>1.000991836423285</v>
                </pt>
                <pt idx="739">
                  <v>1.000991836423285</v>
                </pt>
                <pt idx="740">
                  <v>1.000991836423285</v>
                </pt>
                <pt idx="741">
                  <v>1.000991836423285</v>
                </pt>
                <pt idx="742">
                  <v>1.000991836423285</v>
                </pt>
                <pt idx="743">
                  <v>1.000991836423285</v>
                </pt>
                <pt idx="744">
                  <v>1.000991836423285</v>
                </pt>
                <pt idx="745">
                  <v>1.000991836423285</v>
                </pt>
                <pt idx="746">
                  <v>1.000991836423285</v>
                </pt>
                <pt idx="747">
                  <v>1.000991836423285</v>
                </pt>
                <pt idx="748">
                  <v>1.000991836423285</v>
                </pt>
                <pt idx="749">
                  <v>1.000991836423285</v>
                </pt>
                <pt idx="750">
                  <v>1.000991836423285</v>
                </pt>
                <pt idx="751">
                  <v>1.000991836423285</v>
                </pt>
                <pt idx="752">
                  <v>1.000991836423285</v>
                </pt>
                <pt idx="753">
                  <v>1.000991836423285</v>
                </pt>
                <pt idx="754">
                  <v>1.000991836423285</v>
                </pt>
                <pt idx="755">
                  <v>1.000991836423285</v>
                </pt>
                <pt idx="756">
                  <v>1.000991836423285</v>
                </pt>
                <pt idx="757">
                  <v>1.000991836423285</v>
                </pt>
                <pt idx="758">
                  <v>1.000991836423285</v>
                </pt>
                <pt idx="759">
                  <v>1.000991836423285</v>
                </pt>
                <pt idx="760">
                  <v>1.000991836423285</v>
                </pt>
                <pt idx="761">
                  <v>0.9994659342336155</v>
                </pt>
                <pt idx="762">
                  <v>0.9994659342336155</v>
                </pt>
                <pt idx="763">
                  <v>0.9994659342336155</v>
                </pt>
                <pt idx="764">
                  <v>0.9994659342336155</v>
                </pt>
                <pt idx="765">
                  <v>0.9994659342336155</v>
                </pt>
                <pt idx="766">
                  <v>0.9994659342336155</v>
                </pt>
                <pt idx="767">
                  <v>0.9994659342336155</v>
                </pt>
                <pt idx="768">
                  <v>0.9994659342336155</v>
                </pt>
                <pt idx="769">
                  <v>0.9994659342336155</v>
                </pt>
                <pt idx="770">
                  <v>0.9994659342336155</v>
                </pt>
                <pt idx="771">
                  <v>0.9994659342336155</v>
                </pt>
                <pt idx="772">
                  <v>0.9994659342336155</v>
                </pt>
                <pt idx="773">
                  <v>0.9994659342336155</v>
                </pt>
                <pt idx="774">
                  <v>0.9994659342336155</v>
                </pt>
                <pt idx="775">
                  <v>0.9994659342336155</v>
                </pt>
                <pt idx="776">
                  <v>0.9994659342336155</v>
                </pt>
                <pt idx="777">
                  <v>0.9994659342336155</v>
                </pt>
                <pt idx="778">
                  <v>0.9994659342336155</v>
                </pt>
                <pt idx="779">
                  <v>0.9994659342336155</v>
                </pt>
                <pt idx="780">
                  <v>0.9994659342336155</v>
                </pt>
                <pt idx="781">
                  <v>0.9994659342336155</v>
                </pt>
                <pt idx="782">
                  <v>0.9994659342336155</v>
                </pt>
                <pt idx="783">
                  <v>0.9994659342336155</v>
                </pt>
                <pt idx="784">
                  <v>0.9994659342336155</v>
                </pt>
                <pt idx="785">
                  <v>0.9994659342336155</v>
                </pt>
                <pt idx="786">
                  <v>0.9994659342336155</v>
                </pt>
                <pt idx="787">
                  <v>0.9994659342336155</v>
                </pt>
                <pt idx="788">
                  <v>0.9994659342336155</v>
                </pt>
                <pt idx="789">
                  <v>0.9994659342336155</v>
                </pt>
                <pt idx="790">
                  <v>0.9994659342336155</v>
                </pt>
                <pt idx="791">
                  <v>0.9994659342336155</v>
                </pt>
                <pt idx="792">
                  <v>0.9994659342336155</v>
                </pt>
                <pt idx="793">
                  <v>0.9994659342336155</v>
                </pt>
                <pt idx="794">
                  <v>0.9994659342336155</v>
                </pt>
                <pt idx="795">
                  <v>0.9994659342336155</v>
                </pt>
                <pt idx="796">
                  <v>0.9994659342336155</v>
                </pt>
                <pt idx="797">
                  <v>0.9994659342336155</v>
                </pt>
                <pt idx="798">
                  <v>0.9994659342336155</v>
                </pt>
                <pt idx="799">
                  <v>0.9994659342336155</v>
                </pt>
                <pt idx="800">
                  <v>0.9994659342336155</v>
                </pt>
                <pt idx="801">
                  <v>0.9994659342336155</v>
                </pt>
                <pt idx="802">
                  <v>0.9994659342336155</v>
                </pt>
                <pt idx="803">
                  <v>0.9994659342336155</v>
                </pt>
                <pt idx="804">
                  <v>0.9994659342336155</v>
                </pt>
                <pt idx="805">
                  <v>0.9994659342336155</v>
                </pt>
                <pt idx="806">
                  <v>0.9994659342336155</v>
                </pt>
                <pt idx="807">
                  <v>0.9994659342336155</v>
                </pt>
                <pt idx="808">
                  <v>0.9994659342336155</v>
                </pt>
                <pt idx="809">
                  <v>0.9994659342336155</v>
                </pt>
                <pt idx="810">
                  <v>0.9994659342336155</v>
                </pt>
                <pt idx="811">
                  <v>0.9994659342336155</v>
                </pt>
                <pt idx="812">
                  <v>0.9994659342336155</v>
                </pt>
                <pt idx="813">
                  <v>0.9994659342336155</v>
                </pt>
                <pt idx="814">
                  <v>0.9994659342336155</v>
                </pt>
                <pt idx="815">
                  <v>0.9994659342336155</v>
                </pt>
                <pt idx="816">
                  <v>0.9994659342336155</v>
                </pt>
                <pt idx="817">
                  <v>0.9994659342336155</v>
                </pt>
                <pt idx="818">
                  <v>0.9994659342336155</v>
                </pt>
                <pt idx="819">
                  <v>0.9994659342336155</v>
                </pt>
                <pt idx="820">
                  <v>0.9994659342336155</v>
                </pt>
                <pt idx="821">
                  <v>0.9994659342336155</v>
                </pt>
                <pt idx="822">
                  <v>0.9994659342336155</v>
                </pt>
                <pt idx="823">
                  <v>0.9994659342336155</v>
                </pt>
                <pt idx="824">
                  <v>0.9994659342336155</v>
                </pt>
                <pt idx="825">
                  <v>0.9994659342336155</v>
                </pt>
                <pt idx="826">
                  <v>0.9994659342336155</v>
                </pt>
                <pt idx="827">
                  <v>0.9994659342336155</v>
                </pt>
                <pt idx="828">
                  <v>0.9994659342336155</v>
                </pt>
                <pt idx="829">
                  <v>0.9994659342336155</v>
                </pt>
                <pt idx="830">
                  <v>0.9994659342336155</v>
                </pt>
                <pt idx="831">
                  <v>0.9994659342336155</v>
                </pt>
                <pt idx="832">
                  <v>0.9994659342336155</v>
                </pt>
                <pt idx="833">
                  <v>0.9994659342336155</v>
                </pt>
                <pt idx="834">
                  <v>0.9994659342336155</v>
                </pt>
                <pt idx="835">
                  <v>0.9994659342336155</v>
                </pt>
                <pt idx="836">
                  <v>0.9994659342336155</v>
                </pt>
                <pt idx="837">
                  <v>0.9994659342336155</v>
                </pt>
                <pt idx="838">
                  <v>0.9994659342336155</v>
                </pt>
                <pt idx="839">
                  <v>0.9994659342336155</v>
                </pt>
                <pt idx="840">
                  <v>0.9994659342336155</v>
                </pt>
                <pt idx="841">
                  <v>0.9994659342336155</v>
                </pt>
                <pt idx="842">
                  <v>0.9994659342336155</v>
                </pt>
                <pt idx="843">
                  <v>0.9994659342336155</v>
                </pt>
                <pt idx="844">
                  <v>0.9994659342336155</v>
                </pt>
                <pt idx="845">
                  <v>0.9994659342336155</v>
                </pt>
                <pt idx="846">
                  <v>0.9994659342336155</v>
                </pt>
                <pt idx="847">
                  <v>0.9994659342336155</v>
                </pt>
                <pt idx="848">
                  <v>0.9994659342336155</v>
                </pt>
                <pt idx="849">
                  <v>0.9994659342336155</v>
                </pt>
                <pt idx="850">
                  <v>0.9994659342336155</v>
                </pt>
                <pt idx="851">
                  <v>0.9994659342336155</v>
                </pt>
                <pt idx="852">
                  <v>0.9994659342336155</v>
                </pt>
                <pt idx="853">
                  <v>0.9994659342336155</v>
                </pt>
                <pt idx="854">
                  <v>0.9994659342336155</v>
                </pt>
                <pt idx="855">
                  <v>0.9994659342336155</v>
                </pt>
                <pt idx="856">
                  <v>0.9994659342336155</v>
                </pt>
                <pt idx="857">
                  <v>0.9994659342336155</v>
                </pt>
                <pt idx="858">
                  <v>0.9994659342336155</v>
                </pt>
                <pt idx="859">
                  <v>0.9994659342336155</v>
                </pt>
                <pt idx="860">
                  <v>0.9994659342336155</v>
                </pt>
                <pt idx="861">
                  <v>0.9994659342336155</v>
                </pt>
                <pt idx="862">
                  <v>0.9994659342336155</v>
                </pt>
                <pt idx="863">
                  <v>0.9994659342336155</v>
                </pt>
                <pt idx="864">
                  <v>0.9994659342336155</v>
                </pt>
                <pt idx="865">
                  <v>0.9994659342336155</v>
                </pt>
                <pt idx="866">
                  <v>0.9994659342336155</v>
                </pt>
                <pt idx="867">
                  <v>0.9994659342336155</v>
                </pt>
                <pt idx="868">
                  <v>0.9994659342336155</v>
                </pt>
                <pt idx="869">
                  <v>0.9994659342336155</v>
                </pt>
                <pt idx="870">
                  <v>0.9994659342336155</v>
                </pt>
                <pt idx="871">
                  <v>0.9994659342336155</v>
                </pt>
                <pt idx="872">
                  <v>0.9994659342336155</v>
                </pt>
                <pt idx="873">
                  <v>0.9994659342336155</v>
                </pt>
                <pt idx="874">
                  <v>0.9994659342336155</v>
                </pt>
                <pt idx="875">
                  <v>0.9994659342336155</v>
                </pt>
                <pt idx="876">
                  <v>0.9994659342336155</v>
                </pt>
                <pt idx="877">
                  <v>0.9994659342336155</v>
                </pt>
                <pt idx="878">
                  <v>0.9994659342336155</v>
                </pt>
                <pt idx="879">
                  <v>0.9994659342336155</v>
                </pt>
                <pt idx="880">
                  <v>0.9994659342336155</v>
                </pt>
                <pt idx="881">
                  <v>0.9994659342336155</v>
                </pt>
                <pt idx="882">
                  <v>0.9994659342336155</v>
                </pt>
                <pt idx="883">
                  <v>0.9994659342336155</v>
                </pt>
                <pt idx="884">
                  <v>0.9994659342336155</v>
                </pt>
                <pt idx="885">
                  <v>0.9994659342336155</v>
                </pt>
                <pt idx="886">
                  <v>0.9994659342336155</v>
                </pt>
                <pt idx="887">
                  <v>0.9994659342336155</v>
                </pt>
                <pt idx="888">
                  <v>0.9994659342336155</v>
                </pt>
                <pt idx="889">
                  <v>0.9994659342336155</v>
                </pt>
                <pt idx="890">
                  <v>0.9994659342336155</v>
                </pt>
                <pt idx="891">
                  <v>0.9994659342336155</v>
                </pt>
                <pt idx="892">
                  <v>0.9994659342336155</v>
                </pt>
                <pt idx="893">
                  <v>0.9994659342336155</v>
                </pt>
                <pt idx="894">
                  <v>0.9994659342336155</v>
                </pt>
                <pt idx="895">
                  <v>0.9994659342336155</v>
                </pt>
                <pt idx="896">
                  <v>0.9994659342336155</v>
                </pt>
                <pt idx="897">
                  <v>0.9994659342336155</v>
                </pt>
                <pt idx="898">
                  <v>0.9994659342336155</v>
                </pt>
                <pt idx="899">
                  <v>0.9994659342336155</v>
                </pt>
                <pt idx="900">
                  <v>0.9994659342336155</v>
                </pt>
                <pt idx="901">
                  <v>0.9994659342336155</v>
                </pt>
                <pt idx="902">
                  <v>0.9994659342336155</v>
                </pt>
                <pt idx="903">
                  <v>0.9994659342336155</v>
                </pt>
                <pt idx="904">
                  <v>0.9994659342336155</v>
                </pt>
                <pt idx="905">
                  <v>0.9994659342336155</v>
                </pt>
                <pt idx="906">
                  <v>0.9994659342336155</v>
                </pt>
                <pt idx="907">
                  <v>0.9994659342336155</v>
                </pt>
                <pt idx="908">
                  <v>0.9994659342336155</v>
                </pt>
                <pt idx="909">
                  <v>0.9994659342336155</v>
                </pt>
                <pt idx="910">
                  <v>0.9994659342336155</v>
                </pt>
                <pt idx="911">
                  <v>0.9994659342336155</v>
                </pt>
                <pt idx="912">
                  <v>0.9994659342336155</v>
                </pt>
                <pt idx="913">
                  <v>0.9994659342336155</v>
                </pt>
                <pt idx="914">
                  <v>0.9994659342336155</v>
                </pt>
                <pt idx="915">
                  <v>0.9994659342336155</v>
                </pt>
                <pt idx="916">
                  <v>0.9994659342336155</v>
                </pt>
                <pt idx="917">
                  <v>0.9994659342336155</v>
                </pt>
                <pt idx="918">
                  <v>0.9994659342336155</v>
                </pt>
                <pt idx="919">
                  <v>0.9994659342336155</v>
                </pt>
                <pt idx="920">
                  <v>0.9994659342336155</v>
                </pt>
                <pt idx="921">
                  <v>0.9994659342336155</v>
                </pt>
                <pt idx="922">
                  <v>0.9994659342336155</v>
                </pt>
                <pt idx="923">
                  <v>0.9994659342336155</v>
                </pt>
                <pt idx="924">
                  <v>0.9994659342336155</v>
                </pt>
                <pt idx="925">
                  <v>0.9994659342336155</v>
                </pt>
                <pt idx="926">
                  <v>0.9994659342336155</v>
                </pt>
                <pt idx="927">
                  <v>0.9994659342336155</v>
                </pt>
                <pt idx="928">
                  <v>0.9994659342336155</v>
                </pt>
                <pt idx="929">
                  <v>0.9994659342336155</v>
                </pt>
                <pt idx="930">
                  <v>0.9994659342336155</v>
                </pt>
                <pt idx="931">
                  <v>0.9994659342336155</v>
                </pt>
                <pt idx="932">
                  <v>0.9994659342336155</v>
                </pt>
                <pt idx="933">
                  <v>0.9994659342336155</v>
                </pt>
                <pt idx="934">
                  <v>0.9994659342336155</v>
                </pt>
                <pt idx="935">
                  <v>0.9994659342336155</v>
                </pt>
                <pt idx="936">
                  <v>0.9994659342336155</v>
                </pt>
                <pt idx="937">
                  <v>0.9994659342336155</v>
                </pt>
                <pt idx="938">
                  <v>0.9994659342336155</v>
                </pt>
                <pt idx="939">
                  <v>0.9994659342336155</v>
                </pt>
                <pt idx="940">
                  <v>0.9994659342336155</v>
                </pt>
                <pt idx="941">
                  <v>0.9994659342336155</v>
                </pt>
                <pt idx="942">
                  <v>0.9994659342336155</v>
                </pt>
                <pt idx="943">
                  <v>0.9994659342336155</v>
                </pt>
                <pt idx="944">
                  <v>0.9994659342336155</v>
                </pt>
                <pt idx="945">
                  <v>0.9994659342336155</v>
                </pt>
                <pt idx="946">
                  <v>0.9994659342336155</v>
                </pt>
                <pt idx="947">
                  <v>0.9994659342336155</v>
                </pt>
                <pt idx="948">
                  <v>0.9994659342336155</v>
                </pt>
                <pt idx="949">
                  <v>0.9994659342336155</v>
                </pt>
                <pt idx="950">
                  <v>0.9994659342336155</v>
                </pt>
                <pt idx="951">
                  <v>0.9994659342336155</v>
                </pt>
                <pt idx="952">
                  <v>0.9994659342336155</v>
                </pt>
                <pt idx="953">
                  <v>0.9994659342336155</v>
                </pt>
                <pt idx="954">
                  <v>0.9994659342336155</v>
                </pt>
                <pt idx="955">
                  <v>0.9994659342336155</v>
                </pt>
                <pt idx="956">
                  <v>0.9994659342336155</v>
                </pt>
                <pt idx="957">
                  <v>0.9994659342336155</v>
                </pt>
                <pt idx="958">
                  <v>0.9994659342336155</v>
                </pt>
                <pt idx="959">
                  <v>0.9994659342336155</v>
                </pt>
                <pt idx="960">
                  <v>0.9994659342336155</v>
                </pt>
                <pt idx="961">
                  <v>0.9994659342336155</v>
                </pt>
                <pt idx="962">
                  <v>0.9994659342336155</v>
                </pt>
                <pt idx="963">
                  <v>0.9994659342336155</v>
                </pt>
                <pt idx="964">
                  <v>0.9994659342336155</v>
                </pt>
                <pt idx="965">
                  <v>0.9994659342336155</v>
                </pt>
                <pt idx="966">
                  <v>0.9994659342336155</v>
                </pt>
                <pt idx="967">
                  <v>0.9994659342336155</v>
                </pt>
                <pt idx="968">
                  <v>0.9994659342336155</v>
                </pt>
                <pt idx="969">
                  <v>0.9994659342336155</v>
                </pt>
                <pt idx="970">
                  <v>0.9994659342336155</v>
                </pt>
                <pt idx="971">
                  <v>0.9994659342336155</v>
                </pt>
                <pt idx="972">
                  <v>0.9994659342336155</v>
                </pt>
                <pt idx="973">
                  <v>0.9994659342336155</v>
                </pt>
                <pt idx="974">
                  <v>0.9994659342336155</v>
                </pt>
                <pt idx="975">
                  <v>0.9994659342336155</v>
                </pt>
                <pt idx="976">
                  <v>0.9994659342336155</v>
                </pt>
                <pt idx="977">
                  <v>0.9994659342336155</v>
                </pt>
                <pt idx="978">
                  <v>0.9994659342336155</v>
                </pt>
                <pt idx="979">
                  <v>0.9994659342336155</v>
                </pt>
                <pt idx="980">
                  <v>0.9994659342336155</v>
                </pt>
                <pt idx="981">
                  <v>0.9994659342336155</v>
                </pt>
                <pt idx="982">
                  <v>0.9994659342336155</v>
                </pt>
                <pt idx="983">
                  <v>0.9994659342336155</v>
                </pt>
                <pt idx="984">
                  <v>0.9994659342336155</v>
                </pt>
                <pt idx="985">
                  <v>0.9994659342336155</v>
                </pt>
                <pt idx="986">
                  <v>0.9994659342336155</v>
                </pt>
                <pt idx="987">
                  <v>0.9994659342336155</v>
                </pt>
                <pt idx="988">
                  <v>0.9994659342336155</v>
                </pt>
                <pt idx="989">
                  <v>0.9994659342336155</v>
                </pt>
                <pt idx="990">
                  <v>0.9994659342336155</v>
                </pt>
                <pt idx="991">
                  <v>0.9994659342336155</v>
                </pt>
                <pt idx="992">
                  <v>0.9994659342336155</v>
                </pt>
                <pt idx="993">
                  <v>0.9994659342336155</v>
                </pt>
                <pt idx="994">
                  <v>0.9994659342336155</v>
                </pt>
                <pt idx="995">
                  <v>0.9994659342336155</v>
                </pt>
                <pt idx="996">
                  <v>0.9994659342336155</v>
                </pt>
                <pt idx="997">
                  <v>0.9994659342336155</v>
                </pt>
                <pt idx="998">
                  <v>0.9994659342336155</v>
                </pt>
                <pt idx="999">
                  <v>0.9994659342336155</v>
                </pt>
                <pt idx="1000">
                  <v>0.9994659342336155</v>
                </pt>
              </numCache>
            </numRef>
          </val>
          <smooth val="0"/>
        </ser>
        <ser>
          <idx val="1"/>
          <order val="1"/>
          <tx>
            <strRef>
              <f>Лист4!$M$1</f>
              <strCache>
                <ptCount val="1"/>
                <pt idx="0">
                  <v>g(nT0)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Лист4!$M$2:$M$1002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1</v>
                </pt>
                <pt idx="47">
                  <v>1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1</v>
                </pt>
                <pt idx="65">
                  <v>1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1</v>
                </pt>
                <pt idx="70">
                  <v>1</v>
                </pt>
                <pt idx="71">
                  <v>1</v>
                </pt>
                <pt idx="72">
                  <v>1</v>
                </pt>
                <pt idx="73">
                  <v>1</v>
                </pt>
                <pt idx="74">
                  <v>1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1</v>
                </pt>
                <pt idx="79">
                  <v>1</v>
                </pt>
                <pt idx="80">
                  <v>1</v>
                </pt>
                <pt idx="81">
                  <v>1</v>
                </pt>
                <pt idx="82">
                  <v>1</v>
                </pt>
                <pt idx="83">
                  <v>1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1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1</v>
                </pt>
                <pt idx="99">
                  <v>1</v>
                </pt>
                <pt idx="100">
                  <v>1</v>
                </pt>
                <pt idx="101">
                  <v>1</v>
                </pt>
                <pt idx="102">
                  <v>1</v>
                </pt>
                <pt idx="103">
                  <v>1</v>
                </pt>
                <pt idx="104">
                  <v>1</v>
                </pt>
                <pt idx="105">
                  <v>1</v>
                </pt>
                <pt idx="106">
                  <v>1</v>
                </pt>
                <pt idx="107">
                  <v>1</v>
                </pt>
                <pt idx="108">
                  <v>1</v>
                </pt>
                <pt idx="109">
                  <v>1</v>
                </pt>
                <pt idx="110">
                  <v>1</v>
                </pt>
                <pt idx="111">
                  <v>1</v>
                </pt>
                <pt idx="112">
                  <v>1</v>
                </pt>
                <pt idx="113">
                  <v>1</v>
                </pt>
                <pt idx="114">
                  <v>1</v>
                </pt>
                <pt idx="115">
                  <v>1</v>
                </pt>
                <pt idx="116">
                  <v>1</v>
                </pt>
                <pt idx="117">
                  <v>1</v>
                </pt>
                <pt idx="118">
                  <v>1</v>
                </pt>
                <pt idx="119">
                  <v>1</v>
                </pt>
                <pt idx="120">
                  <v>1</v>
                </pt>
                <pt idx="121">
                  <v>1</v>
                </pt>
                <pt idx="122">
                  <v>1</v>
                </pt>
                <pt idx="123">
                  <v>1</v>
                </pt>
                <pt idx="124">
                  <v>1</v>
                </pt>
                <pt idx="125">
                  <v>1</v>
                </pt>
                <pt idx="126">
                  <v>1</v>
                </pt>
                <pt idx="127">
                  <v>1</v>
                </pt>
                <pt idx="128">
                  <v>1</v>
                </pt>
                <pt idx="129">
                  <v>1</v>
                </pt>
                <pt idx="130">
                  <v>1</v>
                </pt>
                <pt idx="131">
                  <v>1</v>
                </pt>
                <pt idx="132">
                  <v>1</v>
                </pt>
                <pt idx="133">
                  <v>1</v>
                </pt>
                <pt idx="134">
                  <v>1</v>
                </pt>
                <pt idx="135">
                  <v>1</v>
                </pt>
                <pt idx="136">
                  <v>1</v>
                </pt>
                <pt idx="137">
                  <v>1</v>
                </pt>
                <pt idx="138">
                  <v>1</v>
                </pt>
                <pt idx="139">
                  <v>1</v>
                </pt>
                <pt idx="140">
                  <v>1</v>
                </pt>
                <pt idx="141">
                  <v>1</v>
                </pt>
                <pt idx="142">
                  <v>1</v>
                </pt>
                <pt idx="143">
                  <v>1</v>
                </pt>
                <pt idx="144">
                  <v>1</v>
                </pt>
                <pt idx="145">
                  <v>1</v>
                </pt>
                <pt idx="146">
                  <v>1</v>
                </pt>
                <pt idx="147">
                  <v>1</v>
                </pt>
                <pt idx="148">
                  <v>1</v>
                </pt>
                <pt idx="149">
                  <v>1</v>
                </pt>
                <pt idx="150">
                  <v>1</v>
                </pt>
                <pt idx="151">
                  <v>1</v>
                </pt>
                <pt idx="152">
                  <v>1</v>
                </pt>
                <pt idx="153">
                  <v>1</v>
                </pt>
                <pt idx="154">
                  <v>1</v>
                </pt>
                <pt idx="155">
                  <v>1</v>
                </pt>
                <pt idx="156">
                  <v>1</v>
                </pt>
                <pt idx="157">
                  <v>1</v>
                </pt>
                <pt idx="158">
                  <v>1</v>
                </pt>
                <pt idx="159">
                  <v>1</v>
                </pt>
                <pt idx="160">
                  <v>1</v>
                </pt>
                <pt idx="161">
                  <v>1</v>
                </pt>
                <pt idx="162">
                  <v>1</v>
                </pt>
                <pt idx="163">
                  <v>1</v>
                </pt>
                <pt idx="164">
                  <v>1</v>
                </pt>
                <pt idx="165">
                  <v>1</v>
                </pt>
                <pt idx="166">
                  <v>1</v>
                </pt>
                <pt idx="167">
                  <v>1</v>
                </pt>
                <pt idx="168">
                  <v>1</v>
                </pt>
                <pt idx="169">
                  <v>1</v>
                </pt>
                <pt idx="170">
                  <v>1</v>
                </pt>
                <pt idx="171">
                  <v>1</v>
                </pt>
                <pt idx="172">
                  <v>1</v>
                </pt>
                <pt idx="173">
                  <v>1</v>
                </pt>
                <pt idx="174">
                  <v>1</v>
                </pt>
                <pt idx="175">
                  <v>1</v>
                </pt>
                <pt idx="176">
                  <v>1</v>
                </pt>
                <pt idx="177">
                  <v>1</v>
                </pt>
                <pt idx="178">
                  <v>1</v>
                </pt>
                <pt idx="179">
                  <v>1</v>
                </pt>
                <pt idx="180">
                  <v>1</v>
                </pt>
                <pt idx="181">
                  <v>1</v>
                </pt>
                <pt idx="182">
                  <v>1</v>
                </pt>
                <pt idx="183">
                  <v>1</v>
                </pt>
                <pt idx="184">
                  <v>1</v>
                </pt>
                <pt idx="185">
                  <v>1</v>
                </pt>
                <pt idx="186">
                  <v>1</v>
                </pt>
                <pt idx="187">
                  <v>1</v>
                </pt>
                <pt idx="188">
                  <v>1</v>
                </pt>
                <pt idx="189">
                  <v>1</v>
                </pt>
                <pt idx="190">
                  <v>1</v>
                </pt>
                <pt idx="191">
                  <v>1</v>
                </pt>
                <pt idx="192">
                  <v>1</v>
                </pt>
                <pt idx="193">
                  <v>1</v>
                </pt>
                <pt idx="194">
                  <v>1</v>
                </pt>
                <pt idx="195">
                  <v>1</v>
                </pt>
                <pt idx="196">
                  <v>1</v>
                </pt>
                <pt idx="197">
                  <v>1</v>
                </pt>
                <pt idx="198">
                  <v>1</v>
                </pt>
                <pt idx="199">
                  <v>1</v>
                </pt>
                <pt idx="200">
                  <v>1</v>
                </pt>
                <pt idx="201">
                  <v>1</v>
                </pt>
                <pt idx="202">
                  <v>1</v>
                </pt>
                <pt idx="203">
                  <v>1</v>
                </pt>
                <pt idx="204">
                  <v>1</v>
                </pt>
                <pt idx="205">
                  <v>1</v>
                </pt>
                <pt idx="206">
                  <v>1</v>
                </pt>
                <pt idx="207">
                  <v>1</v>
                </pt>
                <pt idx="208">
                  <v>1</v>
                </pt>
                <pt idx="209">
                  <v>1</v>
                </pt>
                <pt idx="210">
                  <v>1</v>
                </pt>
                <pt idx="211">
                  <v>1</v>
                </pt>
                <pt idx="212">
                  <v>1</v>
                </pt>
                <pt idx="213">
                  <v>1</v>
                </pt>
                <pt idx="214">
                  <v>1</v>
                </pt>
                <pt idx="215">
                  <v>1</v>
                </pt>
                <pt idx="216">
                  <v>1</v>
                </pt>
                <pt idx="217">
                  <v>1</v>
                </pt>
                <pt idx="218">
                  <v>1</v>
                </pt>
                <pt idx="219">
                  <v>1</v>
                </pt>
                <pt idx="220">
                  <v>1</v>
                </pt>
                <pt idx="221">
                  <v>1</v>
                </pt>
                <pt idx="222">
                  <v>1</v>
                </pt>
                <pt idx="223">
                  <v>1</v>
                </pt>
                <pt idx="224">
                  <v>1</v>
                </pt>
                <pt idx="225">
                  <v>1</v>
                </pt>
                <pt idx="226">
                  <v>1</v>
                </pt>
                <pt idx="227">
                  <v>1</v>
                </pt>
                <pt idx="228">
                  <v>1</v>
                </pt>
                <pt idx="229">
                  <v>1</v>
                </pt>
                <pt idx="230">
                  <v>1</v>
                </pt>
                <pt idx="231">
                  <v>1</v>
                </pt>
                <pt idx="232">
                  <v>1</v>
                </pt>
                <pt idx="233">
                  <v>1</v>
                </pt>
                <pt idx="234">
                  <v>1</v>
                </pt>
                <pt idx="235">
                  <v>1</v>
                </pt>
                <pt idx="236">
                  <v>1</v>
                </pt>
                <pt idx="237">
                  <v>1</v>
                </pt>
                <pt idx="238">
                  <v>1</v>
                </pt>
                <pt idx="239">
                  <v>1</v>
                </pt>
                <pt idx="240">
                  <v>1</v>
                </pt>
                <pt idx="241">
                  <v>1</v>
                </pt>
                <pt idx="242">
                  <v>1</v>
                </pt>
                <pt idx="243">
                  <v>1</v>
                </pt>
                <pt idx="244">
                  <v>1</v>
                </pt>
                <pt idx="245">
                  <v>1</v>
                </pt>
                <pt idx="246">
                  <v>1</v>
                </pt>
                <pt idx="247">
                  <v>1</v>
                </pt>
                <pt idx="248">
                  <v>1</v>
                </pt>
                <pt idx="249">
                  <v>1</v>
                </pt>
                <pt idx="250">
                  <v>1</v>
                </pt>
                <pt idx="251">
                  <v>1</v>
                </pt>
                <pt idx="252">
                  <v>1</v>
                </pt>
                <pt idx="253">
                  <v>1</v>
                </pt>
                <pt idx="254">
                  <v>1</v>
                </pt>
                <pt idx="255">
                  <v>1</v>
                </pt>
                <pt idx="256">
                  <v>1</v>
                </pt>
                <pt idx="257">
                  <v>1</v>
                </pt>
                <pt idx="258">
                  <v>1</v>
                </pt>
                <pt idx="259">
                  <v>1</v>
                </pt>
                <pt idx="260">
                  <v>1</v>
                </pt>
                <pt idx="261">
                  <v>1</v>
                </pt>
                <pt idx="262">
                  <v>1</v>
                </pt>
                <pt idx="263">
                  <v>1</v>
                </pt>
                <pt idx="264">
                  <v>1</v>
                </pt>
                <pt idx="265">
                  <v>1</v>
                </pt>
                <pt idx="266">
                  <v>1</v>
                </pt>
                <pt idx="267">
                  <v>1</v>
                </pt>
                <pt idx="268">
                  <v>1</v>
                </pt>
                <pt idx="269">
                  <v>1</v>
                </pt>
                <pt idx="270">
                  <v>1</v>
                </pt>
                <pt idx="271">
                  <v>1</v>
                </pt>
                <pt idx="272">
                  <v>1</v>
                </pt>
                <pt idx="273">
                  <v>1</v>
                </pt>
                <pt idx="274">
                  <v>1</v>
                </pt>
                <pt idx="275">
                  <v>1</v>
                </pt>
                <pt idx="276">
                  <v>1</v>
                </pt>
                <pt idx="277">
                  <v>1</v>
                </pt>
                <pt idx="278">
                  <v>1</v>
                </pt>
                <pt idx="279">
                  <v>1</v>
                </pt>
                <pt idx="280">
                  <v>1</v>
                </pt>
                <pt idx="281">
                  <v>1</v>
                </pt>
                <pt idx="282">
                  <v>1</v>
                </pt>
                <pt idx="283">
                  <v>1</v>
                </pt>
                <pt idx="284">
                  <v>1</v>
                </pt>
                <pt idx="285">
                  <v>1</v>
                </pt>
                <pt idx="286">
                  <v>1</v>
                </pt>
                <pt idx="287">
                  <v>1</v>
                </pt>
                <pt idx="288">
                  <v>1</v>
                </pt>
                <pt idx="289">
                  <v>1</v>
                </pt>
                <pt idx="290">
                  <v>1</v>
                </pt>
                <pt idx="291">
                  <v>1</v>
                </pt>
                <pt idx="292">
                  <v>1</v>
                </pt>
                <pt idx="293">
                  <v>1</v>
                </pt>
                <pt idx="294">
                  <v>1</v>
                </pt>
                <pt idx="295">
                  <v>1</v>
                </pt>
                <pt idx="296">
                  <v>1</v>
                </pt>
                <pt idx="297">
                  <v>1</v>
                </pt>
                <pt idx="298">
                  <v>1</v>
                </pt>
                <pt idx="299">
                  <v>1</v>
                </pt>
                <pt idx="300">
                  <v>1</v>
                </pt>
                <pt idx="301">
                  <v>1</v>
                </pt>
                <pt idx="302">
                  <v>1</v>
                </pt>
                <pt idx="303">
                  <v>1</v>
                </pt>
                <pt idx="304">
                  <v>1</v>
                </pt>
                <pt idx="305">
                  <v>1</v>
                </pt>
                <pt idx="306">
                  <v>1</v>
                </pt>
                <pt idx="307">
                  <v>1</v>
                </pt>
                <pt idx="308">
                  <v>1</v>
                </pt>
                <pt idx="309">
                  <v>1</v>
                </pt>
                <pt idx="310">
                  <v>1</v>
                </pt>
                <pt idx="311">
                  <v>1</v>
                </pt>
                <pt idx="312">
                  <v>1</v>
                </pt>
                <pt idx="313">
                  <v>1</v>
                </pt>
                <pt idx="314">
                  <v>1</v>
                </pt>
                <pt idx="315">
                  <v>1</v>
                </pt>
                <pt idx="316">
                  <v>1</v>
                </pt>
                <pt idx="317">
                  <v>1</v>
                </pt>
                <pt idx="318">
                  <v>1</v>
                </pt>
                <pt idx="319">
                  <v>1</v>
                </pt>
                <pt idx="320">
                  <v>1</v>
                </pt>
                <pt idx="321">
                  <v>1</v>
                </pt>
                <pt idx="322">
                  <v>1</v>
                </pt>
                <pt idx="323">
                  <v>1</v>
                </pt>
                <pt idx="324">
                  <v>1</v>
                </pt>
                <pt idx="325">
                  <v>1</v>
                </pt>
                <pt idx="326">
                  <v>1</v>
                </pt>
                <pt idx="327">
                  <v>1</v>
                </pt>
                <pt idx="328">
                  <v>1</v>
                </pt>
                <pt idx="329">
                  <v>1</v>
                </pt>
                <pt idx="330">
                  <v>1</v>
                </pt>
                <pt idx="331">
                  <v>1</v>
                </pt>
                <pt idx="332">
                  <v>1</v>
                </pt>
                <pt idx="333">
                  <v>1</v>
                </pt>
                <pt idx="334">
                  <v>1</v>
                </pt>
                <pt idx="335">
                  <v>1</v>
                </pt>
                <pt idx="336">
                  <v>1</v>
                </pt>
                <pt idx="337">
                  <v>1</v>
                </pt>
                <pt idx="338">
                  <v>1</v>
                </pt>
                <pt idx="339">
                  <v>1</v>
                </pt>
                <pt idx="340">
                  <v>1</v>
                </pt>
                <pt idx="341">
                  <v>1</v>
                </pt>
                <pt idx="342">
                  <v>1</v>
                </pt>
                <pt idx="343">
                  <v>1</v>
                </pt>
                <pt idx="344">
                  <v>1</v>
                </pt>
                <pt idx="345">
                  <v>1</v>
                </pt>
                <pt idx="346">
                  <v>1</v>
                </pt>
                <pt idx="347">
                  <v>1</v>
                </pt>
                <pt idx="348">
                  <v>1</v>
                </pt>
                <pt idx="349">
                  <v>1</v>
                </pt>
                <pt idx="350">
                  <v>1</v>
                </pt>
                <pt idx="351">
                  <v>1</v>
                </pt>
                <pt idx="352">
                  <v>1</v>
                </pt>
                <pt idx="353">
                  <v>1</v>
                </pt>
                <pt idx="354">
                  <v>1</v>
                </pt>
                <pt idx="355">
                  <v>1</v>
                </pt>
                <pt idx="356">
                  <v>1</v>
                </pt>
                <pt idx="357">
                  <v>1</v>
                </pt>
                <pt idx="358">
                  <v>1</v>
                </pt>
                <pt idx="359">
                  <v>1</v>
                </pt>
                <pt idx="360">
                  <v>1</v>
                </pt>
                <pt idx="361">
                  <v>1</v>
                </pt>
                <pt idx="362">
                  <v>1</v>
                </pt>
                <pt idx="363">
                  <v>1</v>
                </pt>
                <pt idx="364">
                  <v>1</v>
                </pt>
                <pt idx="365">
                  <v>1</v>
                </pt>
                <pt idx="366">
                  <v>1</v>
                </pt>
                <pt idx="367">
                  <v>1</v>
                </pt>
                <pt idx="368">
                  <v>1</v>
                </pt>
                <pt idx="369">
                  <v>1</v>
                </pt>
                <pt idx="370">
                  <v>1</v>
                </pt>
                <pt idx="371">
                  <v>1</v>
                </pt>
                <pt idx="372">
                  <v>1</v>
                </pt>
                <pt idx="373">
                  <v>1</v>
                </pt>
                <pt idx="374">
                  <v>1</v>
                </pt>
                <pt idx="375">
                  <v>1</v>
                </pt>
                <pt idx="376">
                  <v>1</v>
                </pt>
                <pt idx="377">
                  <v>1</v>
                </pt>
                <pt idx="378">
                  <v>1</v>
                </pt>
                <pt idx="379">
                  <v>1</v>
                </pt>
                <pt idx="380">
                  <v>1</v>
                </pt>
                <pt idx="381">
                  <v>1</v>
                </pt>
                <pt idx="382">
                  <v>1</v>
                </pt>
                <pt idx="383">
                  <v>1</v>
                </pt>
                <pt idx="384">
                  <v>1</v>
                </pt>
                <pt idx="385">
                  <v>1</v>
                </pt>
                <pt idx="386">
                  <v>1</v>
                </pt>
                <pt idx="387">
                  <v>1</v>
                </pt>
                <pt idx="388">
                  <v>1</v>
                </pt>
                <pt idx="389">
                  <v>1</v>
                </pt>
                <pt idx="390">
                  <v>1</v>
                </pt>
                <pt idx="391">
                  <v>1</v>
                </pt>
                <pt idx="392">
                  <v>1</v>
                </pt>
                <pt idx="393">
                  <v>1</v>
                </pt>
                <pt idx="394">
                  <v>1</v>
                </pt>
                <pt idx="395">
                  <v>1</v>
                </pt>
                <pt idx="396">
                  <v>1</v>
                </pt>
                <pt idx="397">
                  <v>1</v>
                </pt>
                <pt idx="398">
                  <v>1</v>
                </pt>
                <pt idx="399">
                  <v>1</v>
                </pt>
                <pt idx="400">
                  <v>1</v>
                </pt>
                <pt idx="401">
                  <v>1</v>
                </pt>
                <pt idx="402">
                  <v>1</v>
                </pt>
                <pt idx="403">
                  <v>1</v>
                </pt>
                <pt idx="404">
                  <v>1</v>
                </pt>
                <pt idx="405">
                  <v>1</v>
                </pt>
                <pt idx="406">
                  <v>1</v>
                </pt>
                <pt idx="407">
                  <v>1</v>
                </pt>
                <pt idx="408">
                  <v>1</v>
                </pt>
                <pt idx="409">
                  <v>1</v>
                </pt>
                <pt idx="410">
                  <v>1</v>
                </pt>
                <pt idx="411">
                  <v>1</v>
                </pt>
                <pt idx="412">
                  <v>1</v>
                </pt>
                <pt idx="413">
                  <v>1</v>
                </pt>
                <pt idx="414">
                  <v>1</v>
                </pt>
                <pt idx="415">
                  <v>1</v>
                </pt>
                <pt idx="416">
                  <v>1</v>
                </pt>
                <pt idx="417">
                  <v>1</v>
                </pt>
                <pt idx="418">
                  <v>1</v>
                </pt>
                <pt idx="419">
                  <v>1</v>
                </pt>
                <pt idx="420">
                  <v>1</v>
                </pt>
                <pt idx="421">
                  <v>1</v>
                </pt>
                <pt idx="422">
                  <v>1</v>
                </pt>
                <pt idx="423">
                  <v>1</v>
                </pt>
                <pt idx="424">
                  <v>1</v>
                </pt>
                <pt idx="425">
                  <v>1</v>
                </pt>
                <pt idx="426">
                  <v>1</v>
                </pt>
                <pt idx="427">
                  <v>1</v>
                </pt>
                <pt idx="428">
                  <v>1</v>
                </pt>
                <pt idx="429">
                  <v>1</v>
                </pt>
                <pt idx="430">
                  <v>1</v>
                </pt>
                <pt idx="431">
                  <v>1</v>
                </pt>
                <pt idx="432">
                  <v>1</v>
                </pt>
                <pt idx="433">
                  <v>1</v>
                </pt>
                <pt idx="434">
                  <v>1</v>
                </pt>
                <pt idx="435">
                  <v>1</v>
                </pt>
                <pt idx="436">
                  <v>1</v>
                </pt>
                <pt idx="437">
                  <v>1</v>
                </pt>
                <pt idx="438">
                  <v>1</v>
                </pt>
                <pt idx="439">
                  <v>1</v>
                </pt>
                <pt idx="440">
                  <v>1</v>
                </pt>
                <pt idx="441">
                  <v>1</v>
                </pt>
                <pt idx="442">
                  <v>1</v>
                </pt>
                <pt idx="443">
                  <v>1</v>
                </pt>
                <pt idx="444">
                  <v>1</v>
                </pt>
                <pt idx="445">
                  <v>1</v>
                </pt>
                <pt idx="446">
                  <v>1</v>
                </pt>
                <pt idx="447">
                  <v>1</v>
                </pt>
                <pt idx="448">
                  <v>1</v>
                </pt>
                <pt idx="449">
                  <v>1</v>
                </pt>
                <pt idx="450">
                  <v>1</v>
                </pt>
                <pt idx="451">
                  <v>1</v>
                </pt>
                <pt idx="452">
                  <v>1</v>
                </pt>
                <pt idx="453">
                  <v>1</v>
                </pt>
                <pt idx="454">
                  <v>1</v>
                </pt>
                <pt idx="455">
                  <v>1</v>
                </pt>
                <pt idx="456">
                  <v>1</v>
                </pt>
                <pt idx="457">
                  <v>1</v>
                </pt>
                <pt idx="458">
                  <v>1</v>
                </pt>
                <pt idx="459">
                  <v>1</v>
                </pt>
                <pt idx="460">
                  <v>1</v>
                </pt>
                <pt idx="461">
                  <v>1</v>
                </pt>
                <pt idx="462">
                  <v>1</v>
                </pt>
                <pt idx="463">
                  <v>1</v>
                </pt>
                <pt idx="464">
                  <v>1</v>
                </pt>
                <pt idx="465">
                  <v>1</v>
                </pt>
                <pt idx="466">
                  <v>1</v>
                </pt>
                <pt idx="467">
                  <v>1</v>
                </pt>
                <pt idx="468">
                  <v>1</v>
                </pt>
                <pt idx="469">
                  <v>1</v>
                </pt>
                <pt idx="470">
                  <v>1</v>
                </pt>
                <pt idx="471">
                  <v>1</v>
                </pt>
                <pt idx="472">
                  <v>1</v>
                </pt>
                <pt idx="473">
                  <v>1</v>
                </pt>
                <pt idx="474">
                  <v>1</v>
                </pt>
                <pt idx="475">
                  <v>1</v>
                </pt>
                <pt idx="476">
                  <v>1</v>
                </pt>
                <pt idx="477">
                  <v>1</v>
                </pt>
                <pt idx="478">
                  <v>1</v>
                </pt>
                <pt idx="479">
                  <v>1</v>
                </pt>
                <pt idx="480">
                  <v>1</v>
                </pt>
                <pt idx="481">
                  <v>1</v>
                </pt>
                <pt idx="482">
                  <v>1</v>
                </pt>
                <pt idx="483">
                  <v>1</v>
                </pt>
                <pt idx="484">
                  <v>1</v>
                </pt>
                <pt idx="485">
                  <v>1</v>
                </pt>
                <pt idx="486">
                  <v>1</v>
                </pt>
                <pt idx="487">
                  <v>1</v>
                </pt>
                <pt idx="488">
                  <v>1</v>
                </pt>
                <pt idx="489">
                  <v>1</v>
                </pt>
                <pt idx="490">
                  <v>1</v>
                </pt>
                <pt idx="491">
                  <v>1</v>
                </pt>
                <pt idx="492">
                  <v>1</v>
                </pt>
                <pt idx="493">
                  <v>1</v>
                </pt>
                <pt idx="494">
                  <v>1</v>
                </pt>
                <pt idx="495">
                  <v>1</v>
                </pt>
                <pt idx="496">
                  <v>1</v>
                </pt>
                <pt idx="497">
                  <v>1</v>
                </pt>
                <pt idx="498">
                  <v>1</v>
                </pt>
                <pt idx="499">
                  <v>1</v>
                </pt>
                <pt idx="500">
                  <v>1</v>
                </pt>
                <pt idx="501">
                  <v>1</v>
                </pt>
                <pt idx="502">
                  <v>1</v>
                </pt>
                <pt idx="503">
                  <v>1</v>
                </pt>
                <pt idx="504">
                  <v>1</v>
                </pt>
                <pt idx="505">
                  <v>1</v>
                </pt>
                <pt idx="506">
                  <v>1</v>
                </pt>
                <pt idx="507">
                  <v>1</v>
                </pt>
                <pt idx="508">
                  <v>1</v>
                </pt>
                <pt idx="509">
                  <v>1</v>
                </pt>
                <pt idx="510">
                  <v>1</v>
                </pt>
                <pt idx="511">
                  <v>1</v>
                </pt>
                <pt idx="512">
                  <v>1</v>
                </pt>
                <pt idx="513">
                  <v>1</v>
                </pt>
                <pt idx="514">
                  <v>1</v>
                </pt>
                <pt idx="515">
                  <v>1</v>
                </pt>
                <pt idx="516">
                  <v>1</v>
                </pt>
                <pt idx="517">
                  <v>1</v>
                </pt>
                <pt idx="518">
                  <v>1</v>
                </pt>
                <pt idx="519">
                  <v>1</v>
                </pt>
                <pt idx="520">
                  <v>1</v>
                </pt>
                <pt idx="521">
                  <v>1</v>
                </pt>
                <pt idx="522">
                  <v>1</v>
                </pt>
                <pt idx="523">
                  <v>1</v>
                </pt>
                <pt idx="524">
                  <v>1</v>
                </pt>
                <pt idx="525">
                  <v>1</v>
                </pt>
                <pt idx="526">
                  <v>1</v>
                </pt>
                <pt idx="527">
                  <v>1</v>
                </pt>
                <pt idx="528">
                  <v>1</v>
                </pt>
                <pt idx="529">
                  <v>1</v>
                </pt>
                <pt idx="530">
                  <v>1</v>
                </pt>
                <pt idx="531">
                  <v>1</v>
                </pt>
                <pt idx="532">
                  <v>1</v>
                </pt>
                <pt idx="533">
                  <v>1</v>
                </pt>
                <pt idx="534">
                  <v>1</v>
                </pt>
                <pt idx="535">
                  <v>1</v>
                </pt>
                <pt idx="536">
                  <v>1</v>
                </pt>
                <pt idx="537">
                  <v>1</v>
                </pt>
                <pt idx="538">
                  <v>1</v>
                </pt>
                <pt idx="539">
                  <v>1</v>
                </pt>
                <pt idx="540">
                  <v>1</v>
                </pt>
                <pt idx="541">
                  <v>1</v>
                </pt>
                <pt idx="542">
                  <v>1</v>
                </pt>
                <pt idx="543">
                  <v>1</v>
                </pt>
                <pt idx="544">
                  <v>1</v>
                </pt>
                <pt idx="545">
                  <v>1</v>
                </pt>
                <pt idx="546">
                  <v>1</v>
                </pt>
                <pt idx="547">
                  <v>1</v>
                </pt>
                <pt idx="548">
                  <v>1</v>
                </pt>
                <pt idx="549">
                  <v>1</v>
                </pt>
                <pt idx="550">
                  <v>1</v>
                </pt>
                <pt idx="551">
                  <v>1</v>
                </pt>
                <pt idx="552">
                  <v>1</v>
                </pt>
                <pt idx="553">
                  <v>1</v>
                </pt>
                <pt idx="554">
                  <v>1</v>
                </pt>
                <pt idx="555">
                  <v>1</v>
                </pt>
                <pt idx="556">
                  <v>1</v>
                </pt>
                <pt idx="557">
                  <v>1</v>
                </pt>
                <pt idx="558">
                  <v>1</v>
                </pt>
                <pt idx="559">
                  <v>1</v>
                </pt>
                <pt idx="560">
                  <v>1</v>
                </pt>
                <pt idx="561">
                  <v>1</v>
                </pt>
                <pt idx="562">
                  <v>1</v>
                </pt>
                <pt idx="563">
                  <v>1</v>
                </pt>
                <pt idx="564">
                  <v>1</v>
                </pt>
                <pt idx="565">
                  <v>1</v>
                </pt>
                <pt idx="566">
                  <v>1</v>
                </pt>
                <pt idx="567">
                  <v>1</v>
                </pt>
                <pt idx="568">
                  <v>1</v>
                </pt>
                <pt idx="569">
                  <v>1</v>
                </pt>
                <pt idx="570">
                  <v>1</v>
                </pt>
                <pt idx="571">
                  <v>1</v>
                </pt>
                <pt idx="572">
                  <v>1</v>
                </pt>
                <pt idx="573">
                  <v>1</v>
                </pt>
                <pt idx="574">
                  <v>1</v>
                </pt>
                <pt idx="575">
                  <v>1</v>
                </pt>
                <pt idx="576">
                  <v>1</v>
                </pt>
                <pt idx="577">
                  <v>1</v>
                </pt>
                <pt idx="578">
                  <v>1</v>
                </pt>
                <pt idx="579">
                  <v>1</v>
                </pt>
                <pt idx="580">
                  <v>1</v>
                </pt>
                <pt idx="581">
                  <v>1</v>
                </pt>
                <pt idx="582">
                  <v>1</v>
                </pt>
                <pt idx="583">
                  <v>1</v>
                </pt>
                <pt idx="584">
                  <v>1</v>
                </pt>
                <pt idx="585">
                  <v>1</v>
                </pt>
                <pt idx="586">
                  <v>1</v>
                </pt>
                <pt idx="587">
                  <v>1</v>
                </pt>
                <pt idx="588">
                  <v>1</v>
                </pt>
                <pt idx="589">
                  <v>1</v>
                </pt>
                <pt idx="590">
                  <v>1</v>
                </pt>
                <pt idx="591">
                  <v>1</v>
                </pt>
                <pt idx="592">
                  <v>1</v>
                </pt>
                <pt idx="593">
                  <v>1</v>
                </pt>
                <pt idx="594">
                  <v>1</v>
                </pt>
                <pt idx="595">
                  <v>1</v>
                </pt>
                <pt idx="596">
                  <v>1</v>
                </pt>
                <pt idx="597">
                  <v>1</v>
                </pt>
                <pt idx="598">
                  <v>1</v>
                </pt>
                <pt idx="599">
                  <v>1</v>
                </pt>
                <pt idx="600">
                  <v>1</v>
                </pt>
                <pt idx="601">
                  <v>1</v>
                </pt>
                <pt idx="602">
                  <v>1</v>
                </pt>
                <pt idx="603">
                  <v>1</v>
                </pt>
                <pt idx="604">
                  <v>1</v>
                </pt>
                <pt idx="605">
                  <v>1</v>
                </pt>
                <pt idx="606">
                  <v>1</v>
                </pt>
                <pt idx="607">
                  <v>1</v>
                </pt>
                <pt idx="608">
                  <v>1</v>
                </pt>
                <pt idx="609">
                  <v>1</v>
                </pt>
                <pt idx="610">
                  <v>1</v>
                </pt>
                <pt idx="611">
                  <v>1</v>
                </pt>
                <pt idx="612">
                  <v>1</v>
                </pt>
                <pt idx="613">
                  <v>1</v>
                </pt>
                <pt idx="614">
                  <v>1</v>
                </pt>
                <pt idx="615">
                  <v>1</v>
                </pt>
                <pt idx="616">
                  <v>1</v>
                </pt>
                <pt idx="617">
                  <v>1</v>
                </pt>
                <pt idx="618">
                  <v>1</v>
                </pt>
                <pt idx="619">
                  <v>1</v>
                </pt>
                <pt idx="620">
                  <v>1</v>
                </pt>
                <pt idx="621">
                  <v>1</v>
                </pt>
                <pt idx="622">
                  <v>1</v>
                </pt>
                <pt idx="623">
                  <v>1</v>
                </pt>
                <pt idx="624">
                  <v>1</v>
                </pt>
                <pt idx="625">
                  <v>1</v>
                </pt>
                <pt idx="626">
                  <v>1</v>
                </pt>
                <pt idx="627">
                  <v>1</v>
                </pt>
                <pt idx="628">
                  <v>1</v>
                </pt>
                <pt idx="629">
                  <v>1</v>
                </pt>
                <pt idx="630">
                  <v>1</v>
                </pt>
                <pt idx="631">
                  <v>1</v>
                </pt>
                <pt idx="632">
                  <v>1</v>
                </pt>
                <pt idx="633">
                  <v>1</v>
                </pt>
                <pt idx="634">
                  <v>1</v>
                </pt>
                <pt idx="635">
                  <v>1</v>
                </pt>
                <pt idx="636">
                  <v>1</v>
                </pt>
                <pt idx="637">
                  <v>1</v>
                </pt>
                <pt idx="638">
                  <v>1</v>
                </pt>
                <pt idx="639">
                  <v>1</v>
                </pt>
                <pt idx="640">
                  <v>1</v>
                </pt>
                <pt idx="641">
                  <v>1</v>
                </pt>
                <pt idx="642">
                  <v>1</v>
                </pt>
                <pt idx="643">
                  <v>1</v>
                </pt>
                <pt idx="644">
                  <v>1</v>
                </pt>
                <pt idx="645">
                  <v>1</v>
                </pt>
                <pt idx="646">
                  <v>1</v>
                </pt>
                <pt idx="647">
                  <v>1</v>
                </pt>
                <pt idx="648">
                  <v>1</v>
                </pt>
                <pt idx="649">
                  <v>1</v>
                </pt>
                <pt idx="650">
                  <v>1</v>
                </pt>
                <pt idx="651">
                  <v>1</v>
                </pt>
                <pt idx="652">
                  <v>1</v>
                </pt>
                <pt idx="653">
                  <v>1</v>
                </pt>
                <pt idx="654">
                  <v>1</v>
                </pt>
                <pt idx="655">
                  <v>1</v>
                </pt>
                <pt idx="656">
                  <v>1</v>
                </pt>
                <pt idx="657">
                  <v>1</v>
                </pt>
                <pt idx="658">
                  <v>1</v>
                </pt>
                <pt idx="659">
                  <v>1</v>
                </pt>
                <pt idx="660">
                  <v>1</v>
                </pt>
                <pt idx="661">
                  <v>1</v>
                </pt>
                <pt idx="662">
                  <v>1</v>
                </pt>
                <pt idx="663">
                  <v>1</v>
                </pt>
                <pt idx="664">
                  <v>1</v>
                </pt>
                <pt idx="665">
                  <v>1</v>
                </pt>
                <pt idx="666">
                  <v>1</v>
                </pt>
                <pt idx="667">
                  <v>1</v>
                </pt>
                <pt idx="668">
                  <v>1</v>
                </pt>
                <pt idx="669">
                  <v>1</v>
                </pt>
                <pt idx="670">
                  <v>1</v>
                </pt>
                <pt idx="671">
                  <v>1</v>
                </pt>
                <pt idx="672">
                  <v>1</v>
                </pt>
                <pt idx="673">
                  <v>1</v>
                </pt>
                <pt idx="674">
                  <v>1</v>
                </pt>
                <pt idx="675">
                  <v>1</v>
                </pt>
                <pt idx="676">
                  <v>1</v>
                </pt>
                <pt idx="677">
                  <v>1</v>
                </pt>
                <pt idx="678">
                  <v>1</v>
                </pt>
                <pt idx="679">
                  <v>1</v>
                </pt>
                <pt idx="680">
                  <v>1</v>
                </pt>
                <pt idx="681">
                  <v>1</v>
                </pt>
                <pt idx="682">
                  <v>1</v>
                </pt>
                <pt idx="683">
                  <v>1</v>
                </pt>
                <pt idx="684">
                  <v>1</v>
                </pt>
                <pt idx="685">
                  <v>1</v>
                </pt>
                <pt idx="686">
                  <v>1</v>
                </pt>
                <pt idx="687">
                  <v>1</v>
                </pt>
                <pt idx="688">
                  <v>1</v>
                </pt>
                <pt idx="689">
                  <v>1</v>
                </pt>
                <pt idx="690">
                  <v>1</v>
                </pt>
                <pt idx="691">
                  <v>1</v>
                </pt>
                <pt idx="692">
                  <v>1</v>
                </pt>
                <pt idx="693">
                  <v>1</v>
                </pt>
                <pt idx="694">
                  <v>1</v>
                </pt>
                <pt idx="695">
                  <v>1</v>
                </pt>
                <pt idx="696">
                  <v>1</v>
                </pt>
                <pt idx="697">
                  <v>1</v>
                </pt>
                <pt idx="698">
                  <v>1</v>
                </pt>
                <pt idx="699">
                  <v>1</v>
                </pt>
                <pt idx="700">
                  <v>1</v>
                </pt>
                <pt idx="701">
                  <v>1</v>
                </pt>
                <pt idx="702">
                  <v>1</v>
                </pt>
                <pt idx="703">
                  <v>1</v>
                </pt>
                <pt idx="704">
                  <v>1</v>
                </pt>
                <pt idx="705">
                  <v>1</v>
                </pt>
                <pt idx="706">
                  <v>1</v>
                </pt>
                <pt idx="707">
                  <v>1</v>
                </pt>
                <pt idx="708">
                  <v>1</v>
                </pt>
                <pt idx="709">
                  <v>1</v>
                </pt>
                <pt idx="710">
                  <v>1</v>
                </pt>
                <pt idx="711">
                  <v>1</v>
                </pt>
                <pt idx="712">
                  <v>1</v>
                </pt>
                <pt idx="713">
                  <v>1</v>
                </pt>
                <pt idx="714">
                  <v>1</v>
                </pt>
                <pt idx="715">
                  <v>1</v>
                </pt>
                <pt idx="716">
                  <v>1</v>
                </pt>
                <pt idx="717">
                  <v>1</v>
                </pt>
                <pt idx="718">
                  <v>1</v>
                </pt>
                <pt idx="719">
                  <v>1</v>
                </pt>
                <pt idx="720">
                  <v>1</v>
                </pt>
                <pt idx="721">
                  <v>1</v>
                </pt>
                <pt idx="722">
                  <v>1</v>
                </pt>
                <pt idx="723">
                  <v>1</v>
                </pt>
                <pt idx="724">
                  <v>1</v>
                </pt>
                <pt idx="725">
                  <v>1</v>
                </pt>
                <pt idx="726">
                  <v>1</v>
                </pt>
                <pt idx="727">
                  <v>1</v>
                </pt>
                <pt idx="728">
                  <v>1</v>
                </pt>
                <pt idx="729">
                  <v>1</v>
                </pt>
                <pt idx="730">
                  <v>1</v>
                </pt>
                <pt idx="731">
                  <v>1</v>
                </pt>
                <pt idx="732">
                  <v>1</v>
                </pt>
                <pt idx="733">
                  <v>1</v>
                </pt>
                <pt idx="734">
                  <v>1</v>
                </pt>
                <pt idx="735">
                  <v>1</v>
                </pt>
                <pt idx="736">
                  <v>1</v>
                </pt>
                <pt idx="737">
                  <v>1</v>
                </pt>
                <pt idx="738">
                  <v>1</v>
                </pt>
                <pt idx="739">
                  <v>1</v>
                </pt>
                <pt idx="740">
                  <v>1</v>
                </pt>
                <pt idx="741">
                  <v>1</v>
                </pt>
                <pt idx="742">
                  <v>1</v>
                </pt>
                <pt idx="743">
                  <v>1</v>
                </pt>
                <pt idx="744">
                  <v>1</v>
                </pt>
                <pt idx="745">
                  <v>1</v>
                </pt>
                <pt idx="746">
                  <v>1</v>
                </pt>
                <pt idx="747">
                  <v>1</v>
                </pt>
                <pt idx="748">
                  <v>1</v>
                </pt>
                <pt idx="749">
                  <v>1</v>
                </pt>
                <pt idx="750">
                  <v>1</v>
                </pt>
                <pt idx="751">
                  <v>1</v>
                </pt>
                <pt idx="752">
                  <v>1</v>
                </pt>
                <pt idx="753">
                  <v>1</v>
                </pt>
                <pt idx="754">
                  <v>1</v>
                </pt>
                <pt idx="755">
                  <v>1</v>
                </pt>
                <pt idx="756">
                  <v>1</v>
                </pt>
                <pt idx="757">
                  <v>1</v>
                </pt>
                <pt idx="758">
                  <v>1</v>
                </pt>
                <pt idx="759">
                  <v>1</v>
                </pt>
                <pt idx="760">
                  <v>1</v>
                </pt>
                <pt idx="761">
                  <v>1</v>
                </pt>
                <pt idx="762">
                  <v>1</v>
                </pt>
                <pt idx="763">
                  <v>1</v>
                </pt>
                <pt idx="764">
                  <v>1</v>
                </pt>
                <pt idx="765">
                  <v>1</v>
                </pt>
                <pt idx="766">
                  <v>1</v>
                </pt>
                <pt idx="767">
                  <v>1</v>
                </pt>
                <pt idx="768">
                  <v>1</v>
                </pt>
                <pt idx="769">
                  <v>1</v>
                </pt>
                <pt idx="770">
                  <v>1</v>
                </pt>
                <pt idx="771">
                  <v>1</v>
                </pt>
                <pt idx="772">
                  <v>1</v>
                </pt>
                <pt idx="773">
                  <v>1</v>
                </pt>
                <pt idx="774">
                  <v>1</v>
                </pt>
                <pt idx="775">
                  <v>1</v>
                </pt>
                <pt idx="776">
                  <v>1</v>
                </pt>
                <pt idx="777">
                  <v>1</v>
                </pt>
                <pt idx="778">
                  <v>1</v>
                </pt>
                <pt idx="779">
                  <v>1</v>
                </pt>
                <pt idx="780">
                  <v>1</v>
                </pt>
                <pt idx="781">
                  <v>1</v>
                </pt>
                <pt idx="782">
                  <v>1</v>
                </pt>
                <pt idx="783">
                  <v>1</v>
                </pt>
                <pt idx="784">
                  <v>1</v>
                </pt>
                <pt idx="785">
                  <v>1</v>
                </pt>
                <pt idx="786">
                  <v>1</v>
                </pt>
                <pt idx="787">
                  <v>1</v>
                </pt>
                <pt idx="788">
                  <v>1</v>
                </pt>
                <pt idx="789">
                  <v>1</v>
                </pt>
                <pt idx="790">
                  <v>1</v>
                </pt>
                <pt idx="791">
                  <v>1</v>
                </pt>
                <pt idx="792">
                  <v>1</v>
                </pt>
                <pt idx="793">
                  <v>1</v>
                </pt>
                <pt idx="794">
                  <v>1</v>
                </pt>
                <pt idx="795">
                  <v>1</v>
                </pt>
                <pt idx="796">
                  <v>1</v>
                </pt>
                <pt idx="797">
                  <v>1</v>
                </pt>
                <pt idx="798">
                  <v>1</v>
                </pt>
                <pt idx="799">
                  <v>1</v>
                </pt>
                <pt idx="800">
                  <v>1</v>
                </pt>
                <pt idx="801">
                  <v>1</v>
                </pt>
                <pt idx="802">
                  <v>1</v>
                </pt>
                <pt idx="803">
                  <v>1</v>
                </pt>
                <pt idx="804">
                  <v>1</v>
                </pt>
                <pt idx="805">
                  <v>1</v>
                </pt>
                <pt idx="806">
                  <v>1</v>
                </pt>
                <pt idx="807">
                  <v>1</v>
                </pt>
                <pt idx="808">
                  <v>1</v>
                </pt>
                <pt idx="809">
                  <v>1</v>
                </pt>
                <pt idx="810">
                  <v>1</v>
                </pt>
                <pt idx="811">
                  <v>1</v>
                </pt>
                <pt idx="812">
                  <v>1</v>
                </pt>
                <pt idx="813">
                  <v>1</v>
                </pt>
                <pt idx="814">
                  <v>1</v>
                </pt>
                <pt idx="815">
                  <v>1</v>
                </pt>
                <pt idx="816">
                  <v>1</v>
                </pt>
                <pt idx="817">
                  <v>1</v>
                </pt>
                <pt idx="818">
                  <v>1</v>
                </pt>
                <pt idx="819">
                  <v>1</v>
                </pt>
                <pt idx="820">
                  <v>1</v>
                </pt>
                <pt idx="821">
                  <v>1</v>
                </pt>
                <pt idx="822">
                  <v>1</v>
                </pt>
                <pt idx="823">
                  <v>1</v>
                </pt>
                <pt idx="824">
                  <v>1</v>
                </pt>
                <pt idx="825">
                  <v>1</v>
                </pt>
                <pt idx="826">
                  <v>1</v>
                </pt>
                <pt idx="827">
                  <v>1</v>
                </pt>
                <pt idx="828">
                  <v>1</v>
                </pt>
                <pt idx="829">
                  <v>1</v>
                </pt>
                <pt idx="830">
                  <v>1</v>
                </pt>
                <pt idx="831">
                  <v>1</v>
                </pt>
                <pt idx="832">
                  <v>1</v>
                </pt>
                <pt idx="833">
                  <v>1</v>
                </pt>
                <pt idx="834">
                  <v>1</v>
                </pt>
                <pt idx="835">
                  <v>1</v>
                </pt>
                <pt idx="836">
                  <v>1</v>
                </pt>
                <pt idx="837">
                  <v>1</v>
                </pt>
                <pt idx="838">
                  <v>1</v>
                </pt>
                <pt idx="839">
                  <v>1</v>
                </pt>
                <pt idx="840">
                  <v>1</v>
                </pt>
                <pt idx="841">
                  <v>1</v>
                </pt>
                <pt idx="842">
                  <v>1</v>
                </pt>
                <pt idx="843">
                  <v>1</v>
                </pt>
                <pt idx="844">
                  <v>1</v>
                </pt>
                <pt idx="845">
                  <v>1</v>
                </pt>
                <pt idx="846">
                  <v>1</v>
                </pt>
                <pt idx="847">
                  <v>1</v>
                </pt>
                <pt idx="848">
                  <v>1</v>
                </pt>
                <pt idx="849">
                  <v>1</v>
                </pt>
                <pt idx="850">
                  <v>1</v>
                </pt>
                <pt idx="851">
                  <v>1</v>
                </pt>
                <pt idx="852">
                  <v>1</v>
                </pt>
                <pt idx="853">
                  <v>1</v>
                </pt>
                <pt idx="854">
                  <v>1</v>
                </pt>
                <pt idx="855">
                  <v>1</v>
                </pt>
                <pt idx="856">
                  <v>1</v>
                </pt>
                <pt idx="857">
                  <v>1</v>
                </pt>
                <pt idx="858">
                  <v>1</v>
                </pt>
                <pt idx="859">
                  <v>1</v>
                </pt>
                <pt idx="860">
                  <v>1</v>
                </pt>
                <pt idx="861">
                  <v>1</v>
                </pt>
                <pt idx="862">
                  <v>1</v>
                </pt>
                <pt idx="863">
                  <v>1</v>
                </pt>
                <pt idx="864">
                  <v>1</v>
                </pt>
                <pt idx="865">
                  <v>1</v>
                </pt>
                <pt idx="866">
                  <v>1</v>
                </pt>
                <pt idx="867">
                  <v>1</v>
                </pt>
                <pt idx="868">
                  <v>1</v>
                </pt>
                <pt idx="869">
                  <v>1</v>
                </pt>
                <pt idx="870">
                  <v>1</v>
                </pt>
                <pt idx="871">
                  <v>1</v>
                </pt>
                <pt idx="872">
                  <v>1</v>
                </pt>
                <pt idx="873">
                  <v>1</v>
                </pt>
                <pt idx="874">
                  <v>1</v>
                </pt>
                <pt idx="875">
                  <v>1</v>
                </pt>
                <pt idx="876">
                  <v>1</v>
                </pt>
                <pt idx="877">
                  <v>1</v>
                </pt>
                <pt idx="878">
                  <v>1</v>
                </pt>
                <pt idx="879">
                  <v>1</v>
                </pt>
                <pt idx="880">
                  <v>1</v>
                </pt>
                <pt idx="881">
                  <v>1</v>
                </pt>
                <pt idx="882">
                  <v>1</v>
                </pt>
                <pt idx="883">
                  <v>1</v>
                </pt>
                <pt idx="884">
                  <v>1</v>
                </pt>
                <pt idx="885">
                  <v>1</v>
                </pt>
                <pt idx="886">
                  <v>1</v>
                </pt>
                <pt idx="887">
                  <v>1</v>
                </pt>
                <pt idx="888">
                  <v>1</v>
                </pt>
                <pt idx="889">
                  <v>1</v>
                </pt>
                <pt idx="890">
                  <v>1</v>
                </pt>
                <pt idx="891">
                  <v>1</v>
                </pt>
                <pt idx="892">
                  <v>1</v>
                </pt>
                <pt idx="893">
                  <v>1</v>
                </pt>
                <pt idx="894">
                  <v>1</v>
                </pt>
                <pt idx="895">
                  <v>1</v>
                </pt>
                <pt idx="896">
                  <v>1</v>
                </pt>
                <pt idx="897">
                  <v>1</v>
                </pt>
                <pt idx="898">
                  <v>1</v>
                </pt>
                <pt idx="899">
                  <v>1</v>
                </pt>
                <pt idx="900">
                  <v>1</v>
                </pt>
                <pt idx="901">
                  <v>1</v>
                </pt>
                <pt idx="902">
                  <v>1</v>
                </pt>
                <pt idx="903">
                  <v>1</v>
                </pt>
                <pt idx="904">
                  <v>1</v>
                </pt>
                <pt idx="905">
                  <v>1</v>
                </pt>
                <pt idx="906">
                  <v>1</v>
                </pt>
                <pt idx="907">
                  <v>1</v>
                </pt>
                <pt idx="908">
                  <v>1</v>
                </pt>
                <pt idx="909">
                  <v>1</v>
                </pt>
                <pt idx="910">
                  <v>1</v>
                </pt>
                <pt idx="911">
                  <v>1</v>
                </pt>
                <pt idx="912">
                  <v>1</v>
                </pt>
                <pt idx="913">
                  <v>1</v>
                </pt>
                <pt idx="914">
                  <v>1</v>
                </pt>
                <pt idx="915">
                  <v>1</v>
                </pt>
                <pt idx="916">
                  <v>1</v>
                </pt>
                <pt idx="917">
                  <v>1</v>
                </pt>
                <pt idx="918">
                  <v>1</v>
                </pt>
                <pt idx="919">
                  <v>1</v>
                </pt>
                <pt idx="920">
                  <v>1</v>
                </pt>
                <pt idx="921">
                  <v>1</v>
                </pt>
                <pt idx="922">
                  <v>1</v>
                </pt>
                <pt idx="923">
                  <v>1</v>
                </pt>
                <pt idx="924">
                  <v>1</v>
                </pt>
                <pt idx="925">
                  <v>1</v>
                </pt>
                <pt idx="926">
                  <v>1</v>
                </pt>
                <pt idx="927">
                  <v>1</v>
                </pt>
                <pt idx="928">
                  <v>1</v>
                </pt>
                <pt idx="929">
                  <v>1</v>
                </pt>
                <pt idx="930">
                  <v>1</v>
                </pt>
                <pt idx="931">
                  <v>1</v>
                </pt>
                <pt idx="932">
                  <v>1</v>
                </pt>
                <pt idx="933">
                  <v>1</v>
                </pt>
                <pt idx="934">
                  <v>1</v>
                </pt>
                <pt idx="935">
                  <v>1</v>
                </pt>
                <pt idx="936">
                  <v>1</v>
                </pt>
                <pt idx="937">
                  <v>1</v>
                </pt>
                <pt idx="938">
                  <v>1</v>
                </pt>
                <pt idx="939">
                  <v>1</v>
                </pt>
                <pt idx="940">
                  <v>1</v>
                </pt>
                <pt idx="941">
                  <v>1</v>
                </pt>
                <pt idx="942">
                  <v>1</v>
                </pt>
                <pt idx="943">
                  <v>1</v>
                </pt>
                <pt idx="944">
                  <v>1</v>
                </pt>
                <pt idx="945">
                  <v>1</v>
                </pt>
                <pt idx="946">
                  <v>1</v>
                </pt>
                <pt idx="947">
                  <v>1</v>
                </pt>
                <pt idx="948">
                  <v>1</v>
                </pt>
                <pt idx="949">
                  <v>1</v>
                </pt>
                <pt idx="950">
                  <v>1</v>
                </pt>
                <pt idx="951">
                  <v>1</v>
                </pt>
                <pt idx="952">
                  <v>1</v>
                </pt>
                <pt idx="953">
                  <v>1</v>
                </pt>
                <pt idx="954">
                  <v>1</v>
                </pt>
                <pt idx="955">
                  <v>1</v>
                </pt>
                <pt idx="956">
                  <v>1</v>
                </pt>
                <pt idx="957">
                  <v>1</v>
                </pt>
                <pt idx="958">
                  <v>1</v>
                </pt>
                <pt idx="959">
                  <v>1</v>
                </pt>
                <pt idx="960">
                  <v>1</v>
                </pt>
                <pt idx="961">
                  <v>1</v>
                </pt>
                <pt idx="962">
                  <v>1</v>
                </pt>
                <pt idx="963">
                  <v>1</v>
                </pt>
                <pt idx="964">
                  <v>1</v>
                </pt>
                <pt idx="965">
                  <v>1</v>
                </pt>
                <pt idx="966">
                  <v>1</v>
                </pt>
                <pt idx="967">
                  <v>1</v>
                </pt>
                <pt idx="968">
                  <v>1</v>
                </pt>
                <pt idx="969">
                  <v>1</v>
                </pt>
                <pt idx="970">
                  <v>1</v>
                </pt>
                <pt idx="971">
                  <v>1</v>
                </pt>
                <pt idx="972">
                  <v>1</v>
                </pt>
                <pt idx="973">
                  <v>1</v>
                </pt>
                <pt idx="974">
                  <v>1</v>
                </pt>
                <pt idx="975">
                  <v>1</v>
                </pt>
                <pt idx="976">
                  <v>1</v>
                </pt>
                <pt idx="977">
                  <v>1</v>
                </pt>
                <pt idx="978">
                  <v>1</v>
                </pt>
                <pt idx="979">
                  <v>1</v>
                </pt>
                <pt idx="980">
                  <v>1</v>
                </pt>
                <pt idx="981">
                  <v>1</v>
                </pt>
                <pt idx="982">
                  <v>1</v>
                </pt>
                <pt idx="983">
                  <v>1</v>
                </pt>
                <pt idx="984">
                  <v>1</v>
                </pt>
                <pt idx="985">
                  <v>1</v>
                </pt>
                <pt idx="986">
                  <v>1</v>
                </pt>
                <pt idx="987">
                  <v>1</v>
                </pt>
                <pt idx="988">
                  <v>1</v>
                </pt>
                <pt idx="989">
                  <v>1</v>
                </pt>
                <pt idx="990">
                  <v>1</v>
                </pt>
                <pt idx="991">
                  <v>1</v>
                </pt>
                <pt idx="992">
                  <v>1</v>
                </pt>
                <pt idx="993">
                  <v>1</v>
                </pt>
                <pt idx="994">
                  <v>1</v>
                </pt>
                <pt idx="995">
                  <v>1</v>
                </pt>
                <pt idx="996">
                  <v>1</v>
                </pt>
                <pt idx="997">
                  <v>1</v>
                </pt>
                <pt idx="998">
                  <v>1</v>
                </pt>
                <pt idx="999">
                  <v>1</v>
                </pt>
                <pt idx="1000">
                  <v>1</v>
                </pt>
              </numCache>
            </numRef>
          </val>
          <smooth val="0"/>
        </ser>
        <ser>
          <idx val="2"/>
          <order val="2"/>
          <tx>
            <strRef>
              <f>Лист4!$X$1</f>
              <strCache>
                <ptCount val="1"/>
                <pt idx="0">
                  <v>Граница верх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Лист4!$X$2:$X$1003</f>
              <numCache>
                <formatCode>0.000</formatCode>
                <ptCount val="100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1.05</v>
                </pt>
                <pt idx="41">
                  <v>1.05</v>
                </pt>
                <pt idx="42">
                  <v>1.05</v>
                </pt>
                <pt idx="43">
                  <v>1.05</v>
                </pt>
                <pt idx="44">
                  <v>1.05</v>
                </pt>
                <pt idx="45">
                  <v>1.05</v>
                </pt>
                <pt idx="46">
                  <v>1.05</v>
                </pt>
                <pt idx="47">
                  <v>1.05</v>
                </pt>
                <pt idx="48">
                  <v>1.05</v>
                </pt>
                <pt idx="49">
                  <v>1.05</v>
                </pt>
                <pt idx="50">
                  <v>1.05</v>
                </pt>
                <pt idx="51">
                  <v>1.05</v>
                </pt>
                <pt idx="52">
                  <v>1.05</v>
                </pt>
                <pt idx="53">
                  <v>1.05</v>
                </pt>
                <pt idx="54">
                  <v>1.05</v>
                </pt>
                <pt idx="55">
                  <v>1.05</v>
                </pt>
                <pt idx="56">
                  <v>1.05</v>
                </pt>
                <pt idx="57">
                  <v>1.05</v>
                </pt>
                <pt idx="58">
                  <v>1.05</v>
                </pt>
                <pt idx="59">
                  <v>1.05</v>
                </pt>
                <pt idx="60">
                  <v>1.05</v>
                </pt>
                <pt idx="61">
                  <v>1.05</v>
                </pt>
                <pt idx="62">
                  <v>1.05</v>
                </pt>
                <pt idx="63">
                  <v>1.05</v>
                </pt>
                <pt idx="64">
                  <v>1.05</v>
                </pt>
                <pt idx="65">
                  <v>1.05</v>
                </pt>
                <pt idx="66">
                  <v>1.05</v>
                </pt>
                <pt idx="67">
                  <v>1.05</v>
                </pt>
                <pt idx="68">
                  <v>1.05</v>
                </pt>
                <pt idx="69">
                  <v>1.05</v>
                </pt>
                <pt idx="70">
                  <v>1.05</v>
                </pt>
                <pt idx="71">
                  <v>1.05</v>
                </pt>
                <pt idx="72">
                  <v>1.05</v>
                </pt>
                <pt idx="73">
                  <v>1.05</v>
                </pt>
                <pt idx="74">
                  <v>1.05</v>
                </pt>
                <pt idx="75">
                  <v>1.05</v>
                </pt>
                <pt idx="76">
                  <v>1.05</v>
                </pt>
                <pt idx="77">
                  <v>1.05</v>
                </pt>
                <pt idx="78">
                  <v>1.05</v>
                </pt>
                <pt idx="79">
                  <v>1.05</v>
                </pt>
                <pt idx="80">
                  <v>1.05</v>
                </pt>
                <pt idx="81">
                  <v>1.05</v>
                </pt>
                <pt idx="82">
                  <v>1.05</v>
                </pt>
                <pt idx="83">
                  <v>1.05</v>
                </pt>
                <pt idx="84">
                  <v>1.05</v>
                </pt>
                <pt idx="85">
                  <v>1.05</v>
                </pt>
                <pt idx="86">
                  <v>1.05</v>
                </pt>
                <pt idx="87">
                  <v>1.05</v>
                </pt>
                <pt idx="88">
                  <v>1.05</v>
                </pt>
                <pt idx="89">
                  <v>1.05</v>
                </pt>
                <pt idx="90">
                  <v>1.05</v>
                </pt>
                <pt idx="91">
                  <v>1.05</v>
                </pt>
                <pt idx="92">
                  <v>1.05</v>
                </pt>
                <pt idx="93">
                  <v>1.05</v>
                </pt>
                <pt idx="94">
                  <v>1.05</v>
                </pt>
                <pt idx="95">
                  <v>1.05</v>
                </pt>
                <pt idx="96">
                  <v>1.05</v>
                </pt>
                <pt idx="97">
                  <v>1.05</v>
                </pt>
                <pt idx="98">
                  <v>1.05</v>
                </pt>
                <pt idx="99">
                  <v>1.05</v>
                </pt>
                <pt idx="100">
                  <v>1.05</v>
                </pt>
                <pt idx="101">
                  <v>1.05</v>
                </pt>
                <pt idx="102">
                  <v>1.05</v>
                </pt>
                <pt idx="103">
                  <v>1.05</v>
                </pt>
                <pt idx="104">
                  <v>1.05</v>
                </pt>
                <pt idx="105">
                  <v>1.05</v>
                </pt>
                <pt idx="106">
                  <v>1.05</v>
                </pt>
                <pt idx="107">
                  <v>1.05</v>
                </pt>
                <pt idx="108">
                  <v>1.05</v>
                </pt>
                <pt idx="109">
                  <v>1.05</v>
                </pt>
                <pt idx="110">
                  <v>1.05</v>
                </pt>
                <pt idx="111">
                  <v>1.05</v>
                </pt>
                <pt idx="112">
                  <v>1.05</v>
                </pt>
                <pt idx="113">
                  <v>1.05</v>
                </pt>
                <pt idx="114">
                  <v>1.05</v>
                </pt>
                <pt idx="115">
                  <v>1.05</v>
                </pt>
                <pt idx="116">
                  <v>1.05</v>
                </pt>
                <pt idx="117">
                  <v>1.05</v>
                </pt>
                <pt idx="118">
                  <v>1.05</v>
                </pt>
                <pt idx="119">
                  <v>1.05</v>
                </pt>
                <pt idx="120">
                  <v>1.05</v>
                </pt>
                <pt idx="121">
                  <v>1.05</v>
                </pt>
                <pt idx="122">
                  <v>1.05</v>
                </pt>
                <pt idx="123">
                  <v>1.05</v>
                </pt>
                <pt idx="124">
                  <v>1.05</v>
                </pt>
                <pt idx="125">
                  <v>1.05</v>
                </pt>
                <pt idx="126">
                  <v>1.05</v>
                </pt>
                <pt idx="127">
                  <v>1.05</v>
                </pt>
                <pt idx="128">
                  <v>1.05</v>
                </pt>
                <pt idx="129">
                  <v>1.05</v>
                </pt>
                <pt idx="130">
                  <v>1.05</v>
                </pt>
                <pt idx="131">
                  <v>1.05</v>
                </pt>
                <pt idx="132">
                  <v>1.05</v>
                </pt>
                <pt idx="133">
                  <v>1.05</v>
                </pt>
                <pt idx="134">
                  <v>1.05</v>
                </pt>
                <pt idx="135">
                  <v>1.05</v>
                </pt>
                <pt idx="136">
                  <v>1.05</v>
                </pt>
                <pt idx="137">
                  <v>1.05</v>
                </pt>
                <pt idx="138">
                  <v>1.05</v>
                </pt>
                <pt idx="139">
                  <v>1.05</v>
                </pt>
                <pt idx="140">
                  <v>1.05</v>
                </pt>
                <pt idx="141">
                  <v>1.05</v>
                </pt>
                <pt idx="142">
                  <v>1.05</v>
                </pt>
                <pt idx="143">
                  <v>1.05</v>
                </pt>
                <pt idx="144">
                  <v>1.05</v>
                </pt>
                <pt idx="145">
                  <v>1.05</v>
                </pt>
                <pt idx="146">
                  <v>1.05</v>
                </pt>
                <pt idx="147">
                  <v>1.05</v>
                </pt>
                <pt idx="148">
                  <v>1.05</v>
                </pt>
                <pt idx="149">
                  <v>1.05</v>
                </pt>
                <pt idx="150">
                  <v>1.05</v>
                </pt>
                <pt idx="151">
                  <v>1.05</v>
                </pt>
                <pt idx="152">
                  <v>1.05</v>
                </pt>
                <pt idx="153">
                  <v>1.05</v>
                </pt>
                <pt idx="154">
                  <v>1.05</v>
                </pt>
                <pt idx="155">
                  <v>1.05</v>
                </pt>
                <pt idx="156">
                  <v>1.05</v>
                </pt>
                <pt idx="157">
                  <v>1.05</v>
                </pt>
                <pt idx="158">
                  <v>1.05</v>
                </pt>
                <pt idx="159">
                  <v>1.05</v>
                </pt>
                <pt idx="160">
                  <v>1.05</v>
                </pt>
                <pt idx="161">
                  <v>1.05</v>
                </pt>
                <pt idx="162">
                  <v>1.05</v>
                </pt>
                <pt idx="163">
                  <v>1.05</v>
                </pt>
                <pt idx="164">
                  <v>1.05</v>
                </pt>
                <pt idx="165">
                  <v>1.05</v>
                </pt>
                <pt idx="166">
                  <v>1.05</v>
                </pt>
                <pt idx="167">
                  <v>1.05</v>
                </pt>
                <pt idx="168">
                  <v>1.05</v>
                </pt>
                <pt idx="169">
                  <v>1.05</v>
                </pt>
                <pt idx="170">
                  <v>1.05</v>
                </pt>
                <pt idx="171">
                  <v>1.05</v>
                </pt>
                <pt idx="172">
                  <v>1.05</v>
                </pt>
                <pt idx="173">
                  <v>1.05</v>
                </pt>
                <pt idx="174">
                  <v>1.05</v>
                </pt>
                <pt idx="175">
                  <v>1.05</v>
                </pt>
                <pt idx="176">
                  <v>1.05</v>
                </pt>
                <pt idx="177">
                  <v>1.05</v>
                </pt>
                <pt idx="178">
                  <v>1.05</v>
                </pt>
                <pt idx="179">
                  <v>1.05</v>
                </pt>
                <pt idx="180">
                  <v>1.05</v>
                </pt>
                <pt idx="181">
                  <v>1.05</v>
                </pt>
                <pt idx="182">
                  <v>1.05</v>
                </pt>
                <pt idx="183">
                  <v>1.05</v>
                </pt>
                <pt idx="184">
                  <v>1.05</v>
                </pt>
                <pt idx="185">
                  <v>1.05</v>
                </pt>
                <pt idx="186">
                  <v>1.05</v>
                </pt>
                <pt idx="187">
                  <v>1.05</v>
                </pt>
                <pt idx="188">
                  <v>1.05</v>
                </pt>
                <pt idx="189">
                  <v>1.05</v>
                </pt>
                <pt idx="190">
                  <v>1.05</v>
                </pt>
                <pt idx="191">
                  <v>1.05</v>
                </pt>
                <pt idx="192">
                  <v>1.05</v>
                </pt>
                <pt idx="193">
                  <v>1.05</v>
                </pt>
                <pt idx="194">
                  <v>1.05</v>
                </pt>
                <pt idx="195">
                  <v>1.05</v>
                </pt>
                <pt idx="196">
                  <v>1.05</v>
                </pt>
                <pt idx="197">
                  <v>1.05</v>
                </pt>
                <pt idx="198">
                  <v>1.05</v>
                </pt>
                <pt idx="199">
                  <v>1.05</v>
                </pt>
                <pt idx="200">
                  <v>1.05</v>
                </pt>
                <pt idx="201">
                  <v>1.05</v>
                </pt>
                <pt idx="202">
                  <v>1.05</v>
                </pt>
                <pt idx="203">
                  <v>1.05</v>
                </pt>
                <pt idx="204">
                  <v>1.05</v>
                </pt>
                <pt idx="205">
                  <v>1.05</v>
                </pt>
                <pt idx="206">
                  <v>1.05</v>
                </pt>
                <pt idx="207">
                  <v>1.05</v>
                </pt>
                <pt idx="208">
                  <v>1.05</v>
                </pt>
                <pt idx="209">
                  <v>1.05</v>
                </pt>
                <pt idx="210">
                  <v>1.05</v>
                </pt>
                <pt idx="211">
                  <v>1.05</v>
                </pt>
                <pt idx="212">
                  <v>1.05</v>
                </pt>
                <pt idx="213">
                  <v>1.05</v>
                </pt>
                <pt idx="214">
                  <v>1.05</v>
                </pt>
                <pt idx="215">
                  <v>1.05</v>
                </pt>
                <pt idx="216">
                  <v>1.05</v>
                </pt>
                <pt idx="217">
                  <v>1.05</v>
                </pt>
                <pt idx="218">
                  <v>1.05</v>
                </pt>
                <pt idx="219">
                  <v>1.05</v>
                </pt>
                <pt idx="220">
                  <v>1.05</v>
                </pt>
                <pt idx="221">
                  <v>1.05</v>
                </pt>
                <pt idx="222">
                  <v>1.05</v>
                </pt>
                <pt idx="223">
                  <v>1.05</v>
                </pt>
                <pt idx="224">
                  <v>1.05</v>
                </pt>
                <pt idx="225">
                  <v>1.05</v>
                </pt>
                <pt idx="226">
                  <v>1.05</v>
                </pt>
                <pt idx="227">
                  <v>1.05</v>
                </pt>
                <pt idx="228">
                  <v>1.05</v>
                </pt>
                <pt idx="229">
                  <v>1.05</v>
                </pt>
                <pt idx="230">
                  <v>1.05</v>
                </pt>
                <pt idx="231">
                  <v>1.05</v>
                </pt>
                <pt idx="232">
                  <v>1.05</v>
                </pt>
                <pt idx="233">
                  <v>1.05</v>
                </pt>
                <pt idx="234">
                  <v>1.05</v>
                </pt>
                <pt idx="235">
                  <v>1.05</v>
                </pt>
                <pt idx="236">
                  <v>1.05</v>
                </pt>
                <pt idx="237">
                  <v>1.05</v>
                </pt>
                <pt idx="238">
                  <v>1.05</v>
                </pt>
                <pt idx="239">
                  <v>1.05</v>
                </pt>
                <pt idx="240">
                  <v>1.05</v>
                </pt>
                <pt idx="241">
                  <v>1.05</v>
                </pt>
                <pt idx="242">
                  <v>1.05</v>
                </pt>
                <pt idx="243">
                  <v>1.05</v>
                </pt>
                <pt idx="244">
                  <v>1.05</v>
                </pt>
                <pt idx="245">
                  <v>1.05</v>
                </pt>
                <pt idx="246">
                  <v>1.05</v>
                </pt>
                <pt idx="247">
                  <v>1.05</v>
                </pt>
                <pt idx="248">
                  <v>1.05</v>
                </pt>
                <pt idx="249">
                  <v>1.05</v>
                </pt>
                <pt idx="250">
                  <v>1.05</v>
                </pt>
                <pt idx="251">
                  <v>1.05</v>
                </pt>
                <pt idx="252">
                  <v>1.05</v>
                </pt>
                <pt idx="253">
                  <v>1.05</v>
                </pt>
                <pt idx="254">
                  <v>1.05</v>
                </pt>
                <pt idx="255">
                  <v>1.05</v>
                </pt>
                <pt idx="256">
                  <v>1.05</v>
                </pt>
                <pt idx="257">
                  <v>1.05</v>
                </pt>
                <pt idx="258">
                  <v>1.05</v>
                </pt>
                <pt idx="259">
                  <v>1.05</v>
                </pt>
                <pt idx="260">
                  <v>1.05</v>
                </pt>
                <pt idx="261">
                  <v>1.05</v>
                </pt>
                <pt idx="262">
                  <v>1.05</v>
                </pt>
                <pt idx="263">
                  <v>1.05</v>
                </pt>
                <pt idx="264">
                  <v>1.05</v>
                </pt>
                <pt idx="265">
                  <v>1.05</v>
                </pt>
                <pt idx="266">
                  <v>1.05</v>
                </pt>
                <pt idx="267">
                  <v>1.05</v>
                </pt>
                <pt idx="268">
                  <v>1.05</v>
                </pt>
                <pt idx="269">
                  <v>1.05</v>
                </pt>
                <pt idx="270">
                  <v>1.05</v>
                </pt>
                <pt idx="271">
                  <v>1.05</v>
                </pt>
                <pt idx="272">
                  <v>1.05</v>
                </pt>
                <pt idx="273">
                  <v>1.05</v>
                </pt>
                <pt idx="274">
                  <v>1.05</v>
                </pt>
                <pt idx="275">
                  <v>1.05</v>
                </pt>
                <pt idx="276">
                  <v>1.05</v>
                </pt>
                <pt idx="277">
                  <v>1.05</v>
                </pt>
                <pt idx="278">
                  <v>1.05</v>
                </pt>
                <pt idx="279">
                  <v>1.05</v>
                </pt>
                <pt idx="280">
                  <v>1.05</v>
                </pt>
                <pt idx="281">
                  <v>1.05</v>
                </pt>
                <pt idx="282">
                  <v>1.05</v>
                </pt>
                <pt idx="283">
                  <v>1.05</v>
                </pt>
                <pt idx="284">
                  <v>1.05</v>
                </pt>
                <pt idx="285">
                  <v>1.05</v>
                </pt>
                <pt idx="286">
                  <v>1.05</v>
                </pt>
                <pt idx="287">
                  <v>1.05</v>
                </pt>
                <pt idx="288">
                  <v>1.05</v>
                </pt>
                <pt idx="289">
                  <v>1.05</v>
                </pt>
                <pt idx="290">
                  <v>1.05</v>
                </pt>
                <pt idx="291">
                  <v>1.05</v>
                </pt>
                <pt idx="292">
                  <v>1.05</v>
                </pt>
                <pt idx="293">
                  <v>1.05</v>
                </pt>
                <pt idx="294">
                  <v>1.05</v>
                </pt>
                <pt idx="295">
                  <v>1.05</v>
                </pt>
                <pt idx="296">
                  <v>1.05</v>
                </pt>
                <pt idx="297">
                  <v>1.05</v>
                </pt>
                <pt idx="298">
                  <v>1.05</v>
                </pt>
                <pt idx="299">
                  <v>1.05</v>
                </pt>
                <pt idx="300">
                  <v>1.05</v>
                </pt>
                <pt idx="301">
                  <v>1.05</v>
                </pt>
                <pt idx="302">
                  <v>1.05</v>
                </pt>
                <pt idx="303">
                  <v>1.05</v>
                </pt>
                <pt idx="304">
                  <v>1.05</v>
                </pt>
                <pt idx="305">
                  <v>1.05</v>
                </pt>
                <pt idx="306">
                  <v>1.05</v>
                </pt>
                <pt idx="307">
                  <v>1.05</v>
                </pt>
                <pt idx="308">
                  <v>1.05</v>
                </pt>
                <pt idx="309">
                  <v>1.05</v>
                </pt>
                <pt idx="310">
                  <v>1.05</v>
                </pt>
                <pt idx="311">
                  <v>1.05</v>
                </pt>
                <pt idx="312">
                  <v>1.05</v>
                </pt>
                <pt idx="313">
                  <v>1.05</v>
                </pt>
                <pt idx="314">
                  <v>1.05</v>
                </pt>
                <pt idx="315">
                  <v>1.05</v>
                </pt>
                <pt idx="316">
                  <v>1.05</v>
                </pt>
                <pt idx="317">
                  <v>1.05</v>
                </pt>
                <pt idx="318">
                  <v>1.05</v>
                </pt>
                <pt idx="319">
                  <v>1.05</v>
                </pt>
                <pt idx="320">
                  <v>1.05</v>
                </pt>
                <pt idx="321">
                  <v>1.05</v>
                </pt>
                <pt idx="322">
                  <v>1.05</v>
                </pt>
                <pt idx="323">
                  <v>1.05</v>
                </pt>
                <pt idx="324">
                  <v>1.05</v>
                </pt>
                <pt idx="325">
                  <v>1.05</v>
                </pt>
                <pt idx="326">
                  <v>1.05</v>
                </pt>
                <pt idx="327">
                  <v>1.05</v>
                </pt>
                <pt idx="328">
                  <v>1.05</v>
                </pt>
                <pt idx="329">
                  <v>1.05</v>
                </pt>
                <pt idx="330">
                  <v>1.05</v>
                </pt>
                <pt idx="331">
                  <v>1.05</v>
                </pt>
                <pt idx="332">
                  <v>1.05</v>
                </pt>
                <pt idx="333">
                  <v>1.05</v>
                </pt>
                <pt idx="334">
                  <v>1.05</v>
                </pt>
                <pt idx="335">
                  <v>1.05</v>
                </pt>
                <pt idx="336">
                  <v>1.05</v>
                </pt>
                <pt idx="337">
                  <v>1.05</v>
                </pt>
                <pt idx="338">
                  <v>1.05</v>
                </pt>
                <pt idx="339">
                  <v>1.05</v>
                </pt>
                <pt idx="340">
                  <v>1.05</v>
                </pt>
                <pt idx="341">
                  <v>1.05</v>
                </pt>
                <pt idx="342">
                  <v>1.05</v>
                </pt>
                <pt idx="343">
                  <v>1.05</v>
                </pt>
                <pt idx="344">
                  <v>1.05</v>
                </pt>
                <pt idx="345">
                  <v>1.05</v>
                </pt>
                <pt idx="346">
                  <v>1.05</v>
                </pt>
                <pt idx="347">
                  <v>1.05</v>
                </pt>
                <pt idx="348">
                  <v>1.05</v>
                </pt>
                <pt idx="349">
                  <v>1.05</v>
                </pt>
                <pt idx="350">
                  <v>1.05</v>
                </pt>
                <pt idx="351">
                  <v>1.05</v>
                </pt>
                <pt idx="352">
                  <v>1.05</v>
                </pt>
                <pt idx="353">
                  <v>1.05</v>
                </pt>
                <pt idx="354">
                  <v>1.05</v>
                </pt>
                <pt idx="355">
                  <v>1.05</v>
                </pt>
                <pt idx="356">
                  <v>1.05</v>
                </pt>
                <pt idx="357">
                  <v>1.05</v>
                </pt>
                <pt idx="358">
                  <v>1.05</v>
                </pt>
                <pt idx="359">
                  <v>1.05</v>
                </pt>
                <pt idx="360">
                  <v>1.05</v>
                </pt>
                <pt idx="361">
                  <v>1.05</v>
                </pt>
                <pt idx="362">
                  <v>1.05</v>
                </pt>
                <pt idx="363">
                  <v>1.05</v>
                </pt>
                <pt idx="364">
                  <v>1.05</v>
                </pt>
                <pt idx="365">
                  <v>1.05</v>
                </pt>
                <pt idx="366">
                  <v>1.05</v>
                </pt>
                <pt idx="367">
                  <v>1.05</v>
                </pt>
                <pt idx="368">
                  <v>1.05</v>
                </pt>
                <pt idx="369">
                  <v>1.05</v>
                </pt>
                <pt idx="370">
                  <v>1.05</v>
                </pt>
                <pt idx="371">
                  <v>1.05</v>
                </pt>
                <pt idx="372">
                  <v>1.05</v>
                </pt>
                <pt idx="373">
                  <v>1.05</v>
                </pt>
                <pt idx="374">
                  <v>1.05</v>
                </pt>
                <pt idx="375">
                  <v>1.05</v>
                </pt>
                <pt idx="376">
                  <v>1.05</v>
                </pt>
                <pt idx="377">
                  <v>1.05</v>
                </pt>
                <pt idx="378">
                  <v>1.05</v>
                </pt>
                <pt idx="379">
                  <v>1.05</v>
                </pt>
                <pt idx="380">
                  <v>1.05</v>
                </pt>
                <pt idx="381">
                  <v>1.05</v>
                </pt>
                <pt idx="382">
                  <v>1.05</v>
                </pt>
                <pt idx="383">
                  <v>1.05</v>
                </pt>
                <pt idx="384">
                  <v>1.05</v>
                </pt>
                <pt idx="385">
                  <v>1.05</v>
                </pt>
                <pt idx="386">
                  <v>1.05</v>
                </pt>
                <pt idx="387">
                  <v>1.05</v>
                </pt>
                <pt idx="388">
                  <v>1.05</v>
                </pt>
                <pt idx="389">
                  <v>1.05</v>
                </pt>
                <pt idx="390">
                  <v>1.05</v>
                </pt>
                <pt idx="391">
                  <v>1.05</v>
                </pt>
                <pt idx="392">
                  <v>1.05</v>
                </pt>
                <pt idx="393">
                  <v>1.05</v>
                </pt>
                <pt idx="394">
                  <v>1.05</v>
                </pt>
                <pt idx="395">
                  <v>1.05</v>
                </pt>
                <pt idx="396">
                  <v>1.05</v>
                </pt>
                <pt idx="397">
                  <v>1.05</v>
                </pt>
                <pt idx="398">
                  <v>1.05</v>
                </pt>
                <pt idx="399">
                  <v>1.05</v>
                </pt>
                <pt idx="400">
                  <v>1.05</v>
                </pt>
                <pt idx="401">
                  <v>1.05</v>
                </pt>
                <pt idx="402">
                  <v>1.05</v>
                </pt>
                <pt idx="403">
                  <v>1.05</v>
                </pt>
                <pt idx="404">
                  <v>1.05</v>
                </pt>
                <pt idx="405">
                  <v>1.05</v>
                </pt>
                <pt idx="406">
                  <v>1.05</v>
                </pt>
                <pt idx="407">
                  <v>1.05</v>
                </pt>
                <pt idx="408">
                  <v>1.05</v>
                </pt>
                <pt idx="409">
                  <v>1.05</v>
                </pt>
                <pt idx="410">
                  <v>1.05</v>
                </pt>
                <pt idx="411">
                  <v>1.05</v>
                </pt>
                <pt idx="412">
                  <v>1.05</v>
                </pt>
                <pt idx="413">
                  <v>1.05</v>
                </pt>
                <pt idx="414">
                  <v>1.05</v>
                </pt>
                <pt idx="415">
                  <v>1.05</v>
                </pt>
                <pt idx="416">
                  <v>1.05</v>
                </pt>
                <pt idx="417">
                  <v>1.05</v>
                </pt>
                <pt idx="418">
                  <v>1.05</v>
                </pt>
                <pt idx="419">
                  <v>1.05</v>
                </pt>
                <pt idx="420">
                  <v>1.05</v>
                </pt>
                <pt idx="421">
                  <v>1.05</v>
                </pt>
                <pt idx="422">
                  <v>1.05</v>
                </pt>
                <pt idx="423">
                  <v>1.05</v>
                </pt>
                <pt idx="424">
                  <v>1.05</v>
                </pt>
                <pt idx="425">
                  <v>1.05</v>
                </pt>
                <pt idx="426">
                  <v>1.05</v>
                </pt>
                <pt idx="427">
                  <v>1.05</v>
                </pt>
                <pt idx="428">
                  <v>1.05</v>
                </pt>
                <pt idx="429">
                  <v>1.05</v>
                </pt>
                <pt idx="430">
                  <v>1.05</v>
                </pt>
                <pt idx="431">
                  <v>1.05</v>
                </pt>
                <pt idx="432">
                  <v>1.05</v>
                </pt>
                <pt idx="433">
                  <v>1.05</v>
                </pt>
                <pt idx="434">
                  <v>1.05</v>
                </pt>
                <pt idx="435">
                  <v>1.05</v>
                </pt>
                <pt idx="436">
                  <v>1.05</v>
                </pt>
                <pt idx="437">
                  <v>1.05</v>
                </pt>
                <pt idx="438">
                  <v>1.05</v>
                </pt>
                <pt idx="439">
                  <v>1.05</v>
                </pt>
                <pt idx="440">
                  <v>1.05</v>
                </pt>
                <pt idx="441">
                  <v>1.05</v>
                </pt>
                <pt idx="442">
                  <v>1.05</v>
                </pt>
                <pt idx="443">
                  <v>1.05</v>
                </pt>
                <pt idx="444">
                  <v>1.05</v>
                </pt>
                <pt idx="445">
                  <v>1.05</v>
                </pt>
                <pt idx="446">
                  <v>1.05</v>
                </pt>
                <pt idx="447">
                  <v>1.05</v>
                </pt>
                <pt idx="448">
                  <v>1.05</v>
                </pt>
                <pt idx="449">
                  <v>1.05</v>
                </pt>
                <pt idx="450">
                  <v>1.05</v>
                </pt>
                <pt idx="451">
                  <v>1.05</v>
                </pt>
                <pt idx="452">
                  <v>1.05</v>
                </pt>
                <pt idx="453">
                  <v>1.05</v>
                </pt>
                <pt idx="454">
                  <v>1.05</v>
                </pt>
                <pt idx="455">
                  <v>1.05</v>
                </pt>
                <pt idx="456">
                  <v>1.05</v>
                </pt>
                <pt idx="457">
                  <v>1.05</v>
                </pt>
                <pt idx="458">
                  <v>1.05</v>
                </pt>
                <pt idx="459">
                  <v>1.05</v>
                </pt>
                <pt idx="460">
                  <v>1.05</v>
                </pt>
                <pt idx="461">
                  <v>1.05</v>
                </pt>
                <pt idx="462">
                  <v>1.05</v>
                </pt>
                <pt idx="463">
                  <v>1.05</v>
                </pt>
                <pt idx="464">
                  <v>1.05</v>
                </pt>
                <pt idx="465">
                  <v>1.05</v>
                </pt>
                <pt idx="466">
                  <v>1.05</v>
                </pt>
                <pt idx="467">
                  <v>1.05</v>
                </pt>
                <pt idx="468">
                  <v>1.05</v>
                </pt>
                <pt idx="469">
                  <v>1.05</v>
                </pt>
                <pt idx="470">
                  <v>1.05</v>
                </pt>
                <pt idx="471">
                  <v>1.05</v>
                </pt>
                <pt idx="472">
                  <v>1.05</v>
                </pt>
                <pt idx="473">
                  <v>1.05</v>
                </pt>
                <pt idx="474">
                  <v>1.05</v>
                </pt>
                <pt idx="475">
                  <v>1.05</v>
                </pt>
                <pt idx="476">
                  <v>1.05</v>
                </pt>
                <pt idx="477">
                  <v>1.05</v>
                </pt>
                <pt idx="478">
                  <v>1.05</v>
                </pt>
                <pt idx="479">
                  <v>1.05</v>
                </pt>
                <pt idx="480">
                  <v>1.05</v>
                </pt>
                <pt idx="481">
                  <v>1.05</v>
                </pt>
                <pt idx="482">
                  <v>1.05</v>
                </pt>
                <pt idx="483">
                  <v>1.05</v>
                </pt>
                <pt idx="484">
                  <v>1.05</v>
                </pt>
                <pt idx="485">
                  <v>1.05</v>
                </pt>
                <pt idx="486">
                  <v>1.05</v>
                </pt>
                <pt idx="487">
                  <v>1.05</v>
                </pt>
                <pt idx="488">
                  <v>1.05</v>
                </pt>
                <pt idx="489">
                  <v>1.05</v>
                </pt>
                <pt idx="490">
                  <v>1.05</v>
                </pt>
                <pt idx="491">
                  <v>1.05</v>
                </pt>
                <pt idx="492">
                  <v>1.05</v>
                </pt>
                <pt idx="493">
                  <v>1.05</v>
                </pt>
                <pt idx="494">
                  <v>1.05</v>
                </pt>
                <pt idx="495">
                  <v>1.05</v>
                </pt>
                <pt idx="496">
                  <v>1.05</v>
                </pt>
                <pt idx="497">
                  <v>1.05</v>
                </pt>
                <pt idx="498">
                  <v>1.05</v>
                </pt>
                <pt idx="499">
                  <v>1.05</v>
                </pt>
                <pt idx="500">
                  <v>1.05</v>
                </pt>
                <pt idx="501">
                  <v>1.05</v>
                </pt>
                <pt idx="502">
                  <v>1.05</v>
                </pt>
                <pt idx="503">
                  <v>1.05</v>
                </pt>
                <pt idx="504">
                  <v>1.05</v>
                </pt>
                <pt idx="505">
                  <v>1.05</v>
                </pt>
                <pt idx="506">
                  <v>1.05</v>
                </pt>
                <pt idx="507">
                  <v>1.05</v>
                </pt>
                <pt idx="508">
                  <v>1.05</v>
                </pt>
                <pt idx="509">
                  <v>1.05</v>
                </pt>
                <pt idx="510">
                  <v>1.05</v>
                </pt>
                <pt idx="511">
                  <v>1.05</v>
                </pt>
                <pt idx="512">
                  <v>1.05</v>
                </pt>
                <pt idx="513">
                  <v>1.05</v>
                </pt>
                <pt idx="514">
                  <v>1.05</v>
                </pt>
                <pt idx="515">
                  <v>1.05</v>
                </pt>
                <pt idx="516">
                  <v>1.05</v>
                </pt>
                <pt idx="517">
                  <v>1.05</v>
                </pt>
                <pt idx="518">
                  <v>1.05</v>
                </pt>
                <pt idx="519">
                  <v>1.05</v>
                </pt>
                <pt idx="520">
                  <v>1.05</v>
                </pt>
                <pt idx="521">
                  <v>1.05</v>
                </pt>
                <pt idx="522">
                  <v>1.05</v>
                </pt>
                <pt idx="523">
                  <v>1.05</v>
                </pt>
                <pt idx="524">
                  <v>1.05</v>
                </pt>
                <pt idx="525">
                  <v>1.05</v>
                </pt>
                <pt idx="526">
                  <v>1.05</v>
                </pt>
                <pt idx="527">
                  <v>1.05</v>
                </pt>
                <pt idx="528">
                  <v>1.05</v>
                </pt>
                <pt idx="529">
                  <v>1.05</v>
                </pt>
                <pt idx="530">
                  <v>1.05</v>
                </pt>
                <pt idx="531">
                  <v>1.05</v>
                </pt>
                <pt idx="532">
                  <v>1.05</v>
                </pt>
                <pt idx="533">
                  <v>1.05</v>
                </pt>
                <pt idx="534">
                  <v>1.05</v>
                </pt>
                <pt idx="535">
                  <v>1.05</v>
                </pt>
                <pt idx="536">
                  <v>1.05</v>
                </pt>
                <pt idx="537">
                  <v>1.05</v>
                </pt>
                <pt idx="538">
                  <v>1.05</v>
                </pt>
                <pt idx="539">
                  <v>1.05</v>
                </pt>
                <pt idx="540">
                  <v>1.05</v>
                </pt>
                <pt idx="541">
                  <v>1.05</v>
                </pt>
                <pt idx="542">
                  <v>1.05</v>
                </pt>
                <pt idx="543">
                  <v>1.05</v>
                </pt>
                <pt idx="544">
                  <v>1.05</v>
                </pt>
                <pt idx="545">
                  <v>1.05</v>
                </pt>
                <pt idx="546">
                  <v>1.05</v>
                </pt>
                <pt idx="547">
                  <v>1.05</v>
                </pt>
                <pt idx="548">
                  <v>1.05</v>
                </pt>
                <pt idx="549">
                  <v>1.05</v>
                </pt>
                <pt idx="550">
                  <v>1.05</v>
                </pt>
                <pt idx="551">
                  <v>1.05</v>
                </pt>
                <pt idx="552">
                  <v>1.05</v>
                </pt>
                <pt idx="553">
                  <v>1.05</v>
                </pt>
                <pt idx="554">
                  <v>1.05</v>
                </pt>
                <pt idx="555">
                  <v>1.05</v>
                </pt>
                <pt idx="556">
                  <v>1.05</v>
                </pt>
                <pt idx="557">
                  <v>1.05</v>
                </pt>
                <pt idx="558">
                  <v>1.05</v>
                </pt>
                <pt idx="559">
                  <v>1.05</v>
                </pt>
                <pt idx="560">
                  <v>1.05</v>
                </pt>
                <pt idx="561">
                  <v>1.05</v>
                </pt>
                <pt idx="562">
                  <v>1.05</v>
                </pt>
                <pt idx="563">
                  <v>1.05</v>
                </pt>
                <pt idx="564">
                  <v>1.05</v>
                </pt>
                <pt idx="565">
                  <v>1.05</v>
                </pt>
                <pt idx="566">
                  <v>1.05</v>
                </pt>
                <pt idx="567">
                  <v>1.05</v>
                </pt>
                <pt idx="568">
                  <v>1.05</v>
                </pt>
                <pt idx="569">
                  <v>1.05</v>
                </pt>
                <pt idx="570">
                  <v>1.05</v>
                </pt>
                <pt idx="571">
                  <v>1.05</v>
                </pt>
                <pt idx="572">
                  <v>1.05</v>
                </pt>
                <pt idx="573">
                  <v>1.05</v>
                </pt>
                <pt idx="574">
                  <v>1.05</v>
                </pt>
                <pt idx="575">
                  <v>1.05</v>
                </pt>
                <pt idx="576">
                  <v>1.05</v>
                </pt>
                <pt idx="577">
                  <v>1.05</v>
                </pt>
                <pt idx="578">
                  <v>1.05</v>
                </pt>
                <pt idx="579">
                  <v>1.05</v>
                </pt>
                <pt idx="580">
                  <v>1.05</v>
                </pt>
                <pt idx="581">
                  <v>1.05</v>
                </pt>
                <pt idx="582">
                  <v>1.05</v>
                </pt>
                <pt idx="583">
                  <v>1.05</v>
                </pt>
                <pt idx="584">
                  <v>1.05</v>
                </pt>
                <pt idx="585">
                  <v>1.05</v>
                </pt>
                <pt idx="586">
                  <v>1.05</v>
                </pt>
                <pt idx="587">
                  <v>1.05</v>
                </pt>
                <pt idx="588">
                  <v>1.05</v>
                </pt>
                <pt idx="589">
                  <v>1.05</v>
                </pt>
                <pt idx="590">
                  <v>1.05</v>
                </pt>
                <pt idx="591">
                  <v>1.05</v>
                </pt>
                <pt idx="592">
                  <v>1.05</v>
                </pt>
                <pt idx="593">
                  <v>1.05</v>
                </pt>
                <pt idx="594">
                  <v>1.05</v>
                </pt>
                <pt idx="595">
                  <v>1.05</v>
                </pt>
                <pt idx="596">
                  <v>1.05</v>
                </pt>
                <pt idx="597">
                  <v>1.05</v>
                </pt>
                <pt idx="598">
                  <v>1.05</v>
                </pt>
                <pt idx="599">
                  <v>1.05</v>
                </pt>
                <pt idx="600">
                  <v>1.05</v>
                </pt>
                <pt idx="601">
                  <v>1.05</v>
                </pt>
                <pt idx="602">
                  <v>1.05</v>
                </pt>
                <pt idx="603">
                  <v>1.05</v>
                </pt>
                <pt idx="604">
                  <v>1.05</v>
                </pt>
                <pt idx="605">
                  <v>1.05</v>
                </pt>
                <pt idx="606">
                  <v>1.05</v>
                </pt>
                <pt idx="607">
                  <v>1.05</v>
                </pt>
                <pt idx="608">
                  <v>1.05</v>
                </pt>
                <pt idx="609">
                  <v>1.05</v>
                </pt>
                <pt idx="610">
                  <v>1.05</v>
                </pt>
                <pt idx="611">
                  <v>1.05</v>
                </pt>
                <pt idx="612">
                  <v>1.05</v>
                </pt>
                <pt idx="613">
                  <v>1.05</v>
                </pt>
                <pt idx="614">
                  <v>1.05</v>
                </pt>
                <pt idx="615">
                  <v>1.05</v>
                </pt>
                <pt idx="616">
                  <v>1.05</v>
                </pt>
                <pt idx="617">
                  <v>1.05</v>
                </pt>
                <pt idx="618">
                  <v>1.05</v>
                </pt>
                <pt idx="619">
                  <v>1.05</v>
                </pt>
                <pt idx="620">
                  <v>1.05</v>
                </pt>
                <pt idx="621">
                  <v>1.05</v>
                </pt>
                <pt idx="622">
                  <v>1.05</v>
                </pt>
                <pt idx="623">
                  <v>1.05</v>
                </pt>
                <pt idx="624">
                  <v>1.05</v>
                </pt>
                <pt idx="625">
                  <v>1.05</v>
                </pt>
                <pt idx="626">
                  <v>1.05</v>
                </pt>
                <pt idx="627">
                  <v>1.05</v>
                </pt>
                <pt idx="628">
                  <v>1.05</v>
                </pt>
                <pt idx="629">
                  <v>1.05</v>
                </pt>
                <pt idx="630">
                  <v>1.05</v>
                </pt>
                <pt idx="631">
                  <v>1.05</v>
                </pt>
                <pt idx="632">
                  <v>1.05</v>
                </pt>
                <pt idx="633">
                  <v>1.05</v>
                </pt>
                <pt idx="634">
                  <v>1.05</v>
                </pt>
                <pt idx="635">
                  <v>1.05</v>
                </pt>
                <pt idx="636">
                  <v>1.05</v>
                </pt>
                <pt idx="637">
                  <v>1.05</v>
                </pt>
                <pt idx="638">
                  <v>1.05</v>
                </pt>
                <pt idx="639">
                  <v>1.05</v>
                </pt>
                <pt idx="640">
                  <v>1.05</v>
                </pt>
                <pt idx="641">
                  <v>1.05</v>
                </pt>
                <pt idx="642">
                  <v>1.05</v>
                </pt>
                <pt idx="643">
                  <v>1.05</v>
                </pt>
                <pt idx="644">
                  <v>1.05</v>
                </pt>
                <pt idx="645">
                  <v>1.05</v>
                </pt>
                <pt idx="646">
                  <v>1.05</v>
                </pt>
                <pt idx="647">
                  <v>1.05</v>
                </pt>
                <pt idx="648">
                  <v>1.05</v>
                </pt>
                <pt idx="649">
                  <v>1.05</v>
                </pt>
                <pt idx="650">
                  <v>1.05</v>
                </pt>
                <pt idx="651">
                  <v>1.05</v>
                </pt>
                <pt idx="652">
                  <v>1.05</v>
                </pt>
                <pt idx="653">
                  <v>1.05</v>
                </pt>
                <pt idx="654">
                  <v>1.05</v>
                </pt>
                <pt idx="655">
                  <v>1.05</v>
                </pt>
                <pt idx="656">
                  <v>1.05</v>
                </pt>
                <pt idx="657">
                  <v>1.05</v>
                </pt>
                <pt idx="658">
                  <v>1.05</v>
                </pt>
                <pt idx="659">
                  <v>1.05</v>
                </pt>
                <pt idx="660">
                  <v>1.05</v>
                </pt>
                <pt idx="661">
                  <v>1.05</v>
                </pt>
                <pt idx="662">
                  <v>1.05</v>
                </pt>
                <pt idx="663">
                  <v>1.05</v>
                </pt>
                <pt idx="664">
                  <v>1.05</v>
                </pt>
                <pt idx="665">
                  <v>1.05</v>
                </pt>
                <pt idx="666">
                  <v>1.05</v>
                </pt>
                <pt idx="667">
                  <v>1.05</v>
                </pt>
                <pt idx="668">
                  <v>1.05</v>
                </pt>
                <pt idx="669">
                  <v>1.05</v>
                </pt>
                <pt idx="670">
                  <v>1.05</v>
                </pt>
                <pt idx="671">
                  <v>1.05</v>
                </pt>
                <pt idx="672">
                  <v>1.05</v>
                </pt>
                <pt idx="673">
                  <v>1.05</v>
                </pt>
                <pt idx="674">
                  <v>1.05</v>
                </pt>
                <pt idx="675">
                  <v>1.05</v>
                </pt>
                <pt idx="676">
                  <v>1.05</v>
                </pt>
                <pt idx="677">
                  <v>1.05</v>
                </pt>
                <pt idx="678">
                  <v>1.05</v>
                </pt>
                <pt idx="679">
                  <v>1.05</v>
                </pt>
                <pt idx="680">
                  <v>1.05</v>
                </pt>
                <pt idx="681">
                  <v>1.05</v>
                </pt>
                <pt idx="682">
                  <v>1.05</v>
                </pt>
                <pt idx="683">
                  <v>1.05</v>
                </pt>
                <pt idx="684">
                  <v>1.05</v>
                </pt>
                <pt idx="685">
                  <v>1.05</v>
                </pt>
                <pt idx="686">
                  <v>1.05</v>
                </pt>
                <pt idx="687">
                  <v>1.05</v>
                </pt>
                <pt idx="688">
                  <v>1.05</v>
                </pt>
                <pt idx="689">
                  <v>1.05</v>
                </pt>
                <pt idx="690">
                  <v>1.05</v>
                </pt>
                <pt idx="691">
                  <v>1.05</v>
                </pt>
                <pt idx="692">
                  <v>1.05</v>
                </pt>
                <pt idx="693">
                  <v>1.05</v>
                </pt>
                <pt idx="694">
                  <v>1.05</v>
                </pt>
                <pt idx="695">
                  <v>1.05</v>
                </pt>
                <pt idx="696">
                  <v>1.05</v>
                </pt>
                <pt idx="697">
                  <v>1.05</v>
                </pt>
                <pt idx="698">
                  <v>1.05</v>
                </pt>
                <pt idx="699">
                  <v>1.05</v>
                </pt>
                <pt idx="700">
                  <v>1.05</v>
                </pt>
                <pt idx="701">
                  <v>1.05</v>
                </pt>
                <pt idx="702">
                  <v>1.05</v>
                </pt>
                <pt idx="703">
                  <v>1.05</v>
                </pt>
                <pt idx="704">
                  <v>1.05</v>
                </pt>
                <pt idx="705">
                  <v>1.05</v>
                </pt>
                <pt idx="706">
                  <v>1.05</v>
                </pt>
                <pt idx="707">
                  <v>1.05</v>
                </pt>
                <pt idx="708">
                  <v>1.05</v>
                </pt>
                <pt idx="709">
                  <v>1.05</v>
                </pt>
                <pt idx="710">
                  <v>1.05</v>
                </pt>
                <pt idx="711">
                  <v>1.05</v>
                </pt>
                <pt idx="712">
                  <v>1.05</v>
                </pt>
                <pt idx="713">
                  <v>1.05</v>
                </pt>
                <pt idx="714">
                  <v>1.05</v>
                </pt>
                <pt idx="715">
                  <v>1.05</v>
                </pt>
                <pt idx="716">
                  <v>1.05</v>
                </pt>
                <pt idx="717">
                  <v>1.05</v>
                </pt>
                <pt idx="718">
                  <v>1.05</v>
                </pt>
                <pt idx="719">
                  <v>1.05</v>
                </pt>
                <pt idx="720">
                  <v>1.05</v>
                </pt>
                <pt idx="721">
                  <v>1.05</v>
                </pt>
                <pt idx="722">
                  <v>1.05</v>
                </pt>
                <pt idx="723">
                  <v>1.05</v>
                </pt>
                <pt idx="724">
                  <v>1.05</v>
                </pt>
                <pt idx="725">
                  <v>1.05</v>
                </pt>
                <pt idx="726">
                  <v>1.05</v>
                </pt>
                <pt idx="727">
                  <v>1.05</v>
                </pt>
                <pt idx="728">
                  <v>1.05</v>
                </pt>
                <pt idx="729">
                  <v>1.05</v>
                </pt>
                <pt idx="730">
                  <v>1.05</v>
                </pt>
                <pt idx="731">
                  <v>1.05</v>
                </pt>
                <pt idx="732">
                  <v>1.05</v>
                </pt>
                <pt idx="733">
                  <v>1.05</v>
                </pt>
                <pt idx="734">
                  <v>1.05</v>
                </pt>
                <pt idx="735">
                  <v>1.05</v>
                </pt>
                <pt idx="736">
                  <v>1.05</v>
                </pt>
                <pt idx="737">
                  <v>1.05</v>
                </pt>
                <pt idx="738">
                  <v>1.05</v>
                </pt>
                <pt idx="739">
                  <v>1.05</v>
                </pt>
                <pt idx="740">
                  <v>1.05</v>
                </pt>
                <pt idx="741">
                  <v>1.05</v>
                </pt>
                <pt idx="742">
                  <v>1.05</v>
                </pt>
                <pt idx="743">
                  <v>1.05</v>
                </pt>
                <pt idx="744">
                  <v>1.05</v>
                </pt>
                <pt idx="745">
                  <v>1.05</v>
                </pt>
                <pt idx="746">
                  <v>1.05</v>
                </pt>
                <pt idx="747">
                  <v>1.05</v>
                </pt>
                <pt idx="748">
                  <v>1.05</v>
                </pt>
                <pt idx="749">
                  <v>1.05</v>
                </pt>
                <pt idx="750">
                  <v>1.05</v>
                </pt>
                <pt idx="751">
                  <v>1.05</v>
                </pt>
                <pt idx="752">
                  <v>1.05</v>
                </pt>
                <pt idx="753">
                  <v>1.05</v>
                </pt>
                <pt idx="754">
                  <v>1.05</v>
                </pt>
                <pt idx="755">
                  <v>1.05</v>
                </pt>
                <pt idx="756">
                  <v>1.05</v>
                </pt>
                <pt idx="757">
                  <v>1.05</v>
                </pt>
                <pt idx="758">
                  <v>1.05</v>
                </pt>
                <pt idx="759">
                  <v>1.05</v>
                </pt>
                <pt idx="760">
                  <v>1.05</v>
                </pt>
                <pt idx="761">
                  <v>1.05</v>
                </pt>
                <pt idx="762">
                  <v>1.05</v>
                </pt>
                <pt idx="763">
                  <v>1.05</v>
                </pt>
                <pt idx="764">
                  <v>1.05</v>
                </pt>
                <pt idx="765">
                  <v>1.05</v>
                </pt>
                <pt idx="766">
                  <v>1.05</v>
                </pt>
                <pt idx="767">
                  <v>1.05</v>
                </pt>
                <pt idx="768">
                  <v>1.05</v>
                </pt>
                <pt idx="769">
                  <v>1.05</v>
                </pt>
                <pt idx="770">
                  <v>1.05</v>
                </pt>
                <pt idx="771">
                  <v>1.05</v>
                </pt>
                <pt idx="772">
                  <v>1.05</v>
                </pt>
                <pt idx="773">
                  <v>1.05</v>
                </pt>
                <pt idx="774">
                  <v>1.05</v>
                </pt>
                <pt idx="775">
                  <v>1.05</v>
                </pt>
                <pt idx="776">
                  <v>1.05</v>
                </pt>
                <pt idx="777">
                  <v>1.05</v>
                </pt>
                <pt idx="778">
                  <v>1.05</v>
                </pt>
                <pt idx="779">
                  <v>1.05</v>
                </pt>
                <pt idx="780">
                  <v>1.05</v>
                </pt>
                <pt idx="781">
                  <v>1.05</v>
                </pt>
                <pt idx="782">
                  <v>1.05</v>
                </pt>
                <pt idx="783">
                  <v>1.05</v>
                </pt>
                <pt idx="784">
                  <v>1.05</v>
                </pt>
                <pt idx="785">
                  <v>1.05</v>
                </pt>
                <pt idx="786">
                  <v>1.05</v>
                </pt>
                <pt idx="787">
                  <v>1.05</v>
                </pt>
                <pt idx="788">
                  <v>1.05</v>
                </pt>
                <pt idx="789">
                  <v>1.05</v>
                </pt>
                <pt idx="790">
                  <v>1.05</v>
                </pt>
                <pt idx="791">
                  <v>1.05</v>
                </pt>
                <pt idx="792">
                  <v>1.05</v>
                </pt>
                <pt idx="793">
                  <v>1.05</v>
                </pt>
                <pt idx="794">
                  <v>1.05</v>
                </pt>
                <pt idx="795">
                  <v>1.05</v>
                </pt>
                <pt idx="796">
                  <v>1.05</v>
                </pt>
                <pt idx="797">
                  <v>1.05</v>
                </pt>
                <pt idx="798">
                  <v>1.05</v>
                </pt>
                <pt idx="799">
                  <v>1.05</v>
                </pt>
                <pt idx="800">
                  <v>1.05</v>
                </pt>
                <pt idx="801">
                  <v>1.05</v>
                </pt>
                <pt idx="802">
                  <v>1.05</v>
                </pt>
                <pt idx="803">
                  <v>1.05</v>
                </pt>
                <pt idx="804">
                  <v>1.05</v>
                </pt>
                <pt idx="805">
                  <v>1.05</v>
                </pt>
                <pt idx="806">
                  <v>1.05</v>
                </pt>
                <pt idx="807">
                  <v>1.05</v>
                </pt>
                <pt idx="808">
                  <v>1.05</v>
                </pt>
                <pt idx="809">
                  <v>1.05</v>
                </pt>
                <pt idx="810">
                  <v>1.05</v>
                </pt>
                <pt idx="811">
                  <v>1.05</v>
                </pt>
                <pt idx="812">
                  <v>1.05</v>
                </pt>
                <pt idx="813">
                  <v>1.05</v>
                </pt>
                <pt idx="814">
                  <v>1.05</v>
                </pt>
                <pt idx="815">
                  <v>1.05</v>
                </pt>
                <pt idx="816">
                  <v>1.05</v>
                </pt>
                <pt idx="817">
                  <v>1.05</v>
                </pt>
                <pt idx="818">
                  <v>1.05</v>
                </pt>
                <pt idx="819">
                  <v>1.05</v>
                </pt>
                <pt idx="820">
                  <v>1.05</v>
                </pt>
                <pt idx="821">
                  <v>1.05</v>
                </pt>
                <pt idx="822">
                  <v>1.05</v>
                </pt>
                <pt idx="823">
                  <v>1.05</v>
                </pt>
                <pt idx="824">
                  <v>1.05</v>
                </pt>
                <pt idx="825">
                  <v>1.05</v>
                </pt>
                <pt idx="826">
                  <v>1.05</v>
                </pt>
                <pt idx="827">
                  <v>1.05</v>
                </pt>
                <pt idx="828">
                  <v>1.05</v>
                </pt>
                <pt idx="829">
                  <v>1.05</v>
                </pt>
                <pt idx="830">
                  <v>1.05</v>
                </pt>
                <pt idx="831">
                  <v>1.05</v>
                </pt>
                <pt idx="832">
                  <v>1.05</v>
                </pt>
                <pt idx="833">
                  <v>1.05</v>
                </pt>
                <pt idx="834">
                  <v>1.05</v>
                </pt>
                <pt idx="835">
                  <v>1.05</v>
                </pt>
                <pt idx="836">
                  <v>1.05</v>
                </pt>
                <pt idx="837">
                  <v>1.05</v>
                </pt>
                <pt idx="838">
                  <v>1.05</v>
                </pt>
                <pt idx="839">
                  <v>1.05</v>
                </pt>
                <pt idx="840">
                  <v>1.05</v>
                </pt>
                <pt idx="841">
                  <v>1.05</v>
                </pt>
                <pt idx="842">
                  <v>1.05</v>
                </pt>
                <pt idx="843">
                  <v>1.05</v>
                </pt>
                <pt idx="844">
                  <v>1.05</v>
                </pt>
                <pt idx="845">
                  <v>1.05</v>
                </pt>
                <pt idx="846">
                  <v>1.05</v>
                </pt>
                <pt idx="847">
                  <v>1.05</v>
                </pt>
                <pt idx="848">
                  <v>1.05</v>
                </pt>
                <pt idx="849">
                  <v>1.05</v>
                </pt>
                <pt idx="850">
                  <v>1.05</v>
                </pt>
                <pt idx="851">
                  <v>1.05</v>
                </pt>
                <pt idx="852">
                  <v>1.05</v>
                </pt>
                <pt idx="853">
                  <v>1.05</v>
                </pt>
                <pt idx="854">
                  <v>1.05</v>
                </pt>
                <pt idx="855">
                  <v>1.05</v>
                </pt>
                <pt idx="856">
                  <v>1.05</v>
                </pt>
                <pt idx="857">
                  <v>1.05</v>
                </pt>
                <pt idx="858">
                  <v>1.05</v>
                </pt>
                <pt idx="859">
                  <v>1.05</v>
                </pt>
                <pt idx="860">
                  <v>1.05</v>
                </pt>
                <pt idx="861">
                  <v>1.05</v>
                </pt>
                <pt idx="862">
                  <v>1.05</v>
                </pt>
                <pt idx="863">
                  <v>1.05</v>
                </pt>
                <pt idx="864">
                  <v>1.05</v>
                </pt>
                <pt idx="865">
                  <v>1.05</v>
                </pt>
                <pt idx="866">
                  <v>1.05</v>
                </pt>
                <pt idx="867">
                  <v>1.05</v>
                </pt>
                <pt idx="868">
                  <v>1.05</v>
                </pt>
                <pt idx="869">
                  <v>1.05</v>
                </pt>
                <pt idx="870">
                  <v>1.05</v>
                </pt>
                <pt idx="871">
                  <v>1.05</v>
                </pt>
                <pt idx="872">
                  <v>1.05</v>
                </pt>
                <pt idx="873">
                  <v>1.05</v>
                </pt>
                <pt idx="874">
                  <v>1.05</v>
                </pt>
                <pt idx="875">
                  <v>1.05</v>
                </pt>
                <pt idx="876">
                  <v>1.05</v>
                </pt>
                <pt idx="877">
                  <v>1.05</v>
                </pt>
                <pt idx="878">
                  <v>1.05</v>
                </pt>
                <pt idx="879">
                  <v>1.05</v>
                </pt>
                <pt idx="880">
                  <v>1.05</v>
                </pt>
                <pt idx="881">
                  <v>1.05</v>
                </pt>
                <pt idx="882">
                  <v>1.05</v>
                </pt>
                <pt idx="883">
                  <v>1.05</v>
                </pt>
                <pt idx="884">
                  <v>1.05</v>
                </pt>
                <pt idx="885">
                  <v>1.05</v>
                </pt>
                <pt idx="886">
                  <v>1.05</v>
                </pt>
                <pt idx="887">
                  <v>1.05</v>
                </pt>
                <pt idx="888">
                  <v>1.05</v>
                </pt>
                <pt idx="889">
                  <v>1.05</v>
                </pt>
                <pt idx="890">
                  <v>1.05</v>
                </pt>
                <pt idx="891">
                  <v>1.05</v>
                </pt>
                <pt idx="892">
                  <v>1.05</v>
                </pt>
                <pt idx="893">
                  <v>1.05</v>
                </pt>
                <pt idx="894">
                  <v>1.05</v>
                </pt>
                <pt idx="895">
                  <v>1.05</v>
                </pt>
                <pt idx="896">
                  <v>1.05</v>
                </pt>
                <pt idx="897">
                  <v>1.05</v>
                </pt>
                <pt idx="898">
                  <v>1.05</v>
                </pt>
                <pt idx="899">
                  <v>1.05</v>
                </pt>
                <pt idx="900">
                  <v>1.05</v>
                </pt>
                <pt idx="901">
                  <v>1.05</v>
                </pt>
                <pt idx="902">
                  <v>1.05</v>
                </pt>
                <pt idx="903">
                  <v>1.05</v>
                </pt>
                <pt idx="904">
                  <v>1.05</v>
                </pt>
                <pt idx="905">
                  <v>1.05</v>
                </pt>
                <pt idx="906">
                  <v>1.05</v>
                </pt>
                <pt idx="907">
                  <v>1.05</v>
                </pt>
                <pt idx="908">
                  <v>1.05</v>
                </pt>
                <pt idx="909">
                  <v>1.05</v>
                </pt>
                <pt idx="910">
                  <v>1.05</v>
                </pt>
                <pt idx="911">
                  <v>1.05</v>
                </pt>
                <pt idx="912">
                  <v>1.05</v>
                </pt>
                <pt idx="913">
                  <v>1.05</v>
                </pt>
                <pt idx="914">
                  <v>1.05</v>
                </pt>
                <pt idx="915">
                  <v>1.05</v>
                </pt>
                <pt idx="916">
                  <v>1.05</v>
                </pt>
                <pt idx="917">
                  <v>1.05</v>
                </pt>
                <pt idx="918">
                  <v>1.05</v>
                </pt>
                <pt idx="919">
                  <v>1.05</v>
                </pt>
                <pt idx="920">
                  <v>1.05</v>
                </pt>
                <pt idx="921">
                  <v>1.05</v>
                </pt>
                <pt idx="922">
                  <v>1.05</v>
                </pt>
                <pt idx="923">
                  <v>1.05</v>
                </pt>
                <pt idx="924">
                  <v>1.05</v>
                </pt>
                <pt idx="925">
                  <v>1.05</v>
                </pt>
                <pt idx="926">
                  <v>1.05</v>
                </pt>
                <pt idx="927">
                  <v>1.05</v>
                </pt>
                <pt idx="928">
                  <v>1.05</v>
                </pt>
                <pt idx="929">
                  <v>1.05</v>
                </pt>
                <pt idx="930">
                  <v>1.05</v>
                </pt>
                <pt idx="931">
                  <v>1.05</v>
                </pt>
                <pt idx="932">
                  <v>1.05</v>
                </pt>
                <pt idx="933">
                  <v>1.05</v>
                </pt>
                <pt idx="934">
                  <v>1.05</v>
                </pt>
                <pt idx="935">
                  <v>1.05</v>
                </pt>
                <pt idx="936">
                  <v>1.05</v>
                </pt>
                <pt idx="937">
                  <v>1.05</v>
                </pt>
                <pt idx="938">
                  <v>1.05</v>
                </pt>
                <pt idx="939">
                  <v>1.05</v>
                </pt>
                <pt idx="940">
                  <v>1.05</v>
                </pt>
                <pt idx="941">
                  <v>1.05</v>
                </pt>
                <pt idx="942">
                  <v>1.05</v>
                </pt>
                <pt idx="943">
                  <v>1.05</v>
                </pt>
                <pt idx="944">
                  <v>1.05</v>
                </pt>
                <pt idx="945">
                  <v>1.05</v>
                </pt>
                <pt idx="946">
                  <v>1.05</v>
                </pt>
                <pt idx="947">
                  <v>1.05</v>
                </pt>
                <pt idx="948">
                  <v>1.05</v>
                </pt>
                <pt idx="949">
                  <v>1.05</v>
                </pt>
                <pt idx="950">
                  <v>1.05</v>
                </pt>
                <pt idx="951">
                  <v>1.05</v>
                </pt>
                <pt idx="952">
                  <v>1.05</v>
                </pt>
                <pt idx="953">
                  <v>1.05</v>
                </pt>
                <pt idx="954">
                  <v>1.05</v>
                </pt>
                <pt idx="955">
                  <v>1.05</v>
                </pt>
                <pt idx="956">
                  <v>1.05</v>
                </pt>
                <pt idx="957">
                  <v>1.05</v>
                </pt>
                <pt idx="958">
                  <v>1.05</v>
                </pt>
                <pt idx="959">
                  <v>1.05</v>
                </pt>
                <pt idx="960">
                  <v>1.05</v>
                </pt>
                <pt idx="961">
                  <v>1.05</v>
                </pt>
                <pt idx="962">
                  <v>1.05</v>
                </pt>
                <pt idx="963">
                  <v>1.05</v>
                </pt>
                <pt idx="964">
                  <v>1.05</v>
                </pt>
                <pt idx="965">
                  <v>1.05</v>
                </pt>
                <pt idx="966">
                  <v>1.05</v>
                </pt>
                <pt idx="967">
                  <v>1.05</v>
                </pt>
                <pt idx="968">
                  <v>1.05</v>
                </pt>
                <pt idx="969">
                  <v>1.05</v>
                </pt>
                <pt idx="970">
                  <v>1.05</v>
                </pt>
                <pt idx="971">
                  <v>1.05</v>
                </pt>
                <pt idx="972">
                  <v>1.05</v>
                </pt>
                <pt idx="973">
                  <v>1.05</v>
                </pt>
                <pt idx="974">
                  <v>1.05</v>
                </pt>
                <pt idx="975">
                  <v>1.05</v>
                </pt>
                <pt idx="976">
                  <v>1.05</v>
                </pt>
                <pt idx="977">
                  <v>1.05</v>
                </pt>
                <pt idx="978">
                  <v>1.05</v>
                </pt>
                <pt idx="979">
                  <v>1.05</v>
                </pt>
                <pt idx="980">
                  <v>1.05</v>
                </pt>
                <pt idx="981">
                  <v>1.05</v>
                </pt>
                <pt idx="982">
                  <v>1.05</v>
                </pt>
                <pt idx="983">
                  <v>1.05</v>
                </pt>
                <pt idx="984">
                  <v>1.05</v>
                </pt>
                <pt idx="985">
                  <v>1.05</v>
                </pt>
                <pt idx="986">
                  <v>1.05</v>
                </pt>
                <pt idx="987">
                  <v>1.05</v>
                </pt>
                <pt idx="988">
                  <v>1.05</v>
                </pt>
                <pt idx="989">
                  <v>1.05</v>
                </pt>
                <pt idx="990">
                  <v>1.05</v>
                </pt>
                <pt idx="991">
                  <v>1.05</v>
                </pt>
                <pt idx="992">
                  <v>1.05</v>
                </pt>
                <pt idx="993">
                  <v>1.05</v>
                </pt>
                <pt idx="994">
                  <v>1.05</v>
                </pt>
                <pt idx="995">
                  <v>1.05</v>
                </pt>
                <pt idx="996">
                  <v>1.05</v>
                </pt>
                <pt idx="997">
                  <v>1.05</v>
                </pt>
                <pt idx="998">
                  <v>1.05</v>
                </pt>
                <pt idx="999">
                  <v>1.05</v>
                </pt>
                <pt idx="1000">
                  <v>1.05</v>
                </pt>
              </numCache>
            </numRef>
          </val>
          <smooth val="0"/>
        </ser>
        <ser>
          <idx val="3"/>
          <order val="3"/>
          <tx>
            <strRef>
              <f>Лист4!$Y$1</f>
              <strCache>
                <ptCount val="1"/>
                <pt idx="0">
                  <v>Граница низ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Лист4!$Y$2:$Y$1002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0.95</v>
                </pt>
                <pt idx="41">
                  <v>0.95</v>
                </pt>
                <pt idx="42">
                  <v>0.95</v>
                </pt>
                <pt idx="43">
                  <v>0.95</v>
                </pt>
                <pt idx="44">
                  <v>0.95</v>
                </pt>
                <pt idx="45">
                  <v>0.95</v>
                </pt>
                <pt idx="46">
                  <v>0.95</v>
                </pt>
                <pt idx="47">
                  <v>0.95</v>
                </pt>
                <pt idx="48">
                  <v>0.95</v>
                </pt>
                <pt idx="49">
                  <v>0.95</v>
                </pt>
                <pt idx="50">
                  <v>0.95</v>
                </pt>
                <pt idx="51">
                  <v>0.95</v>
                </pt>
                <pt idx="52">
                  <v>0.95</v>
                </pt>
                <pt idx="53">
                  <v>0.95</v>
                </pt>
                <pt idx="54">
                  <v>0.95</v>
                </pt>
                <pt idx="55">
                  <v>0.95</v>
                </pt>
                <pt idx="56">
                  <v>0.95</v>
                </pt>
                <pt idx="57">
                  <v>0.95</v>
                </pt>
                <pt idx="58">
                  <v>0.95</v>
                </pt>
                <pt idx="59">
                  <v>0.95</v>
                </pt>
                <pt idx="60">
                  <v>0.95</v>
                </pt>
                <pt idx="61">
                  <v>0.95</v>
                </pt>
                <pt idx="62">
                  <v>0.95</v>
                </pt>
                <pt idx="63">
                  <v>0.95</v>
                </pt>
                <pt idx="64">
                  <v>0.95</v>
                </pt>
                <pt idx="65">
                  <v>0.95</v>
                </pt>
                <pt idx="66">
                  <v>0.95</v>
                </pt>
                <pt idx="67">
                  <v>0.95</v>
                </pt>
                <pt idx="68">
                  <v>0.95</v>
                </pt>
                <pt idx="69">
                  <v>0.95</v>
                </pt>
                <pt idx="70">
                  <v>0.95</v>
                </pt>
                <pt idx="71">
                  <v>0.95</v>
                </pt>
                <pt idx="72">
                  <v>0.95</v>
                </pt>
                <pt idx="73">
                  <v>0.95</v>
                </pt>
                <pt idx="74">
                  <v>0.95</v>
                </pt>
                <pt idx="75">
                  <v>0.95</v>
                </pt>
                <pt idx="76">
                  <v>0.95</v>
                </pt>
                <pt idx="77">
                  <v>0.95</v>
                </pt>
                <pt idx="78">
                  <v>0.95</v>
                </pt>
                <pt idx="79">
                  <v>0.95</v>
                </pt>
                <pt idx="80">
                  <v>0.95</v>
                </pt>
                <pt idx="81">
                  <v>0.95</v>
                </pt>
                <pt idx="82">
                  <v>0.95</v>
                </pt>
                <pt idx="83">
                  <v>0.95</v>
                </pt>
                <pt idx="84">
                  <v>0.95</v>
                </pt>
                <pt idx="85">
                  <v>0.95</v>
                </pt>
                <pt idx="86">
                  <v>0.95</v>
                </pt>
                <pt idx="87">
                  <v>0.95</v>
                </pt>
                <pt idx="88">
                  <v>0.95</v>
                </pt>
                <pt idx="89">
                  <v>0.95</v>
                </pt>
                <pt idx="90">
                  <v>0.95</v>
                </pt>
                <pt idx="91">
                  <v>0.95</v>
                </pt>
                <pt idx="92">
                  <v>0.95</v>
                </pt>
                <pt idx="93">
                  <v>0.95</v>
                </pt>
                <pt idx="94">
                  <v>0.95</v>
                </pt>
                <pt idx="95">
                  <v>0.95</v>
                </pt>
                <pt idx="96">
                  <v>0.95</v>
                </pt>
                <pt idx="97">
                  <v>0.95</v>
                </pt>
                <pt idx="98">
                  <v>0.95</v>
                </pt>
                <pt idx="99">
                  <v>0.95</v>
                </pt>
                <pt idx="100">
                  <v>0.95</v>
                </pt>
                <pt idx="101">
                  <v>0.95</v>
                </pt>
                <pt idx="102">
                  <v>0.95</v>
                </pt>
                <pt idx="103">
                  <v>0.95</v>
                </pt>
                <pt idx="104">
                  <v>0.95</v>
                </pt>
                <pt idx="105">
                  <v>0.95</v>
                </pt>
                <pt idx="106">
                  <v>0.95</v>
                </pt>
                <pt idx="107">
                  <v>0.95</v>
                </pt>
                <pt idx="108">
                  <v>0.95</v>
                </pt>
                <pt idx="109">
                  <v>0.95</v>
                </pt>
                <pt idx="110">
                  <v>0.95</v>
                </pt>
                <pt idx="111">
                  <v>0.95</v>
                </pt>
                <pt idx="112">
                  <v>0.95</v>
                </pt>
                <pt idx="113">
                  <v>0.95</v>
                </pt>
                <pt idx="114">
                  <v>0.95</v>
                </pt>
                <pt idx="115">
                  <v>0.95</v>
                </pt>
                <pt idx="116">
                  <v>0.95</v>
                </pt>
                <pt idx="117">
                  <v>0.95</v>
                </pt>
                <pt idx="118">
                  <v>0.95</v>
                </pt>
                <pt idx="119">
                  <v>0.95</v>
                </pt>
                <pt idx="120">
                  <v>0.95</v>
                </pt>
                <pt idx="121">
                  <v>0.95</v>
                </pt>
                <pt idx="122">
                  <v>0.95</v>
                </pt>
                <pt idx="123">
                  <v>0.95</v>
                </pt>
                <pt idx="124">
                  <v>0.95</v>
                </pt>
                <pt idx="125">
                  <v>0.95</v>
                </pt>
                <pt idx="126">
                  <v>0.95</v>
                </pt>
                <pt idx="127">
                  <v>0.95</v>
                </pt>
                <pt idx="128">
                  <v>0.95</v>
                </pt>
                <pt idx="129">
                  <v>0.95</v>
                </pt>
                <pt idx="130">
                  <v>0.95</v>
                </pt>
                <pt idx="131">
                  <v>0.95</v>
                </pt>
                <pt idx="132">
                  <v>0.95</v>
                </pt>
                <pt idx="133">
                  <v>0.95</v>
                </pt>
                <pt idx="134">
                  <v>0.95</v>
                </pt>
                <pt idx="135">
                  <v>0.95</v>
                </pt>
                <pt idx="136">
                  <v>0.95</v>
                </pt>
                <pt idx="137">
                  <v>0.95</v>
                </pt>
                <pt idx="138">
                  <v>0.95</v>
                </pt>
                <pt idx="139">
                  <v>0.95</v>
                </pt>
                <pt idx="140">
                  <v>0.95</v>
                </pt>
                <pt idx="141">
                  <v>0.95</v>
                </pt>
                <pt idx="142">
                  <v>0.95</v>
                </pt>
                <pt idx="143">
                  <v>0.95</v>
                </pt>
                <pt idx="144">
                  <v>0.95</v>
                </pt>
                <pt idx="145">
                  <v>0.95</v>
                </pt>
                <pt idx="146">
                  <v>0.95</v>
                </pt>
                <pt idx="147">
                  <v>0.95</v>
                </pt>
                <pt idx="148">
                  <v>0.95</v>
                </pt>
                <pt idx="149">
                  <v>0.95</v>
                </pt>
                <pt idx="150">
                  <v>0.95</v>
                </pt>
                <pt idx="151">
                  <v>0.95</v>
                </pt>
                <pt idx="152">
                  <v>0.95</v>
                </pt>
                <pt idx="153">
                  <v>0.95</v>
                </pt>
                <pt idx="154">
                  <v>0.95</v>
                </pt>
                <pt idx="155">
                  <v>0.95</v>
                </pt>
                <pt idx="156">
                  <v>0.95</v>
                </pt>
                <pt idx="157">
                  <v>0.95</v>
                </pt>
                <pt idx="158">
                  <v>0.95</v>
                </pt>
                <pt idx="159">
                  <v>0.95</v>
                </pt>
                <pt idx="160">
                  <v>0.95</v>
                </pt>
                <pt idx="161">
                  <v>0.95</v>
                </pt>
                <pt idx="162">
                  <v>0.95</v>
                </pt>
                <pt idx="163">
                  <v>0.95</v>
                </pt>
                <pt idx="164">
                  <v>0.95</v>
                </pt>
                <pt idx="165">
                  <v>0.95</v>
                </pt>
                <pt idx="166">
                  <v>0.95</v>
                </pt>
                <pt idx="167">
                  <v>0.95</v>
                </pt>
                <pt idx="168">
                  <v>0.95</v>
                </pt>
                <pt idx="169">
                  <v>0.95</v>
                </pt>
                <pt idx="170">
                  <v>0.95</v>
                </pt>
                <pt idx="171">
                  <v>0.95</v>
                </pt>
                <pt idx="172">
                  <v>0.95</v>
                </pt>
                <pt idx="173">
                  <v>0.95</v>
                </pt>
                <pt idx="174">
                  <v>0.95</v>
                </pt>
                <pt idx="175">
                  <v>0.95</v>
                </pt>
                <pt idx="176">
                  <v>0.95</v>
                </pt>
                <pt idx="177">
                  <v>0.95</v>
                </pt>
                <pt idx="178">
                  <v>0.95</v>
                </pt>
                <pt idx="179">
                  <v>0.95</v>
                </pt>
                <pt idx="180">
                  <v>0.95</v>
                </pt>
                <pt idx="181">
                  <v>0.95</v>
                </pt>
                <pt idx="182">
                  <v>0.95</v>
                </pt>
                <pt idx="183">
                  <v>0.95</v>
                </pt>
                <pt idx="184">
                  <v>0.95</v>
                </pt>
                <pt idx="185">
                  <v>0.95</v>
                </pt>
                <pt idx="186">
                  <v>0.95</v>
                </pt>
                <pt idx="187">
                  <v>0.95</v>
                </pt>
                <pt idx="188">
                  <v>0.95</v>
                </pt>
                <pt idx="189">
                  <v>0.95</v>
                </pt>
                <pt idx="190">
                  <v>0.95</v>
                </pt>
                <pt idx="191">
                  <v>0.95</v>
                </pt>
                <pt idx="192">
                  <v>0.95</v>
                </pt>
                <pt idx="193">
                  <v>0.95</v>
                </pt>
                <pt idx="194">
                  <v>0.95</v>
                </pt>
                <pt idx="195">
                  <v>0.95</v>
                </pt>
                <pt idx="196">
                  <v>0.95</v>
                </pt>
                <pt idx="197">
                  <v>0.95</v>
                </pt>
                <pt idx="198">
                  <v>0.95</v>
                </pt>
                <pt idx="199">
                  <v>0.95</v>
                </pt>
                <pt idx="200">
                  <v>0.95</v>
                </pt>
                <pt idx="201">
                  <v>0.95</v>
                </pt>
                <pt idx="202">
                  <v>0.95</v>
                </pt>
                <pt idx="203">
                  <v>0.95</v>
                </pt>
                <pt idx="204">
                  <v>0.95</v>
                </pt>
                <pt idx="205">
                  <v>0.95</v>
                </pt>
                <pt idx="206">
                  <v>0.95</v>
                </pt>
                <pt idx="207">
                  <v>0.95</v>
                </pt>
                <pt idx="208">
                  <v>0.95</v>
                </pt>
                <pt idx="209">
                  <v>0.95</v>
                </pt>
                <pt idx="210">
                  <v>0.95</v>
                </pt>
                <pt idx="211">
                  <v>0.95</v>
                </pt>
                <pt idx="212">
                  <v>0.95</v>
                </pt>
                <pt idx="213">
                  <v>0.95</v>
                </pt>
                <pt idx="214">
                  <v>0.95</v>
                </pt>
                <pt idx="215">
                  <v>0.95</v>
                </pt>
                <pt idx="216">
                  <v>0.95</v>
                </pt>
                <pt idx="217">
                  <v>0.95</v>
                </pt>
                <pt idx="218">
                  <v>0.95</v>
                </pt>
                <pt idx="219">
                  <v>0.95</v>
                </pt>
                <pt idx="220">
                  <v>0.95</v>
                </pt>
                <pt idx="221">
                  <v>0.95</v>
                </pt>
                <pt idx="222">
                  <v>0.95</v>
                </pt>
                <pt idx="223">
                  <v>0.95</v>
                </pt>
                <pt idx="224">
                  <v>0.95</v>
                </pt>
                <pt idx="225">
                  <v>0.95</v>
                </pt>
                <pt idx="226">
                  <v>0.95</v>
                </pt>
                <pt idx="227">
                  <v>0.95</v>
                </pt>
                <pt idx="228">
                  <v>0.95</v>
                </pt>
                <pt idx="229">
                  <v>0.95</v>
                </pt>
                <pt idx="230">
                  <v>0.95</v>
                </pt>
                <pt idx="231">
                  <v>0.95</v>
                </pt>
                <pt idx="232">
                  <v>0.95</v>
                </pt>
                <pt idx="233">
                  <v>0.95</v>
                </pt>
                <pt idx="234">
                  <v>0.95</v>
                </pt>
                <pt idx="235">
                  <v>0.95</v>
                </pt>
                <pt idx="236">
                  <v>0.95</v>
                </pt>
                <pt idx="237">
                  <v>0.95</v>
                </pt>
                <pt idx="238">
                  <v>0.95</v>
                </pt>
                <pt idx="239">
                  <v>0.95</v>
                </pt>
                <pt idx="240">
                  <v>0.95</v>
                </pt>
                <pt idx="241">
                  <v>0.95</v>
                </pt>
                <pt idx="242">
                  <v>0.95</v>
                </pt>
                <pt idx="243">
                  <v>0.95</v>
                </pt>
                <pt idx="244">
                  <v>0.95</v>
                </pt>
                <pt idx="245">
                  <v>0.95</v>
                </pt>
                <pt idx="246">
                  <v>0.95</v>
                </pt>
                <pt idx="247">
                  <v>0.95</v>
                </pt>
                <pt idx="248">
                  <v>0.95</v>
                </pt>
                <pt idx="249">
                  <v>0.95</v>
                </pt>
                <pt idx="250">
                  <v>0.95</v>
                </pt>
                <pt idx="251">
                  <v>0.95</v>
                </pt>
                <pt idx="252">
                  <v>0.95</v>
                </pt>
                <pt idx="253">
                  <v>0.95</v>
                </pt>
                <pt idx="254">
                  <v>0.95</v>
                </pt>
                <pt idx="255">
                  <v>0.95</v>
                </pt>
                <pt idx="256">
                  <v>0.95</v>
                </pt>
                <pt idx="257">
                  <v>0.95</v>
                </pt>
                <pt idx="258">
                  <v>0.95</v>
                </pt>
                <pt idx="259">
                  <v>0.95</v>
                </pt>
                <pt idx="260">
                  <v>0.95</v>
                </pt>
                <pt idx="261">
                  <v>0.95</v>
                </pt>
                <pt idx="262">
                  <v>0.95</v>
                </pt>
                <pt idx="263">
                  <v>0.95</v>
                </pt>
                <pt idx="264">
                  <v>0.95</v>
                </pt>
                <pt idx="265">
                  <v>0.95</v>
                </pt>
                <pt idx="266">
                  <v>0.95</v>
                </pt>
                <pt idx="267">
                  <v>0.95</v>
                </pt>
                <pt idx="268">
                  <v>0.95</v>
                </pt>
                <pt idx="269">
                  <v>0.95</v>
                </pt>
                <pt idx="270">
                  <v>0.95</v>
                </pt>
                <pt idx="271">
                  <v>0.95</v>
                </pt>
                <pt idx="272">
                  <v>0.95</v>
                </pt>
                <pt idx="273">
                  <v>0.95</v>
                </pt>
                <pt idx="274">
                  <v>0.95</v>
                </pt>
                <pt idx="275">
                  <v>0.95</v>
                </pt>
                <pt idx="276">
                  <v>0.95</v>
                </pt>
                <pt idx="277">
                  <v>0.95</v>
                </pt>
                <pt idx="278">
                  <v>0.95</v>
                </pt>
                <pt idx="279">
                  <v>0.95</v>
                </pt>
                <pt idx="280">
                  <v>0.95</v>
                </pt>
                <pt idx="281">
                  <v>0.95</v>
                </pt>
                <pt idx="282">
                  <v>0.95</v>
                </pt>
                <pt idx="283">
                  <v>0.95</v>
                </pt>
                <pt idx="284">
                  <v>0.95</v>
                </pt>
                <pt idx="285">
                  <v>0.95</v>
                </pt>
                <pt idx="286">
                  <v>0.95</v>
                </pt>
                <pt idx="287">
                  <v>0.95</v>
                </pt>
                <pt idx="288">
                  <v>0.95</v>
                </pt>
                <pt idx="289">
                  <v>0.95</v>
                </pt>
                <pt idx="290">
                  <v>0.95</v>
                </pt>
                <pt idx="291">
                  <v>0.95</v>
                </pt>
                <pt idx="292">
                  <v>0.95</v>
                </pt>
                <pt idx="293">
                  <v>0.95</v>
                </pt>
                <pt idx="294">
                  <v>0.95</v>
                </pt>
                <pt idx="295">
                  <v>0.95</v>
                </pt>
                <pt idx="296">
                  <v>0.95</v>
                </pt>
                <pt idx="297">
                  <v>0.95</v>
                </pt>
                <pt idx="298">
                  <v>0.95</v>
                </pt>
                <pt idx="299">
                  <v>0.95</v>
                </pt>
                <pt idx="300">
                  <v>0.95</v>
                </pt>
                <pt idx="301">
                  <v>0.95</v>
                </pt>
                <pt idx="302">
                  <v>0.95</v>
                </pt>
                <pt idx="303">
                  <v>0.95</v>
                </pt>
                <pt idx="304">
                  <v>0.95</v>
                </pt>
                <pt idx="305">
                  <v>0.95</v>
                </pt>
                <pt idx="306">
                  <v>0.95</v>
                </pt>
                <pt idx="307">
                  <v>0.95</v>
                </pt>
                <pt idx="308">
                  <v>0.95</v>
                </pt>
                <pt idx="309">
                  <v>0.95</v>
                </pt>
                <pt idx="310">
                  <v>0.95</v>
                </pt>
                <pt idx="311">
                  <v>0.95</v>
                </pt>
                <pt idx="312">
                  <v>0.95</v>
                </pt>
                <pt idx="313">
                  <v>0.95</v>
                </pt>
                <pt idx="314">
                  <v>0.95</v>
                </pt>
                <pt idx="315">
                  <v>0.95</v>
                </pt>
                <pt idx="316">
                  <v>0.95</v>
                </pt>
                <pt idx="317">
                  <v>0.95</v>
                </pt>
                <pt idx="318">
                  <v>0.95</v>
                </pt>
                <pt idx="319">
                  <v>0.95</v>
                </pt>
                <pt idx="320">
                  <v>0.95</v>
                </pt>
                <pt idx="321">
                  <v>0.95</v>
                </pt>
                <pt idx="322">
                  <v>0.95</v>
                </pt>
                <pt idx="323">
                  <v>0.95</v>
                </pt>
                <pt idx="324">
                  <v>0.95</v>
                </pt>
                <pt idx="325">
                  <v>0.95</v>
                </pt>
                <pt idx="326">
                  <v>0.95</v>
                </pt>
                <pt idx="327">
                  <v>0.95</v>
                </pt>
                <pt idx="328">
                  <v>0.95</v>
                </pt>
                <pt idx="329">
                  <v>0.95</v>
                </pt>
                <pt idx="330">
                  <v>0.95</v>
                </pt>
                <pt idx="331">
                  <v>0.95</v>
                </pt>
                <pt idx="332">
                  <v>0.95</v>
                </pt>
                <pt idx="333">
                  <v>0.95</v>
                </pt>
                <pt idx="334">
                  <v>0.95</v>
                </pt>
                <pt idx="335">
                  <v>0.95</v>
                </pt>
                <pt idx="336">
                  <v>0.95</v>
                </pt>
                <pt idx="337">
                  <v>0.95</v>
                </pt>
                <pt idx="338">
                  <v>0.95</v>
                </pt>
                <pt idx="339">
                  <v>0.95</v>
                </pt>
                <pt idx="340">
                  <v>0.95</v>
                </pt>
                <pt idx="341">
                  <v>0.95</v>
                </pt>
                <pt idx="342">
                  <v>0.95</v>
                </pt>
                <pt idx="343">
                  <v>0.95</v>
                </pt>
                <pt idx="344">
                  <v>0.95</v>
                </pt>
                <pt idx="345">
                  <v>0.95</v>
                </pt>
                <pt idx="346">
                  <v>0.95</v>
                </pt>
                <pt idx="347">
                  <v>0.95</v>
                </pt>
                <pt idx="348">
                  <v>0.95</v>
                </pt>
                <pt idx="349">
                  <v>0.95</v>
                </pt>
                <pt idx="350">
                  <v>0.95</v>
                </pt>
                <pt idx="351">
                  <v>0.95</v>
                </pt>
                <pt idx="352">
                  <v>0.95</v>
                </pt>
                <pt idx="353">
                  <v>0.95</v>
                </pt>
                <pt idx="354">
                  <v>0.95</v>
                </pt>
                <pt idx="355">
                  <v>0.95</v>
                </pt>
                <pt idx="356">
                  <v>0.95</v>
                </pt>
                <pt idx="357">
                  <v>0.95</v>
                </pt>
                <pt idx="358">
                  <v>0.95</v>
                </pt>
                <pt idx="359">
                  <v>0.95</v>
                </pt>
                <pt idx="360">
                  <v>0.95</v>
                </pt>
                <pt idx="361">
                  <v>0.95</v>
                </pt>
                <pt idx="362">
                  <v>0.95</v>
                </pt>
                <pt idx="363">
                  <v>0.95</v>
                </pt>
                <pt idx="364">
                  <v>0.95</v>
                </pt>
                <pt idx="365">
                  <v>0.95</v>
                </pt>
                <pt idx="366">
                  <v>0.95</v>
                </pt>
                <pt idx="367">
                  <v>0.95</v>
                </pt>
                <pt idx="368">
                  <v>0.95</v>
                </pt>
                <pt idx="369">
                  <v>0.95</v>
                </pt>
                <pt idx="370">
                  <v>0.95</v>
                </pt>
                <pt idx="371">
                  <v>0.95</v>
                </pt>
                <pt idx="372">
                  <v>0.95</v>
                </pt>
                <pt idx="373">
                  <v>0.95</v>
                </pt>
                <pt idx="374">
                  <v>0.95</v>
                </pt>
                <pt idx="375">
                  <v>0.95</v>
                </pt>
                <pt idx="376">
                  <v>0.95</v>
                </pt>
                <pt idx="377">
                  <v>0.95</v>
                </pt>
                <pt idx="378">
                  <v>0.95</v>
                </pt>
                <pt idx="379">
                  <v>0.95</v>
                </pt>
                <pt idx="380">
                  <v>0.95</v>
                </pt>
                <pt idx="381">
                  <v>0.95</v>
                </pt>
                <pt idx="382">
                  <v>0.95</v>
                </pt>
                <pt idx="383">
                  <v>0.95</v>
                </pt>
                <pt idx="384">
                  <v>0.95</v>
                </pt>
                <pt idx="385">
                  <v>0.95</v>
                </pt>
                <pt idx="386">
                  <v>0.95</v>
                </pt>
                <pt idx="387">
                  <v>0.95</v>
                </pt>
                <pt idx="388">
                  <v>0.95</v>
                </pt>
                <pt idx="389">
                  <v>0.95</v>
                </pt>
                <pt idx="390">
                  <v>0.95</v>
                </pt>
                <pt idx="391">
                  <v>0.95</v>
                </pt>
                <pt idx="392">
                  <v>0.95</v>
                </pt>
                <pt idx="393">
                  <v>0.95</v>
                </pt>
                <pt idx="394">
                  <v>0.95</v>
                </pt>
                <pt idx="395">
                  <v>0.95</v>
                </pt>
                <pt idx="396">
                  <v>0.95</v>
                </pt>
                <pt idx="397">
                  <v>0.95</v>
                </pt>
                <pt idx="398">
                  <v>0.95</v>
                </pt>
                <pt idx="399">
                  <v>0.95</v>
                </pt>
                <pt idx="400">
                  <v>0.95</v>
                </pt>
                <pt idx="401">
                  <v>0.95</v>
                </pt>
                <pt idx="402">
                  <v>0.95</v>
                </pt>
                <pt idx="403">
                  <v>0.95</v>
                </pt>
                <pt idx="404">
                  <v>0.95</v>
                </pt>
                <pt idx="405">
                  <v>0.95</v>
                </pt>
                <pt idx="406">
                  <v>0.95</v>
                </pt>
                <pt idx="407">
                  <v>0.95</v>
                </pt>
                <pt idx="408">
                  <v>0.95</v>
                </pt>
                <pt idx="409">
                  <v>0.95</v>
                </pt>
                <pt idx="410">
                  <v>0.95</v>
                </pt>
                <pt idx="411">
                  <v>0.95</v>
                </pt>
                <pt idx="412">
                  <v>0.95</v>
                </pt>
                <pt idx="413">
                  <v>0.95</v>
                </pt>
                <pt idx="414">
                  <v>0.95</v>
                </pt>
                <pt idx="415">
                  <v>0.95</v>
                </pt>
                <pt idx="416">
                  <v>0.95</v>
                </pt>
                <pt idx="417">
                  <v>0.95</v>
                </pt>
                <pt idx="418">
                  <v>0.95</v>
                </pt>
                <pt idx="419">
                  <v>0.95</v>
                </pt>
                <pt idx="420">
                  <v>0.95</v>
                </pt>
                <pt idx="421">
                  <v>0.95</v>
                </pt>
                <pt idx="422">
                  <v>0.95</v>
                </pt>
                <pt idx="423">
                  <v>0.95</v>
                </pt>
                <pt idx="424">
                  <v>0.95</v>
                </pt>
                <pt idx="425">
                  <v>0.95</v>
                </pt>
                <pt idx="426">
                  <v>0.95</v>
                </pt>
                <pt idx="427">
                  <v>0.95</v>
                </pt>
                <pt idx="428">
                  <v>0.95</v>
                </pt>
                <pt idx="429">
                  <v>0.95</v>
                </pt>
                <pt idx="430">
                  <v>0.95</v>
                </pt>
                <pt idx="431">
                  <v>0.95</v>
                </pt>
                <pt idx="432">
                  <v>0.95</v>
                </pt>
                <pt idx="433">
                  <v>0.95</v>
                </pt>
                <pt idx="434">
                  <v>0.95</v>
                </pt>
                <pt idx="435">
                  <v>0.95</v>
                </pt>
                <pt idx="436">
                  <v>0.95</v>
                </pt>
                <pt idx="437">
                  <v>0.95</v>
                </pt>
                <pt idx="438">
                  <v>0.95</v>
                </pt>
                <pt idx="439">
                  <v>0.95</v>
                </pt>
                <pt idx="440">
                  <v>0.95</v>
                </pt>
                <pt idx="441">
                  <v>0.95</v>
                </pt>
                <pt idx="442">
                  <v>0.95</v>
                </pt>
                <pt idx="443">
                  <v>0.95</v>
                </pt>
                <pt idx="444">
                  <v>0.95</v>
                </pt>
                <pt idx="445">
                  <v>0.95</v>
                </pt>
                <pt idx="446">
                  <v>0.95</v>
                </pt>
                <pt idx="447">
                  <v>0.95</v>
                </pt>
                <pt idx="448">
                  <v>0.95</v>
                </pt>
                <pt idx="449">
                  <v>0.95</v>
                </pt>
                <pt idx="450">
                  <v>0.95</v>
                </pt>
                <pt idx="451">
                  <v>0.95</v>
                </pt>
                <pt idx="452">
                  <v>0.95</v>
                </pt>
                <pt idx="453">
                  <v>0.95</v>
                </pt>
                <pt idx="454">
                  <v>0.95</v>
                </pt>
                <pt idx="455">
                  <v>0.95</v>
                </pt>
                <pt idx="456">
                  <v>0.95</v>
                </pt>
                <pt idx="457">
                  <v>0.95</v>
                </pt>
                <pt idx="458">
                  <v>0.95</v>
                </pt>
                <pt idx="459">
                  <v>0.95</v>
                </pt>
                <pt idx="460">
                  <v>0.95</v>
                </pt>
                <pt idx="461">
                  <v>0.95</v>
                </pt>
                <pt idx="462">
                  <v>0.95</v>
                </pt>
                <pt idx="463">
                  <v>0.95</v>
                </pt>
                <pt idx="464">
                  <v>0.95</v>
                </pt>
                <pt idx="465">
                  <v>0.95</v>
                </pt>
                <pt idx="466">
                  <v>0.95</v>
                </pt>
                <pt idx="467">
                  <v>0.95</v>
                </pt>
                <pt idx="468">
                  <v>0.95</v>
                </pt>
                <pt idx="469">
                  <v>0.95</v>
                </pt>
                <pt idx="470">
                  <v>0.95</v>
                </pt>
                <pt idx="471">
                  <v>0.95</v>
                </pt>
                <pt idx="472">
                  <v>0.95</v>
                </pt>
                <pt idx="473">
                  <v>0.95</v>
                </pt>
                <pt idx="474">
                  <v>0.95</v>
                </pt>
                <pt idx="475">
                  <v>0.95</v>
                </pt>
                <pt idx="476">
                  <v>0.95</v>
                </pt>
                <pt idx="477">
                  <v>0.95</v>
                </pt>
                <pt idx="478">
                  <v>0.95</v>
                </pt>
                <pt idx="479">
                  <v>0.95</v>
                </pt>
                <pt idx="480">
                  <v>0.95</v>
                </pt>
                <pt idx="481">
                  <v>0.95</v>
                </pt>
                <pt idx="482">
                  <v>0.95</v>
                </pt>
                <pt idx="483">
                  <v>0.95</v>
                </pt>
                <pt idx="484">
                  <v>0.95</v>
                </pt>
                <pt idx="485">
                  <v>0.95</v>
                </pt>
                <pt idx="486">
                  <v>0.95</v>
                </pt>
                <pt idx="487">
                  <v>0.95</v>
                </pt>
                <pt idx="488">
                  <v>0.95</v>
                </pt>
                <pt idx="489">
                  <v>0.95</v>
                </pt>
                <pt idx="490">
                  <v>0.95</v>
                </pt>
                <pt idx="491">
                  <v>0.95</v>
                </pt>
                <pt idx="492">
                  <v>0.95</v>
                </pt>
                <pt idx="493">
                  <v>0.95</v>
                </pt>
                <pt idx="494">
                  <v>0.95</v>
                </pt>
                <pt idx="495">
                  <v>0.95</v>
                </pt>
                <pt idx="496">
                  <v>0.95</v>
                </pt>
                <pt idx="497">
                  <v>0.95</v>
                </pt>
                <pt idx="498">
                  <v>0.95</v>
                </pt>
                <pt idx="499">
                  <v>0.95</v>
                </pt>
                <pt idx="500">
                  <v>0.95</v>
                </pt>
                <pt idx="501">
                  <v>0.95</v>
                </pt>
                <pt idx="502">
                  <v>0.95</v>
                </pt>
                <pt idx="503">
                  <v>0.95</v>
                </pt>
                <pt idx="504">
                  <v>0.95</v>
                </pt>
                <pt idx="505">
                  <v>0.95</v>
                </pt>
                <pt idx="506">
                  <v>0.95</v>
                </pt>
                <pt idx="507">
                  <v>0.95</v>
                </pt>
                <pt idx="508">
                  <v>0.95</v>
                </pt>
                <pt idx="509">
                  <v>0.95</v>
                </pt>
                <pt idx="510">
                  <v>0.95</v>
                </pt>
                <pt idx="511">
                  <v>0.95</v>
                </pt>
                <pt idx="512">
                  <v>0.95</v>
                </pt>
                <pt idx="513">
                  <v>0.95</v>
                </pt>
                <pt idx="514">
                  <v>0.95</v>
                </pt>
                <pt idx="515">
                  <v>0.95</v>
                </pt>
                <pt idx="516">
                  <v>0.95</v>
                </pt>
                <pt idx="517">
                  <v>0.95</v>
                </pt>
                <pt idx="518">
                  <v>0.95</v>
                </pt>
                <pt idx="519">
                  <v>0.95</v>
                </pt>
                <pt idx="520">
                  <v>0.95</v>
                </pt>
                <pt idx="521">
                  <v>0.95</v>
                </pt>
                <pt idx="522">
                  <v>0.95</v>
                </pt>
                <pt idx="523">
                  <v>0.95</v>
                </pt>
                <pt idx="524">
                  <v>0.95</v>
                </pt>
                <pt idx="525">
                  <v>0.95</v>
                </pt>
                <pt idx="526">
                  <v>0.95</v>
                </pt>
                <pt idx="527">
                  <v>0.95</v>
                </pt>
                <pt idx="528">
                  <v>0.95</v>
                </pt>
                <pt idx="529">
                  <v>0.95</v>
                </pt>
                <pt idx="530">
                  <v>0.95</v>
                </pt>
                <pt idx="531">
                  <v>0.95</v>
                </pt>
                <pt idx="532">
                  <v>0.95</v>
                </pt>
                <pt idx="533">
                  <v>0.95</v>
                </pt>
                <pt idx="534">
                  <v>0.95</v>
                </pt>
                <pt idx="535">
                  <v>0.95</v>
                </pt>
                <pt idx="536">
                  <v>0.95</v>
                </pt>
                <pt idx="537">
                  <v>0.95</v>
                </pt>
                <pt idx="538">
                  <v>0.95</v>
                </pt>
                <pt idx="539">
                  <v>0.95</v>
                </pt>
                <pt idx="540">
                  <v>0.95</v>
                </pt>
                <pt idx="541">
                  <v>0.95</v>
                </pt>
                <pt idx="542">
                  <v>0.95</v>
                </pt>
                <pt idx="543">
                  <v>0.95</v>
                </pt>
                <pt idx="544">
                  <v>0.95</v>
                </pt>
                <pt idx="545">
                  <v>0.95</v>
                </pt>
                <pt idx="546">
                  <v>0.95</v>
                </pt>
                <pt idx="547">
                  <v>0.95</v>
                </pt>
                <pt idx="548">
                  <v>0.95</v>
                </pt>
                <pt idx="549">
                  <v>0.95</v>
                </pt>
                <pt idx="550">
                  <v>0.95</v>
                </pt>
                <pt idx="551">
                  <v>0.95</v>
                </pt>
                <pt idx="552">
                  <v>0.95</v>
                </pt>
                <pt idx="553">
                  <v>0.95</v>
                </pt>
                <pt idx="554">
                  <v>0.95</v>
                </pt>
                <pt idx="555">
                  <v>0.95</v>
                </pt>
                <pt idx="556">
                  <v>0.95</v>
                </pt>
                <pt idx="557">
                  <v>0.95</v>
                </pt>
                <pt idx="558">
                  <v>0.95</v>
                </pt>
                <pt idx="559">
                  <v>0.95</v>
                </pt>
                <pt idx="560">
                  <v>0.95</v>
                </pt>
                <pt idx="561">
                  <v>0.95</v>
                </pt>
                <pt idx="562">
                  <v>0.95</v>
                </pt>
                <pt idx="563">
                  <v>0.95</v>
                </pt>
                <pt idx="564">
                  <v>0.95</v>
                </pt>
                <pt idx="565">
                  <v>0.95</v>
                </pt>
                <pt idx="566">
                  <v>0.95</v>
                </pt>
                <pt idx="567">
                  <v>0.95</v>
                </pt>
                <pt idx="568">
                  <v>0.95</v>
                </pt>
                <pt idx="569">
                  <v>0.95</v>
                </pt>
                <pt idx="570">
                  <v>0.95</v>
                </pt>
                <pt idx="571">
                  <v>0.95</v>
                </pt>
                <pt idx="572">
                  <v>0.95</v>
                </pt>
                <pt idx="573">
                  <v>0.95</v>
                </pt>
                <pt idx="574">
                  <v>0.95</v>
                </pt>
                <pt idx="575">
                  <v>0.95</v>
                </pt>
                <pt idx="576">
                  <v>0.95</v>
                </pt>
                <pt idx="577">
                  <v>0.95</v>
                </pt>
                <pt idx="578">
                  <v>0.95</v>
                </pt>
                <pt idx="579">
                  <v>0.95</v>
                </pt>
                <pt idx="580">
                  <v>0.95</v>
                </pt>
                <pt idx="581">
                  <v>0.95</v>
                </pt>
                <pt idx="582">
                  <v>0.95</v>
                </pt>
                <pt idx="583">
                  <v>0.95</v>
                </pt>
                <pt idx="584">
                  <v>0.95</v>
                </pt>
                <pt idx="585">
                  <v>0.95</v>
                </pt>
                <pt idx="586">
                  <v>0.95</v>
                </pt>
                <pt idx="587">
                  <v>0.95</v>
                </pt>
                <pt idx="588">
                  <v>0.95</v>
                </pt>
                <pt idx="589">
                  <v>0.95</v>
                </pt>
                <pt idx="590">
                  <v>0.95</v>
                </pt>
                <pt idx="591">
                  <v>0.95</v>
                </pt>
                <pt idx="592">
                  <v>0.95</v>
                </pt>
                <pt idx="593">
                  <v>0.95</v>
                </pt>
                <pt idx="594">
                  <v>0.95</v>
                </pt>
                <pt idx="595">
                  <v>0.95</v>
                </pt>
                <pt idx="596">
                  <v>0.95</v>
                </pt>
                <pt idx="597">
                  <v>0.95</v>
                </pt>
                <pt idx="598">
                  <v>0.95</v>
                </pt>
                <pt idx="599">
                  <v>0.95</v>
                </pt>
                <pt idx="600">
                  <v>0.95</v>
                </pt>
                <pt idx="601">
                  <v>0.95</v>
                </pt>
                <pt idx="602">
                  <v>0.95</v>
                </pt>
                <pt idx="603">
                  <v>0.95</v>
                </pt>
                <pt idx="604">
                  <v>0.95</v>
                </pt>
                <pt idx="605">
                  <v>0.95</v>
                </pt>
                <pt idx="606">
                  <v>0.95</v>
                </pt>
                <pt idx="607">
                  <v>0.95</v>
                </pt>
                <pt idx="608">
                  <v>0.95</v>
                </pt>
                <pt idx="609">
                  <v>0.95</v>
                </pt>
                <pt idx="610">
                  <v>0.95</v>
                </pt>
                <pt idx="611">
                  <v>0.95</v>
                </pt>
                <pt idx="612">
                  <v>0.95</v>
                </pt>
                <pt idx="613">
                  <v>0.95</v>
                </pt>
                <pt idx="614">
                  <v>0.95</v>
                </pt>
                <pt idx="615">
                  <v>0.95</v>
                </pt>
                <pt idx="616">
                  <v>0.95</v>
                </pt>
                <pt idx="617">
                  <v>0.95</v>
                </pt>
                <pt idx="618">
                  <v>0.95</v>
                </pt>
                <pt idx="619">
                  <v>0.95</v>
                </pt>
                <pt idx="620">
                  <v>0.95</v>
                </pt>
                <pt idx="621">
                  <v>0.95</v>
                </pt>
                <pt idx="622">
                  <v>0.95</v>
                </pt>
                <pt idx="623">
                  <v>0.95</v>
                </pt>
                <pt idx="624">
                  <v>0.95</v>
                </pt>
                <pt idx="625">
                  <v>0.95</v>
                </pt>
                <pt idx="626">
                  <v>0.95</v>
                </pt>
                <pt idx="627">
                  <v>0.95</v>
                </pt>
                <pt idx="628">
                  <v>0.95</v>
                </pt>
                <pt idx="629">
                  <v>0.95</v>
                </pt>
                <pt idx="630">
                  <v>0.95</v>
                </pt>
                <pt idx="631">
                  <v>0.95</v>
                </pt>
                <pt idx="632">
                  <v>0.95</v>
                </pt>
                <pt idx="633">
                  <v>0.95</v>
                </pt>
                <pt idx="634">
                  <v>0.95</v>
                </pt>
                <pt idx="635">
                  <v>0.95</v>
                </pt>
                <pt idx="636">
                  <v>0.95</v>
                </pt>
                <pt idx="637">
                  <v>0.95</v>
                </pt>
                <pt idx="638">
                  <v>0.95</v>
                </pt>
                <pt idx="639">
                  <v>0.95</v>
                </pt>
                <pt idx="640">
                  <v>0.95</v>
                </pt>
                <pt idx="641">
                  <v>0.95</v>
                </pt>
                <pt idx="642">
                  <v>0.95</v>
                </pt>
                <pt idx="643">
                  <v>0.95</v>
                </pt>
                <pt idx="644">
                  <v>0.95</v>
                </pt>
                <pt idx="645">
                  <v>0.95</v>
                </pt>
                <pt idx="646">
                  <v>0.95</v>
                </pt>
                <pt idx="647">
                  <v>0.95</v>
                </pt>
                <pt idx="648">
                  <v>0.95</v>
                </pt>
                <pt idx="649">
                  <v>0.95</v>
                </pt>
                <pt idx="650">
                  <v>0.95</v>
                </pt>
                <pt idx="651">
                  <v>0.95</v>
                </pt>
                <pt idx="652">
                  <v>0.95</v>
                </pt>
                <pt idx="653">
                  <v>0.95</v>
                </pt>
                <pt idx="654">
                  <v>0.95</v>
                </pt>
                <pt idx="655">
                  <v>0.95</v>
                </pt>
                <pt idx="656">
                  <v>0.95</v>
                </pt>
                <pt idx="657">
                  <v>0.95</v>
                </pt>
                <pt idx="658">
                  <v>0.95</v>
                </pt>
                <pt idx="659">
                  <v>0.95</v>
                </pt>
                <pt idx="660">
                  <v>0.95</v>
                </pt>
                <pt idx="661">
                  <v>0.95</v>
                </pt>
                <pt idx="662">
                  <v>0.95</v>
                </pt>
                <pt idx="663">
                  <v>0.95</v>
                </pt>
                <pt idx="664">
                  <v>0.95</v>
                </pt>
                <pt idx="665">
                  <v>0.95</v>
                </pt>
                <pt idx="666">
                  <v>0.95</v>
                </pt>
                <pt idx="667">
                  <v>0.95</v>
                </pt>
                <pt idx="668">
                  <v>0.95</v>
                </pt>
                <pt idx="669">
                  <v>0.95</v>
                </pt>
                <pt idx="670">
                  <v>0.95</v>
                </pt>
                <pt idx="671">
                  <v>0.95</v>
                </pt>
                <pt idx="672">
                  <v>0.95</v>
                </pt>
                <pt idx="673">
                  <v>0.95</v>
                </pt>
                <pt idx="674">
                  <v>0.95</v>
                </pt>
                <pt idx="675">
                  <v>0.95</v>
                </pt>
                <pt idx="676">
                  <v>0.95</v>
                </pt>
                <pt idx="677">
                  <v>0.95</v>
                </pt>
                <pt idx="678">
                  <v>0.95</v>
                </pt>
                <pt idx="679">
                  <v>0.95</v>
                </pt>
                <pt idx="680">
                  <v>0.95</v>
                </pt>
                <pt idx="681">
                  <v>0.95</v>
                </pt>
                <pt idx="682">
                  <v>0.95</v>
                </pt>
                <pt idx="683">
                  <v>0.95</v>
                </pt>
                <pt idx="684">
                  <v>0.95</v>
                </pt>
                <pt idx="685">
                  <v>0.95</v>
                </pt>
                <pt idx="686">
                  <v>0.95</v>
                </pt>
                <pt idx="687">
                  <v>0.95</v>
                </pt>
                <pt idx="688">
                  <v>0.95</v>
                </pt>
                <pt idx="689">
                  <v>0.95</v>
                </pt>
                <pt idx="690">
                  <v>0.95</v>
                </pt>
                <pt idx="691">
                  <v>0.95</v>
                </pt>
                <pt idx="692">
                  <v>0.95</v>
                </pt>
                <pt idx="693">
                  <v>0.95</v>
                </pt>
                <pt idx="694">
                  <v>0.95</v>
                </pt>
                <pt idx="695">
                  <v>0.95</v>
                </pt>
                <pt idx="696">
                  <v>0.95</v>
                </pt>
                <pt idx="697">
                  <v>0.95</v>
                </pt>
                <pt idx="698">
                  <v>0.95</v>
                </pt>
                <pt idx="699">
                  <v>0.95</v>
                </pt>
                <pt idx="700">
                  <v>0.95</v>
                </pt>
                <pt idx="701">
                  <v>0.95</v>
                </pt>
                <pt idx="702">
                  <v>0.95</v>
                </pt>
                <pt idx="703">
                  <v>0.95</v>
                </pt>
                <pt idx="704">
                  <v>0.95</v>
                </pt>
                <pt idx="705">
                  <v>0.95</v>
                </pt>
                <pt idx="706">
                  <v>0.95</v>
                </pt>
                <pt idx="707">
                  <v>0.95</v>
                </pt>
                <pt idx="708">
                  <v>0.95</v>
                </pt>
                <pt idx="709">
                  <v>0.95</v>
                </pt>
                <pt idx="710">
                  <v>0.95</v>
                </pt>
                <pt idx="711">
                  <v>0.95</v>
                </pt>
                <pt idx="712">
                  <v>0.95</v>
                </pt>
                <pt idx="713">
                  <v>0.95</v>
                </pt>
                <pt idx="714">
                  <v>0.95</v>
                </pt>
                <pt idx="715">
                  <v>0.95</v>
                </pt>
                <pt idx="716">
                  <v>0.95</v>
                </pt>
                <pt idx="717">
                  <v>0.95</v>
                </pt>
                <pt idx="718">
                  <v>0.95</v>
                </pt>
                <pt idx="719">
                  <v>0.95</v>
                </pt>
                <pt idx="720">
                  <v>0.95</v>
                </pt>
                <pt idx="721">
                  <v>0.95</v>
                </pt>
                <pt idx="722">
                  <v>0.95</v>
                </pt>
                <pt idx="723">
                  <v>0.95</v>
                </pt>
                <pt idx="724">
                  <v>0.95</v>
                </pt>
                <pt idx="725">
                  <v>0.95</v>
                </pt>
                <pt idx="726">
                  <v>0.95</v>
                </pt>
                <pt idx="727">
                  <v>0.95</v>
                </pt>
                <pt idx="728">
                  <v>0.95</v>
                </pt>
                <pt idx="729">
                  <v>0.95</v>
                </pt>
                <pt idx="730">
                  <v>0.95</v>
                </pt>
                <pt idx="731">
                  <v>0.95</v>
                </pt>
                <pt idx="732">
                  <v>0.95</v>
                </pt>
                <pt idx="733">
                  <v>0.95</v>
                </pt>
                <pt idx="734">
                  <v>0.95</v>
                </pt>
                <pt idx="735">
                  <v>0.95</v>
                </pt>
                <pt idx="736">
                  <v>0.95</v>
                </pt>
                <pt idx="737">
                  <v>0.95</v>
                </pt>
                <pt idx="738">
                  <v>0.95</v>
                </pt>
                <pt idx="739">
                  <v>0.95</v>
                </pt>
                <pt idx="740">
                  <v>0.95</v>
                </pt>
                <pt idx="741">
                  <v>0.95</v>
                </pt>
                <pt idx="742">
                  <v>0.95</v>
                </pt>
                <pt idx="743">
                  <v>0.95</v>
                </pt>
                <pt idx="744">
                  <v>0.95</v>
                </pt>
                <pt idx="745">
                  <v>0.95</v>
                </pt>
                <pt idx="746">
                  <v>0.95</v>
                </pt>
                <pt idx="747">
                  <v>0.95</v>
                </pt>
                <pt idx="748">
                  <v>0.95</v>
                </pt>
                <pt idx="749">
                  <v>0.95</v>
                </pt>
                <pt idx="750">
                  <v>0.95</v>
                </pt>
                <pt idx="751">
                  <v>0.95</v>
                </pt>
                <pt idx="752">
                  <v>0.95</v>
                </pt>
                <pt idx="753">
                  <v>0.95</v>
                </pt>
                <pt idx="754">
                  <v>0.95</v>
                </pt>
                <pt idx="755">
                  <v>0.95</v>
                </pt>
                <pt idx="756">
                  <v>0.95</v>
                </pt>
                <pt idx="757">
                  <v>0.95</v>
                </pt>
                <pt idx="758">
                  <v>0.95</v>
                </pt>
                <pt idx="759">
                  <v>0.95</v>
                </pt>
                <pt idx="760">
                  <v>0.95</v>
                </pt>
                <pt idx="761">
                  <v>0.95</v>
                </pt>
                <pt idx="762">
                  <v>0.95</v>
                </pt>
                <pt idx="763">
                  <v>0.95</v>
                </pt>
                <pt idx="764">
                  <v>0.95</v>
                </pt>
                <pt idx="765">
                  <v>0.95</v>
                </pt>
                <pt idx="766">
                  <v>0.95</v>
                </pt>
                <pt idx="767">
                  <v>0.95</v>
                </pt>
                <pt idx="768">
                  <v>0.95</v>
                </pt>
                <pt idx="769">
                  <v>0.95</v>
                </pt>
                <pt idx="770">
                  <v>0.95</v>
                </pt>
                <pt idx="771">
                  <v>0.95</v>
                </pt>
                <pt idx="772">
                  <v>0.95</v>
                </pt>
                <pt idx="773">
                  <v>0.95</v>
                </pt>
                <pt idx="774">
                  <v>0.95</v>
                </pt>
                <pt idx="775">
                  <v>0.95</v>
                </pt>
                <pt idx="776">
                  <v>0.95</v>
                </pt>
                <pt idx="777">
                  <v>0.95</v>
                </pt>
                <pt idx="778">
                  <v>0.95</v>
                </pt>
                <pt idx="779">
                  <v>0.95</v>
                </pt>
                <pt idx="780">
                  <v>0.95</v>
                </pt>
                <pt idx="781">
                  <v>0.95</v>
                </pt>
                <pt idx="782">
                  <v>0.95</v>
                </pt>
                <pt idx="783">
                  <v>0.95</v>
                </pt>
                <pt idx="784">
                  <v>0.95</v>
                </pt>
                <pt idx="785">
                  <v>0.95</v>
                </pt>
                <pt idx="786">
                  <v>0.95</v>
                </pt>
                <pt idx="787">
                  <v>0.95</v>
                </pt>
                <pt idx="788">
                  <v>0.95</v>
                </pt>
                <pt idx="789">
                  <v>0.95</v>
                </pt>
                <pt idx="790">
                  <v>0.95</v>
                </pt>
                <pt idx="791">
                  <v>0.95</v>
                </pt>
                <pt idx="792">
                  <v>0.95</v>
                </pt>
                <pt idx="793">
                  <v>0.95</v>
                </pt>
                <pt idx="794">
                  <v>0.95</v>
                </pt>
                <pt idx="795">
                  <v>0.95</v>
                </pt>
                <pt idx="796">
                  <v>0.95</v>
                </pt>
                <pt idx="797">
                  <v>0.95</v>
                </pt>
                <pt idx="798">
                  <v>0.95</v>
                </pt>
                <pt idx="799">
                  <v>0.95</v>
                </pt>
                <pt idx="800">
                  <v>0.95</v>
                </pt>
                <pt idx="801">
                  <v>0.95</v>
                </pt>
                <pt idx="802">
                  <v>0.95</v>
                </pt>
                <pt idx="803">
                  <v>0.95</v>
                </pt>
                <pt idx="804">
                  <v>0.95</v>
                </pt>
                <pt idx="805">
                  <v>0.95</v>
                </pt>
                <pt idx="806">
                  <v>0.95</v>
                </pt>
                <pt idx="807">
                  <v>0.95</v>
                </pt>
                <pt idx="808">
                  <v>0.95</v>
                </pt>
                <pt idx="809">
                  <v>0.95</v>
                </pt>
                <pt idx="810">
                  <v>0.95</v>
                </pt>
                <pt idx="811">
                  <v>0.95</v>
                </pt>
                <pt idx="812">
                  <v>0.95</v>
                </pt>
                <pt idx="813">
                  <v>0.95</v>
                </pt>
                <pt idx="814">
                  <v>0.95</v>
                </pt>
                <pt idx="815">
                  <v>0.95</v>
                </pt>
                <pt idx="816">
                  <v>0.95</v>
                </pt>
                <pt idx="817">
                  <v>0.95</v>
                </pt>
                <pt idx="818">
                  <v>0.95</v>
                </pt>
                <pt idx="819">
                  <v>0.95</v>
                </pt>
                <pt idx="820">
                  <v>0.95</v>
                </pt>
                <pt idx="821">
                  <v>0.95</v>
                </pt>
                <pt idx="822">
                  <v>0.95</v>
                </pt>
                <pt idx="823">
                  <v>0.95</v>
                </pt>
                <pt idx="824">
                  <v>0.95</v>
                </pt>
                <pt idx="825">
                  <v>0.95</v>
                </pt>
                <pt idx="826">
                  <v>0.95</v>
                </pt>
                <pt idx="827">
                  <v>0.95</v>
                </pt>
                <pt idx="828">
                  <v>0.95</v>
                </pt>
                <pt idx="829">
                  <v>0.95</v>
                </pt>
                <pt idx="830">
                  <v>0.95</v>
                </pt>
                <pt idx="831">
                  <v>0.95</v>
                </pt>
                <pt idx="832">
                  <v>0.95</v>
                </pt>
                <pt idx="833">
                  <v>0.95</v>
                </pt>
                <pt idx="834">
                  <v>0.95</v>
                </pt>
                <pt idx="835">
                  <v>0.95</v>
                </pt>
                <pt idx="836">
                  <v>0.95</v>
                </pt>
                <pt idx="837">
                  <v>0.95</v>
                </pt>
                <pt idx="838">
                  <v>0.95</v>
                </pt>
                <pt idx="839">
                  <v>0.95</v>
                </pt>
                <pt idx="840">
                  <v>0.95</v>
                </pt>
                <pt idx="841">
                  <v>0.95</v>
                </pt>
                <pt idx="842">
                  <v>0.95</v>
                </pt>
                <pt idx="843">
                  <v>0.95</v>
                </pt>
                <pt idx="844">
                  <v>0.95</v>
                </pt>
                <pt idx="845">
                  <v>0.95</v>
                </pt>
                <pt idx="846">
                  <v>0.95</v>
                </pt>
                <pt idx="847">
                  <v>0.95</v>
                </pt>
                <pt idx="848">
                  <v>0.95</v>
                </pt>
                <pt idx="849">
                  <v>0.95</v>
                </pt>
                <pt idx="850">
                  <v>0.95</v>
                </pt>
                <pt idx="851">
                  <v>0.95</v>
                </pt>
                <pt idx="852">
                  <v>0.95</v>
                </pt>
                <pt idx="853">
                  <v>0.95</v>
                </pt>
                <pt idx="854">
                  <v>0.95</v>
                </pt>
                <pt idx="855">
                  <v>0.95</v>
                </pt>
                <pt idx="856">
                  <v>0.95</v>
                </pt>
                <pt idx="857">
                  <v>0.95</v>
                </pt>
                <pt idx="858">
                  <v>0.95</v>
                </pt>
                <pt idx="859">
                  <v>0.95</v>
                </pt>
                <pt idx="860">
                  <v>0.95</v>
                </pt>
                <pt idx="861">
                  <v>0.95</v>
                </pt>
                <pt idx="862">
                  <v>0.95</v>
                </pt>
                <pt idx="863">
                  <v>0.95</v>
                </pt>
                <pt idx="864">
                  <v>0.95</v>
                </pt>
                <pt idx="865">
                  <v>0.95</v>
                </pt>
                <pt idx="866">
                  <v>0.95</v>
                </pt>
                <pt idx="867">
                  <v>0.95</v>
                </pt>
                <pt idx="868">
                  <v>0.95</v>
                </pt>
                <pt idx="869">
                  <v>0.95</v>
                </pt>
                <pt idx="870">
                  <v>0.95</v>
                </pt>
                <pt idx="871">
                  <v>0.95</v>
                </pt>
                <pt idx="872">
                  <v>0.95</v>
                </pt>
                <pt idx="873">
                  <v>0.95</v>
                </pt>
                <pt idx="874">
                  <v>0.95</v>
                </pt>
                <pt idx="875">
                  <v>0.95</v>
                </pt>
                <pt idx="876">
                  <v>0.95</v>
                </pt>
                <pt idx="877">
                  <v>0.95</v>
                </pt>
                <pt idx="878">
                  <v>0.95</v>
                </pt>
                <pt idx="879">
                  <v>0.95</v>
                </pt>
                <pt idx="880">
                  <v>0.95</v>
                </pt>
                <pt idx="881">
                  <v>0.95</v>
                </pt>
                <pt idx="882">
                  <v>0.95</v>
                </pt>
                <pt idx="883">
                  <v>0.95</v>
                </pt>
                <pt idx="884">
                  <v>0.95</v>
                </pt>
                <pt idx="885">
                  <v>0.95</v>
                </pt>
                <pt idx="886">
                  <v>0.95</v>
                </pt>
                <pt idx="887">
                  <v>0.95</v>
                </pt>
                <pt idx="888">
                  <v>0.95</v>
                </pt>
                <pt idx="889">
                  <v>0.95</v>
                </pt>
                <pt idx="890">
                  <v>0.95</v>
                </pt>
                <pt idx="891">
                  <v>0.95</v>
                </pt>
                <pt idx="892">
                  <v>0.95</v>
                </pt>
                <pt idx="893">
                  <v>0.95</v>
                </pt>
                <pt idx="894">
                  <v>0.95</v>
                </pt>
                <pt idx="895">
                  <v>0.95</v>
                </pt>
                <pt idx="896">
                  <v>0.95</v>
                </pt>
                <pt idx="897">
                  <v>0.95</v>
                </pt>
                <pt idx="898">
                  <v>0.95</v>
                </pt>
                <pt idx="899">
                  <v>0.95</v>
                </pt>
                <pt idx="900">
                  <v>0.95</v>
                </pt>
                <pt idx="901">
                  <v>0.95</v>
                </pt>
                <pt idx="902">
                  <v>0.95</v>
                </pt>
                <pt idx="903">
                  <v>0.95</v>
                </pt>
                <pt idx="904">
                  <v>0.95</v>
                </pt>
                <pt idx="905">
                  <v>0.95</v>
                </pt>
                <pt idx="906">
                  <v>0.95</v>
                </pt>
                <pt idx="907">
                  <v>0.95</v>
                </pt>
                <pt idx="908">
                  <v>0.95</v>
                </pt>
                <pt idx="909">
                  <v>0.95</v>
                </pt>
                <pt idx="910">
                  <v>0.95</v>
                </pt>
                <pt idx="911">
                  <v>0.95</v>
                </pt>
                <pt idx="912">
                  <v>0.95</v>
                </pt>
                <pt idx="913">
                  <v>0.95</v>
                </pt>
                <pt idx="914">
                  <v>0.95</v>
                </pt>
                <pt idx="915">
                  <v>0.95</v>
                </pt>
                <pt idx="916">
                  <v>0.95</v>
                </pt>
                <pt idx="917">
                  <v>0.95</v>
                </pt>
                <pt idx="918">
                  <v>0.95</v>
                </pt>
                <pt idx="919">
                  <v>0.95</v>
                </pt>
                <pt idx="920">
                  <v>0.95</v>
                </pt>
                <pt idx="921">
                  <v>0.95</v>
                </pt>
                <pt idx="922">
                  <v>0.95</v>
                </pt>
                <pt idx="923">
                  <v>0.95</v>
                </pt>
                <pt idx="924">
                  <v>0.95</v>
                </pt>
                <pt idx="925">
                  <v>0.95</v>
                </pt>
                <pt idx="926">
                  <v>0.95</v>
                </pt>
                <pt idx="927">
                  <v>0.95</v>
                </pt>
                <pt idx="928">
                  <v>0.95</v>
                </pt>
                <pt idx="929">
                  <v>0.95</v>
                </pt>
                <pt idx="930">
                  <v>0.95</v>
                </pt>
                <pt idx="931">
                  <v>0.95</v>
                </pt>
                <pt idx="932">
                  <v>0.95</v>
                </pt>
                <pt idx="933">
                  <v>0.95</v>
                </pt>
                <pt idx="934">
                  <v>0.95</v>
                </pt>
                <pt idx="935">
                  <v>0.95</v>
                </pt>
                <pt idx="936">
                  <v>0.95</v>
                </pt>
                <pt idx="937">
                  <v>0.95</v>
                </pt>
                <pt idx="938">
                  <v>0.95</v>
                </pt>
                <pt idx="939">
                  <v>0.95</v>
                </pt>
                <pt idx="940">
                  <v>0.95</v>
                </pt>
                <pt idx="941">
                  <v>0.95</v>
                </pt>
                <pt idx="942">
                  <v>0.95</v>
                </pt>
                <pt idx="943">
                  <v>0.95</v>
                </pt>
                <pt idx="944">
                  <v>0.95</v>
                </pt>
                <pt idx="945">
                  <v>0.95</v>
                </pt>
                <pt idx="946">
                  <v>0.95</v>
                </pt>
                <pt idx="947">
                  <v>0.95</v>
                </pt>
                <pt idx="948">
                  <v>0.95</v>
                </pt>
                <pt idx="949">
                  <v>0.95</v>
                </pt>
                <pt idx="950">
                  <v>0.95</v>
                </pt>
                <pt idx="951">
                  <v>0.95</v>
                </pt>
                <pt idx="952">
                  <v>0.95</v>
                </pt>
                <pt idx="953">
                  <v>0.95</v>
                </pt>
                <pt idx="954">
                  <v>0.95</v>
                </pt>
                <pt idx="955">
                  <v>0.95</v>
                </pt>
                <pt idx="956">
                  <v>0.95</v>
                </pt>
                <pt idx="957">
                  <v>0.95</v>
                </pt>
                <pt idx="958">
                  <v>0.95</v>
                </pt>
                <pt idx="959">
                  <v>0.95</v>
                </pt>
                <pt idx="960">
                  <v>0.95</v>
                </pt>
                <pt idx="961">
                  <v>0.95</v>
                </pt>
                <pt idx="962">
                  <v>0.95</v>
                </pt>
                <pt idx="963">
                  <v>0.95</v>
                </pt>
                <pt idx="964">
                  <v>0.95</v>
                </pt>
                <pt idx="965">
                  <v>0.95</v>
                </pt>
                <pt idx="966">
                  <v>0.95</v>
                </pt>
                <pt idx="967">
                  <v>0.95</v>
                </pt>
                <pt idx="968">
                  <v>0.95</v>
                </pt>
                <pt idx="969">
                  <v>0.95</v>
                </pt>
                <pt idx="970">
                  <v>0.95</v>
                </pt>
                <pt idx="971">
                  <v>0.95</v>
                </pt>
                <pt idx="972">
                  <v>0.95</v>
                </pt>
                <pt idx="973">
                  <v>0.95</v>
                </pt>
                <pt idx="974">
                  <v>0.95</v>
                </pt>
                <pt idx="975">
                  <v>0.95</v>
                </pt>
                <pt idx="976">
                  <v>0.95</v>
                </pt>
                <pt idx="977">
                  <v>0.95</v>
                </pt>
                <pt idx="978">
                  <v>0.95</v>
                </pt>
                <pt idx="979">
                  <v>0.95</v>
                </pt>
                <pt idx="980">
                  <v>0.95</v>
                </pt>
                <pt idx="981">
                  <v>0.95</v>
                </pt>
                <pt idx="982">
                  <v>0.95</v>
                </pt>
                <pt idx="983">
                  <v>0.95</v>
                </pt>
                <pt idx="984">
                  <v>0.95</v>
                </pt>
                <pt idx="985">
                  <v>0.95</v>
                </pt>
                <pt idx="986">
                  <v>0.95</v>
                </pt>
                <pt idx="987">
                  <v>0.95</v>
                </pt>
                <pt idx="988">
                  <v>0.95</v>
                </pt>
                <pt idx="989">
                  <v>0.95</v>
                </pt>
                <pt idx="990">
                  <v>0.95</v>
                </pt>
                <pt idx="991">
                  <v>0.95</v>
                </pt>
                <pt idx="992">
                  <v>0.95</v>
                </pt>
                <pt idx="993">
                  <v>0.95</v>
                </pt>
                <pt idx="994">
                  <v>0.95</v>
                </pt>
                <pt idx="995">
                  <v>0.95</v>
                </pt>
                <pt idx="996">
                  <v>0.95</v>
                </pt>
                <pt idx="997">
                  <v>0.95</v>
                </pt>
                <pt idx="998">
                  <v>0.95</v>
                </pt>
                <pt idx="999">
                  <v>0.95</v>
                </pt>
                <pt idx="1000">
                  <v>0.95</v>
                </pt>
              </numCache>
            </numRef>
          </val>
          <smooth val="0"/>
        </ser>
        <ser>
          <idx val="4"/>
          <order val="4"/>
          <tx>
            <strRef>
              <f>Лист4!$Q$1</f>
              <strCache>
                <ptCount val="1"/>
                <pt idx="0">
                  <v>f(t)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Лист4!$Q$2:$Q$1002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</v>
                </pt>
                <pt idx="315">
                  <v>0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</v>
                </pt>
                <pt idx="361">
                  <v>0</v>
                </pt>
                <pt idx="362">
                  <v>0</v>
                </pt>
                <pt idx="363">
                  <v>0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0</v>
                </pt>
                <pt idx="374">
                  <v>0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</v>
                </pt>
                <pt idx="379">
                  <v>0</v>
                </pt>
                <pt idx="380">
                  <v>0</v>
                </pt>
                <pt idx="381">
                  <v>0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0</v>
                </pt>
                <pt idx="390">
                  <v>0</v>
                </pt>
                <pt idx="391">
                  <v>0</v>
                </pt>
                <pt idx="392">
                  <v>0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</v>
                </pt>
                <pt idx="456">
                  <v>0</v>
                </pt>
                <pt idx="457">
                  <v>0</v>
                </pt>
                <pt idx="458">
                  <v>0</v>
                </pt>
                <pt idx="459">
                  <v>0</v>
                </pt>
                <pt idx="460">
                  <v>0</v>
                </pt>
                <pt idx="461">
                  <v>0</v>
                </pt>
                <pt idx="462">
                  <v>0</v>
                </pt>
                <pt idx="463">
                  <v>0</v>
                </pt>
                <pt idx="464">
                  <v>0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</v>
                </pt>
                <pt idx="472">
                  <v>0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0</v>
                </pt>
                <pt idx="494">
                  <v>0</v>
                </pt>
                <pt idx="495">
                  <v>0</v>
                </pt>
                <pt idx="496">
                  <v>0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0</v>
                </pt>
                <pt idx="567">
                  <v>0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</v>
                </pt>
                <pt idx="615">
                  <v>0</v>
                </pt>
                <pt idx="616">
                  <v>0</v>
                </pt>
                <pt idx="617">
                  <v>0</v>
                </pt>
                <pt idx="618">
                  <v>0</v>
                </pt>
                <pt idx="619">
                  <v>0</v>
                </pt>
                <pt idx="620">
                  <v>0</v>
                </pt>
                <pt idx="621">
                  <v>0</v>
                </pt>
                <pt idx="622">
                  <v>0</v>
                </pt>
                <pt idx="623">
                  <v>0</v>
                </pt>
                <pt idx="624">
                  <v>0</v>
                </pt>
                <pt idx="625">
                  <v>0</v>
                </pt>
                <pt idx="626">
                  <v>0</v>
                </pt>
                <pt idx="627">
                  <v>0</v>
                </pt>
                <pt idx="628">
                  <v>0</v>
                </pt>
                <pt idx="629">
                  <v>0</v>
                </pt>
                <pt idx="630">
                  <v>0</v>
                </pt>
                <pt idx="631">
                  <v>0</v>
                </pt>
                <pt idx="632">
                  <v>0</v>
                </pt>
                <pt idx="633">
                  <v>0</v>
                </pt>
                <pt idx="634">
                  <v>0</v>
                </pt>
                <pt idx="635">
                  <v>0</v>
                </pt>
                <pt idx="636">
                  <v>0</v>
                </pt>
                <pt idx="637">
                  <v>0</v>
                </pt>
                <pt idx="638">
                  <v>0</v>
                </pt>
                <pt idx="639">
                  <v>0</v>
                </pt>
                <pt idx="640">
                  <v>0</v>
                </pt>
                <pt idx="641">
                  <v>0</v>
                </pt>
                <pt idx="642">
                  <v>0</v>
                </pt>
                <pt idx="643">
                  <v>0</v>
                </pt>
                <pt idx="644">
                  <v>0</v>
                </pt>
                <pt idx="645">
                  <v>0</v>
                </pt>
                <pt idx="646">
                  <v>0</v>
                </pt>
                <pt idx="647">
                  <v>0</v>
                </pt>
                <pt idx="648">
                  <v>0</v>
                </pt>
                <pt idx="649">
                  <v>0</v>
                </pt>
                <pt idx="650">
                  <v>0</v>
                </pt>
                <pt idx="651">
                  <v>0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</v>
                </pt>
                <pt idx="656">
                  <v>0</v>
                </pt>
                <pt idx="657">
                  <v>0</v>
                </pt>
                <pt idx="658">
                  <v>0</v>
                </pt>
                <pt idx="659">
                  <v>0</v>
                </pt>
                <pt idx="660">
                  <v>0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0</v>
                </pt>
                <pt idx="670">
                  <v>0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</v>
                </pt>
                <pt idx="682">
                  <v>0</v>
                </pt>
                <pt idx="683">
                  <v>0</v>
                </pt>
                <pt idx="684">
                  <v>0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</v>
                </pt>
                <pt idx="699">
                  <v>0</v>
                </pt>
                <pt idx="700">
                  <v>0</v>
                </pt>
                <pt idx="701">
                  <v>0</v>
                </pt>
                <pt idx="702">
                  <v>0</v>
                </pt>
                <pt idx="703">
                  <v>0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0</v>
                </pt>
                <pt idx="742">
                  <v>0</v>
                </pt>
                <pt idx="743">
                  <v>0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</v>
                </pt>
                <pt idx="749">
                  <v>0</v>
                </pt>
                <pt idx="750">
                  <v>0</v>
                </pt>
                <pt idx="751">
                  <v>0</v>
                </pt>
                <pt idx="752">
                  <v>0</v>
                </pt>
                <pt idx="753">
                  <v>0</v>
                </pt>
                <pt idx="754">
                  <v>0</v>
                </pt>
                <pt idx="755">
                  <v>0</v>
                </pt>
                <pt idx="756">
                  <v>0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</v>
                </pt>
                <pt idx="793">
                  <v>0</v>
                </pt>
                <pt idx="794">
                  <v>0</v>
                </pt>
                <pt idx="795">
                  <v>0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64901887"/>
        <axId val="1564903967"/>
      </lineChart>
      <catAx>
        <axId val="156490188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 cap="flat" cmpd="sng" algn="ctr">
            <a:solidFill>
              <a:schemeClr val="tx1"/>
            </a:solidFill>
            <a:prstDash val="solid"/>
            <a:round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3967"/>
        <crosses val="autoZero"/>
        <auto val="1"/>
        <lblAlgn val="ctr"/>
        <lblOffset val="100"/>
        <tickLblSkip val="50"/>
        <tickMarkSkip val="50"/>
        <noMultiLvlLbl val="0"/>
      </catAx>
      <valAx>
        <axId val="15649039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>
            <a:solidFill>
              <a:schemeClr val="tx1"/>
            </a:solidFill>
            <a:prstDash val="solid"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18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lineChart>
        <grouping val="standard"/>
        <varyColors val="0"/>
        <ser>
          <idx val="0"/>
          <order val="0"/>
          <tx>
            <strRef>
              <f>Лист4!$N$1</f>
              <strCache>
                <ptCount val="1"/>
                <pt idx="0">
                  <v>e(nT0)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Лист4!$N$2:$N$1002</f>
              <numCache>
                <formatCode>0.000</formatCode>
                <ptCount val="100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1</v>
                </pt>
                <pt idx="47">
                  <v>1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0.9908445868619822</v>
                </pt>
                <pt idx="64">
                  <v>0.9649042496375982</v>
                </pt>
                <pt idx="65">
                  <v>0.9237048905165179</v>
                </pt>
                <pt idx="66">
                  <v>0.876401922636759</v>
                </pt>
                <pt idx="67">
                  <v>0.8321507591363393</v>
                </pt>
                <pt idx="68">
                  <v>0.7894254978255894</v>
                </pt>
                <pt idx="69">
                  <v>0.748226138704509</v>
                </pt>
                <pt idx="70">
                  <v>0.7085526817730983</v>
                </pt>
                <pt idx="71">
                  <v>0.6704051270313574</v>
                </pt>
                <pt idx="72">
                  <v>0.6353093766689555</v>
                </pt>
                <pt idx="73">
                  <v>0.6002136263065538</v>
                </pt>
                <pt idx="74">
                  <v>0.565117875944152</v>
                </pt>
                <pt idx="75">
                  <v>0.5330739299610895</v>
                </pt>
                <pt idx="76">
                  <v>0.501029983978027</v>
                </pt>
                <pt idx="77">
                  <v>0.4689860379949645</v>
                </pt>
                <pt idx="78">
                  <v>0.4384679942015717</v>
                </pt>
                <pt idx="79">
                  <v>0.4094758525978485</v>
                </pt>
                <pt idx="80">
                  <v>0.3804837109941253</v>
                </pt>
                <pt idx="81">
                  <v>0.351491569390402</v>
                </pt>
                <pt idx="82">
                  <v>0.3240253299763485</v>
                </pt>
                <pt idx="83">
                  <v>0.2965590905622949</v>
                </pt>
                <pt idx="84">
                  <v>0.2690928511482414</v>
                </pt>
                <pt idx="85">
                  <v>0.2416266117341879</v>
                </pt>
                <pt idx="86">
                  <v>0.2156862745098039</v>
                </pt>
                <pt idx="87">
                  <v>0.1912718394750895</v>
                </pt>
                <pt idx="88">
                  <v>0.168383306630045</v>
                </pt>
                <pt idx="89">
                  <v>0.1485465781643397</v>
                </pt>
                <pt idx="90">
                  <v>0.1302357518883039</v>
                </pt>
                <pt idx="91">
                  <v>0.1134508278019379</v>
                </pt>
                <pt idx="92">
                  <v>0.09819180590524157</v>
                </pt>
                <pt idx="93">
                  <v>0.08598458838788425</v>
                </pt>
                <pt idx="94">
                  <v>0.07377737087052716</v>
                </pt>
                <pt idx="95">
                  <v>0.06462195773250934</v>
                </pt>
                <pt idx="96">
                  <v>0.05546654459449152</v>
                </pt>
                <pt idx="97">
                  <v>0.04783703364614322</v>
                </pt>
                <pt idx="98">
                  <v>0.04173342488746468</v>
                </pt>
                <pt idx="99">
                  <v>0.03562981612878613</v>
                </pt>
                <pt idx="100">
                  <v>0.03105210955977722</v>
                </pt>
                <pt idx="101">
                  <v>0.02647440299076831</v>
                </pt>
                <pt idx="102">
                  <v>0.02342259861142904</v>
                </pt>
                <pt idx="103">
                  <v>0.0218966964217594</v>
                </pt>
                <pt idx="104">
                  <v>0.02037079423208976</v>
                </pt>
                <pt idx="105">
                  <v>0.01884489204242012</v>
                </pt>
                <pt idx="106">
                  <v>0.01884489204242012</v>
                </pt>
                <pt idx="107">
                  <v>0.01884489204242012</v>
                </pt>
                <pt idx="108">
                  <v>0.02037079423208976</v>
                </pt>
                <pt idx="109">
                  <v>0.0218966964217594</v>
                </pt>
                <pt idx="110">
                  <v>0.02342259861142904</v>
                </pt>
                <pt idx="111">
                  <v>0.02647440299076831</v>
                </pt>
                <pt idx="112">
                  <v>0.02952620737010758</v>
                </pt>
                <pt idx="113">
                  <v>0.03257801174944686</v>
                </pt>
                <pt idx="114">
                  <v>0.03562981612878613</v>
                </pt>
                <pt idx="115">
                  <v>0.0386816205081254</v>
                </pt>
                <pt idx="116">
                  <v>0.04173342488746468</v>
                </pt>
                <pt idx="117">
                  <v>0.04631113145647359</v>
                </pt>
                <pt idx="118">
                  <v>0.04936293583581297</v>
                </pt>
                <pt idx="119">
                  <v>0.05241474021515224</v>
                </pt>
                <pt idx="120">
                  <v>0.05546654459449152</v>
                </pt>
                <pt idx="121">
                  <v>0.05851834897383079</v>
                </pt>
                <pt idx="122">
                  <v>0.06157015335317007</v>
                </pt>
                <pt idx="123">
                  <v>0.0630960555428397</v>
                </pt>
                <pt idx="124">
                  <v>0.06614785992217898</v>
                </pt>
                <pt idx="125">
                  <v>0.06767376211184861</v>
                </pt>
                <pt idx="126">
                  <v>0.07072556649118789</v>
                </pt>
                <pt idx="127">
                  <v>0.07225146868085752</v>
                </pt>
                <pt idx="128">
                  <v>0.07377737087052716</v>
                </pt>
                <pt idx="129">
                  <v>0.07377737087052716</v>
                </pt>
                <pt idx="130">
                  <v>0.0753032730601968</v>
                </pt>
                <pt idx="131">
                  <v>0.0753032730601968</v>
                </pt>
                <pt idx="132">
                  <v>0.07682917524986643</v>
                </pt>
                <pt idx="133">
                  <v>0.07682917524986643</v>
                </pt>
                <pt idx="134">
                  <v>0.07682917524986643</v>
                </pt>
                <pt idx="135">
                  <v>0.0753032730601968</v>
                </pt>
                <pt idx="136">
                  <v>0.0753032730601968</v>
                </pt>
                <pt idx="137">
                  <v>0.07377737087052716</v>
                </pt>
                <pt idx="138">
                  <v>0.07225146868085752</v>
                </pt>
                <pt idx="139">
                  <v>0.07225146868085752</v>
                </pt>
                <pt idx="140">
                  <v>0.06919966430151825</v>
                </pt>
                <pt idx="141">
                  <v>0.06767376211184861</v>
                </pt>
                <pt idx="142">
                  <v>0.06614785992217898</v>
                </pt>
                <pt idx="143">
                  <v>0.06462195773250934</v>
                </pt>
                <pt idx="144">
                  <v>0.06157015335317007</v>
                </pt>
                <pt idx="145">
                  <v>0.06004425116350043</v>
                </pt>
                <pt idx="146">
                  <v>0.05699244678416115</v>
                </pt>
                <pt idx="147">
                  <v>0.05394064240482188</v>
                </pt>
                <pt idx="148">
                  <v>0.05241474021515224</v>
                </pt>
                <pt idx="149">
                  <v>0.04936293583581297</v>
                </pt>
                <pt idx="150">
                  <v>0.04631113145647359</v>
                </pt>
                <pt idx="151">
                  <v>0.04325932707713431</v>
                </pt>
                <pt idx="152">
                  <v>0.04173342488746468</v>
                </pt>
                <pt idx="153">
                  <v>0.0386816205081254</v>
                </pt>
                <pt idx="154">
                  <v>0.03562981612878613</v>
                </pt>
                <pt idx="155">
                  <v>0.03257801174944686</v>
                </pt>
                <pt idx="156">
                  <v>0.03105210955977722</v>
                </pt>
                <pt idx="157">
                  <v>0.02800030518043795</v>
                </pt>
                <pt idx="158">
                  <v>0.02494850080109867</v>
                </pt>
                <pt idx="159">
                  <v>0.02342259861142904</v>
                </pt>
                <pt idx="160">
                  <v>0.02037079423208976</v>
                </pt>
                <pt idx="161">
                  <v>0.01731898985275049</v>
                </pt>
                <pt idx="162">
                  <v>0.01579308766308085</v>
                </pt>
                <pt idx="163">
                  <v>0.01426718547341121</v>
                </pt>
                <pt idx="164">
                  <v>0.01121538109407194</v>
                </pt>
                <pt idx="165">
                  <v>0.009689478904402304</v>
                </pt>
                <pt idx="166">
                  <v>0.008163576714732668</v>
                </pt>
                <pt idx="167">
                  <v>0.006637674525063031</v>
                </pt>
                <pt idx="168">
                  <v>0.005111772335393394</v>
                </pt>
                <pt idx="169">
                  <v>0.003585870145723757</v>
                </pt>
                <pt idx="170">
                  <v>0.002059967956054121</v>
                </pt>
                <pt idx="171">
                  <v>0.0005340657663844839</v>
                </pt>
                <pt idx="172">
                  <v>-0.0009918364232852639</v>
                </pt>
                <pt idx="173">
                  <v>-0.002517738612954901</v>
                </pt>
                <pt idx="174">
                  <v>-0.002517738612954901</v>
                </pt>
                <pt idx="175">
                  <v>-0.004043640802624537</v>
                </pt>
                <pt idx="176">
                  <v>-0.004043640802624537</v>
                </pt>
                <pt idx="177">
                  <v>-0.005569542992294174</v>
                </pt>
                <pt idx="178">
                  <v>-0.005569542992294174</v>
                </pt>
                <pt idx="179">
                  <v>-0.005569542992294174</v>
                </pt>
                <pt idx="180">
                  <v>-0.007095445181963811</v>
                </pt>
                <pt idx="181">
                  <v>-0.007095445181963811</v>
                </pt>
                <pt idx="182">
                  <v>-0.007095445181963811</v>
                </pt>
                <pt idx="183">
                  <v>-0.007095445181963811</v>
                </pt>
                <pt idx="184">
                  <v>-0.007095445181963811</v>
                </pt>
                <pt idx="185">
                  <v>-0.007095445181963811</v>
                </pt>
                <pt idx="186">
                  <v>-0.007095445181963811</v>
                </pt>
                <pt idx="187">
                  <v>-0.007095445181963811</v>
                </pt>
                <pt idx="188">
                  <v>-0.007095445181963811</v>
                </pt>
                <pt idx="189">
                  <v>-0.007095445181963811</v>
                </pt>
                <pt idx="190">
                  <v>-0.007095445181963811</v>
                </pt>
                <pt idx="191">
                  <v>-0.007095445181963811</v>
                </pt>
                <pt idx="192">
                  <v>-0.005569542992294174</v>
                </pt>
                <pt idx="193">
                  <v>-0.005569542992294174</v>
                </pt>
                <pt idx="194">
                  <v>-0.005569542992294174</v>
                </pt>
                <pt idx="195">
                  <v>-0.005569542992294174</v>
                </pt>
                <pt idx="196">
                  <v>-0.004043640802624537</v>
                </pt>
                <pt idx="197">
                  <v>-0.004043640802624537</v>
                </pt>
                <pt idx="198">
                  <v>-0.004043640802624537</v>
                </pt>
                <pt idx="199">
                  <v>-0.004043640802624537</v>
                </pt>
                <pt idx="200">
                  <v>-0.002517738612954901</v>
                </pt>
                <pt idx="201">
                  <v>-0.002517738612954901</v>
                </pt>
                <pt idx="202">
                  <v>-0.002517738612954901</v>
                </pt>
                <pt idx="203">
                  <v>-0.002517738612954901</v>
                </pt>
                <pt idx="204">
                  <v>-0.0009918364232852639</v>
                </pt>
                <pt idx="205">
                  <v>-0.0009918364232852639</v>
                </pt>
                <pt idx="206">
                  <v>-0.0009918364232852639</v>
                </pt>
                <pt idx="207">
                  <v>-0.0009918364232852639</v>
                </pt>
                <pt idx="208">
                  <v>-0.0009918364232852639</v>
                </pt>
                <pt idx="209">
                  <v>-0.0009918364232852639</v>
                </pt>
                <pt idx="210">
                  <v>-0.0009918364232852639</v>
                </pt>
                <pt idx="211">
                  <v>0.0005340657663844839</v>
                </pt>
                <pt idx="212">
                  <v>0.0005340657663844839</v>
                </pt>
                <pt idx="213">
                  <v>0.0005340657663844839</v>
                </pt>
                <pt idx="214">
                  <v>0.0005340657663844839</v>
                </pt>
                <pt idx="215">
                  <v>0.0005340657663844839</v>
                </pt>
                <pt idx="216">
                  <v>0.0005340657663844839</v>
                </pt>
                <pt idx="217">
                  <v>0.0005340657663844839</v>
                </pt>
                <pt idx="218">
                  <v>0.0005340657663844839</v>
                </pt>
                <pt idx="219">
                  <v>0.0005340657663844839</v>
                </pt>
                <pt idx="220">
                  <v>0.0005340657663844839</v>
                </pt>
                <pt idx="221">
                  <v>0.0005340657663844839</v>
                </pt>
                <pt idx="222">
                  <v>0.0005340657663844839</v>
                </pt>
                <pt idx="223">
                  <v>0.0005340657663844839</v>
                </pt>
                <pt idx="224">
                  <v>0.0005340657663844839</v>
                </pt>
                <pt idx="225">
                  <v>0.0005340657663844839</v>
                </pt>
                <pt idx="226">
                  <v>0.0005340657663844839</v>
                </pt>
                <pt idx="227">
                  <v>0.0005340657663844839</v>
                </pt>
                <pt idx="228">
                  <v>0.0005340657663844839</v>
                </pt>
                <pt idx="229">
                  <v>0.0005340657663844839</v>
                </pt>
                <pt idx="230">
                  <v>0.0005340657663844839</v>
                </pt>
                <pt idx="231">
                  <v>0.0005340657663844839</v>
                </pt>
                <pt idx="232">
                  <v>-0.0009918364232852639</v>
                </pt>
                <pt idx="233">
                  <v>-0.0009918364232852639</v>
                </pt>
                <pt idx="234">
                  <v>-0.0009918364232852639</v>
                </pt>
                <pt idx="235">
                  <v>-0.0009918364232852639</v>
                </pt>
                <pt idx="236">
                  <v>-0.0009918364232852639</v>
                </pt>
                <pt idx="237">
                  <v>-0.0009918364232852639</v>
                </pt>
                <pt idx="238">
                  <v>-0.0009918364232852639</v>
                </pt>
                <pt idx="239">
                  <v>-0.0009918364232852639</v>
                </pt>
                <pt idx="240">
                  <v>-0.0009918364232852639</v>
                </pt>
                <pt idx="241">
                  <v>-0.0009918364232852639</v>
                </pt>
                <pt idx="242">
                  <v>-0.0009918364232852639</v>
                </pt>
                <pt idx="243">
                  <v>-0.0009918364232852639</v>
                </pt>
                <pt idx="244">
                  <v>-0.0009918364232852639</v>
                </pt>
                <pt idx="245">
                  <v>-0.0009918364232852639</v>
                </pt>
                <pt idx="246">
                  <v>-0.0009918364232852639</v>
                </pt>
                <pt idx="247">
                  <v>-0.0009918364232852639</v>
                </pt>
                <pt idx="248">
                  <v>-0.0009918364232852639</v>
                </pt>
                <pt idx="249">
                  <v>-0.0009918364232852639</v>
                </pt>
                <pt idx="250">
                  <v>-0.0009918364232852639</v>
                </pt>
                <pt idx="251">
                  <v>-0.0009918364232852639</v>
                </pt>
                <pt idx="252">
                  <v>-0.0009918364232852639</v>
                </pt>
                <pt idx="253">
                  <v>-0.0009918364232852639</v>
                </pt>
                <pt idx="254">
                  <v>-0.0009918364232852639</v>
                </pt>
                <pt idx="255">
                  <v>-0.0009918364232852639</v>
                </pt>
                <pt idx="256">
                  <v>-0.0009918364232852639</v>
                </pt>
                <pt idx="257">
                  <v>-0.0009918364232852639</v>
                </pt>
                <pt idx="258">
                  <v>-0.0009918364232852639</v>
                </pt>
                <pt idx="259">
                  <v>-0.0009918364232852639</v>
                </pt>
                <pt idx="260">
                  <v>-0.0009918364232852639</v>
                </pt>
                <pt idx="261">
                  <v>-0.0009918364232852639</v>
                </pt>
                <pt idx="262">
                  <v>-0.0009918364232852639</v>
                </pt>
                <pt idx="263">
                  <v>-0.0009918364232852639</v>
                </pt>
                <pt idx="264">
                  <v>-0.0009918364232852639</v>
                </pt>
                <pt idx="265">
                  <v>-0.0009918364232852639</v>
                </pt>
                <pt idx="266">
                  <v>-0.0009918364232852639</v>
                </pt>
                <pt idx="267">
                  <v>-0.0009918364232852639</v>
                </pt>
                <pt idx="268">
                  <v>-0.0009918364232852639</v>
                </pt>
                <pt idx="269">
                  <v>-0.0009918364232852639</v>
                </pt>
                <pt idx="270">
                  <v>-0.0009918364232852639</v>
                </pt>
                <pt idx="271">
                  <v>-0.0009918364232852639</v>
                </pt>
                <pt idx="272">
                  <v>-0.0009918364232852639</v>
                </pt>
                <pt idx="273">
                  <v>-0.0009918364232852639</v>
                </pt>
                <pt idx="274">
                  <v>0.0005340657663844839</v>
                </pt>
                <pt idx="275">
                  <v>0.0005340657663844839</v>
                </pt>
                <pt idx="276">
                  <v>0.0005340657663844839</v>
                </pt>
                <pt idx="277">
                  <v>0.0005340657663844839</v>
                </pt>
                <pt idx="278">
                  <v>0.0005340657663844839</v>
                </pt>
                <pt idx="279">
                  <v>0.0005340657663844839</v>
                </pt>
                <pt idx="280">
                  <v>0.0005340657663844839</v>
                </pt>
                <pt idx="281">
                  <v>0.0005340657663844839</v>
                </pt>
                <pt idx="282">
                  <v>0.0005340657663844839</v>
                </pt>
                <pt idx="283">
                  <v>0.0005340657663844839</v>
                </pt>
                <pt idx="284">
                  <v>0.0005340657663844839</v>
                </pt>
                <pt idx="285">
                  <v>0.0005340657663844839</v>
                </pt>
                <pt idx="286">
                  <v>0.0005340657663844839</v>
                </pt>
                <pt idx="287">
                  <v>0.0005340657663844839</v>
                </pt>
                <pt idx="288">
                  <v>0.0005340657663844839</v>
                </pt>
                <pt idx="289">
                  <v>0.0005340657663844839</v>
                </pt>
                <pt idx="290">
                  <v>0.0005340657663844839</v>
                </pt>
                <pt idx="291">
                  <v>0.0005340657663844839</v>
                </pt>
                <pt idx="292">
                  <v>0.0005340657663844839</v>
                </pt>
                <pt idx="293">
                  <v>0.0005340657663844839</v>
                </pt>
                <pt idx="294">
                  <v>0.0005340657663844839</v>
                </pt>
                <pt idx="295">
                  <v>0.0005340657663844839</v>
                </pt>
                <pt idx="296">
                  <v>0.0005340657663844839</v>
                </pt>
                <pt idx="297">
                  <v>0.0005340657663844839</v>
                </pt>
                <pt idx="298">
                  <v>0.0005340657663844839</v>
                </pt>
                <pt idx="299">
                  <v>-0.0009918364232852639</v>
                </pt>
                <pt idx="300">
                  <v>-0.0009918364232852639</v>
                </pt>
                <pt idx="301">
                  <v>-0.0009918364232852639</v>
                </pt>
                <pt idx="302">
                  <v>-0.0009918364232852639</v>
                </pt>
                <pt idx="303">
                  <v>-0.0009918364232852639</v>
                </pt>
                <pt idx="304">
                  <v>-0.0009918364232852639</v>
                </pt>
                <pt idx="305">
                  <v>-0.0009918364232852639</v>
                </pt>
                <pt idx="306">
                  <v>-0.0009918364232852639</v>
                </pt>
                <pt idx="307">
                  <v>-0.0009918364232852639</v>
                </pt>
                <pt idx="308">
                  <v>-0.0009918364232852639</v>
                </pt>
                <pt idx="309">
                  <v>-0.0009918364232852639</v>
                </pt>
                <pt idx="310">
                  <v>-0.0009918364232852639</v>
                </pt>
                <pt idx="311">
                  <v>-0.0009918364232852639</v>
                </pt>
                <pt idx="312">
                  <v>-0.0009918364232852639</v>
                </pt>
                <pt idx="313">
                  <v>-0.0009918364232852639</v>
                </pt>
                <pt idx="314">
                  <v>-0.0009918364232852639</v>
                </pt>
                <pt idx="315">
                  <v>-0.0009918364232852639</v>
                </pt>
                <pt idx="316">
                  <v>-0.0009918364232852639</v>
                </pt>
                <pt idx="317">
                  <v>-0.0009918364232852639</v>
                </pt>
                <pt idx="318">
                  <v>-0.0009918364232852639</v>
                </pt>
                <pt idx="319">
                  <v>-0.0009918364232852639</v>
                </pt>
                <pt idx="320">
                  <v>-0.0009918364232852639</v>
                </pt>
                <pt idx="321">
                  <v>-0.0009918364232852639</v>
                </pt>
                <pt idx="322">
                  <v>-0.0009918364232852639</v>
                </pt>
                <pt idx="323">
                  <v>-0.0009918364232852639</v>
                </pt>
                <pt idx="324">
                  <v>-0.0009918364232852639</v>
                </pt>
                <pt idx="325">
                  <v>-0.0009918364232852639</v>
                </pt>
                <pt idx="326">
                  <v>-0.0009918364232852639</v>
                </pt>
                <pt idx="327">
                  <v>-0.0009918364232852639</v>
                </pt>
                <pt idx="328">
                  <v>0.0005340657663844839</v>
                </pt>
                <pt idx="329">
                  <v>0.0005340657663844839</v>
                </pt>
                <pt idx="330">
                  <v>0.0005340657663844839</v>
                </pt>
                <pt idx="331">
                  <v>0.0005340657663844839</v>
                </pt>
                <pt idx="332">
                  <v>0.0005340657663844839</v>
                </pt>
                <pt idx="333">
                  <v>0.0005340657663844839</v>
                </pt>
                <pt idx="334">
                  <v>0.0005340657663844839</v>
                </pt>
                <pt idx="335">
                  <v>0.0005340657663844839</v>
                </pt>
                <pt idx="336">
                  <v>0.0005340657663844839</v>
                </pt>
                <pt idx="337">
                  <v>0.0005340657663844839</v>
                </pt>
                <pt idx="338">
                  <v>0.0005340657663844839</v>
                </pt>
                <pt idx="339">
                  <v>0.0005340657663844839</v>
                </pt>
                <pt idx="340">
                  <v>0.0005340657663844839</v>
                </pt>
                <pt idx="341">
                  <v>0.0005340657663844839</v>
                </pt>
                <pt idx="342">
                  <v>0.0005340657663844839</v>
                </pt>
                <pt idx="343">
                  <v>0.0005340657663844839</v>
                </pt>
                <pt idx="344">
                  <v>0.0005340657663844839</v>
                </pt>
                <pt idx="345">
                  <v>0.0005340657663844839</v>
                </pt>
                <pt idx="346">
                  <v>0.0005340657663844839</v>
                </pt>
                <pt idx="347">
                  <v>0.0005340657663844839</v>
                </pt>
                <pt idx="348">
                  <v>0.0005340657663844839</v>
                </pt>
                <pt idx="349">
                  <v>0.0005340657663844839</v>
                </pt>
                <pt idx="350">
                  <v>0.0005340657663844839</v>
                </pt>
                <pt idx="351">
                  <v>0.0005340657663844839</v>
                </pt>
                <pt idx="352">
                  <v>0.0005340657663844839</v>
                </pt>
                <pt idx="353">
                  <v>0.0005340657663844839</v>
                </pt>
                <pt idx="354">
                  <v>0.0005340657663844839</v>
                </pt>
                <pt idx="355">
                  <v>-0.0009918364232852639</v>
                </pt>
                <pt idx="356">
                  <v>-0.0009918364232852639</v>
                </pt>
                <pt idx="357">
                  <v>-0.0009918364232852639</v>
                </pt>
                <pt idx="358">
                  <v>-0.0009918364232852639</v>
                </pt>
                <pt idx="359">
                  <v>-0.0009918364232852639</v>
                </pt>
                <pt idx="360">
                  <v>-0.0009918364232852639</v>
                </pt>
                <pt idx="361">
                  <v>-0.0009918364232852639</v>
                </pt>
                <pt idx="362">
                  <v>-0.0009918364232852639</v>
                </pt>
                <pt idx="363">
                  <v>-0.0009918364232852639</v>
                </pt>
                <pt idx="364">
                  <v>-0.0009918364232852639</v>
                </pt>
                <pt idx="365">
                  <v>-0.0009918364232852639</v>
                </pt>
                <pt idx="366">
                  <v>-0.0009918364232852639</v>
                </pt>
                <pt idx="367">
                  <v>-0.0009918364232852639</v>
                </pt>
                <pt idx="368">
                  <v>-0.0009918364232852639</v>
                </pt>
                <pt idx="369">
                  <v>-0.0009918364232852639</v>
                </pt>
                <pt idx="370">
                  <v>-0.0009918364232852639</v>
                </pt>
                <pt idx="371">
                  <v>-0.0009918364232852639</v>
                </pt>
                <pt idx="372">
                  <v>-0.0009918364232852639</v>
                </pt>
                <pt idx="373">
                  <v>-0.0009918364232852639</v>
                </pt>
                <pt idx="374">
                  <v>-0.0009918364232852639</v>
                </pt>
                <pt idx="375">
                  <v>-0.0009918364232852639</v>
                </pt>
                <pt idx="376">
                  <v>-0.0009918364232852639</v>
                </pt>
                <pt idx="377">
                  <v>-0.0009918364232852639</v>
                </pt>
                <pt idx="378">
                  <v>-0.0009918364232852639</v>
                </pt>
                <pt idx="379">
                  <v>-0.0009918364232852639</v>
                </pt>
                <pt idx="380">
                  <v>-0.0009918364232852639</v>
                </pt>
                <pt idx="381">
                  <v>-0.0009918364232852639</v>
                </pt>
                <pt idx="382">
                  <v>-0.0009918364232852639</v>
                </pt>
                <pt idx="383">
                  <v>0.0005340657663844839</v>
                </pt>
                <pt idx="384">
                  <v>0.0005340657663844839</v>
                </pt>
                <pt idx="385">
                  <v>0.0005340657663844839</v>
                </pt>
                <pt idx="386">
                  <v>0.0005340657663844839</v>
                </pt>
                <pt idx="387">
                  <v>0.0005340657663844839</v>
                </pt>
                <pt idx="388">
                  <v>0.0005340657663844839</v>
                </pt>
                <pt idx="389">
                  <v>0.0005340657663844839</v>
                </pt>
                <pt idx="390">
                  <v>0.0005340657663844839</v>
                </pt>
                <pt idx="391">
                  <v>0.0005340657663844839</v>
                </pt>
                <pt idx="392">
                  <v>0.0005340657663844839</v>
                </pt>
                <pt idx="393">
                  <v>0.0005340657663844839</v>
                </pt>
                <pt idx="394">
                  <v>0.0005340657663844839</v>
                </pt>
                <pt idx="395">
                  <v>0.0005340657663844839</v>
                </pt>
                <pt idx="396">
                  <v>0.0005340657663844839</v>
                </pt>
                <pt idx="397">
                  <v>0.0005340657663844839</v>
                </pt>
                <pt idx="398">
                  <v>0.0005340657663844839</v>
                </pt>
                <pt idx="399">
                  <v>0.0005340657663844839</v>
                </pt>
                <pt idx="400">
                  <v>0.0005340657663844839</v>
                </pt>
                <pt idx="401">
                  <v>0.0005340657663844839</v>
                </pt>
                <pt idx="402">
                  <v>0.0005340657663844839</v>
                </pt>
                <pt idx="403">
                  <v>0.0005340657663844839</v>
                </pt>
                <pt idx="404">
                  <v>0.0005340657663844839</v>
                </pt>
                <pt idx="405">
                  <v>0.0005340657663844839</v>
                </pt>
                <pt idx="406">
                  <v>0.0005340657663844839</v>
                </pt>
                <pt idx="407">
                  <v>0.0005340657663844839</v>
                </pt>
                <pt idx="408">
                  <v>0.0005340657663844839</v>
                </pt>
                <pt idx="409">
                  <v>0.0005340657663844839</v>
                </pt>
                <pt idx="410">
                  <v>-0.0009918364232852639</v>
                </pt>
                <pt idx="411">
                  <v>-0.0009918364232852639</v>
                </pt>
                <pt idx="412">
                  <v>-0.0009918364232852639</v>
                </pt>
                <pt idx="413">
                  <v>-0.0009918364232852639</v>
                </pt>
                <pt idx="414">
                  <v>-0.0009918364232852639</v>
                </pt>
                <pt idx="415">
                  <v>-0.0009918364232852639</v>
                </pt>
                <pt idx="416">
                  <v>-0.0009918364232852639</v>
                </pt>
                <pt idx="417">
                  <v>-0.0009918364232852639</v>
                </pt>
                <pt idx="418">
                  <v>-0.0009918364232852639</v>
                </pt>
                <pt idx="419">
                  <v>-0.0009918364232852639</v>
                </pt>
                <pt idx="420">
                  <v>-0.0009918364232852639</v>
                </pt>
                <pt idx="421">
                  <v>-0.0009918364232852639</v>
                </pt>
                <pt idx="422">
                  <v>-0.0009918364232852639</v>
                </pt>
                <pt idx="423">
                  <v>-0.0009918364232852639</v>
                </pt>
                <pt idx="424">
                  <v>-0.0009918364232852639</v>
                </pt>
                <pt idx="425">
                  <v>-0.0009918364232852639</v>
                </pt>
                <pt idx="426">
                  <v>-0.0009918364232852639</v>
                </pt>
                <pt idx="427">
                  <v>-0.0009918364232852639</v>
                </pt>
                <pt idx="428">
                  <v>-0.0009918364232852639</v>
                </pt>
                <pt idx="429">
                  <v>-0.0009918364232852639</v>
                </pt>
                <pt idx="430">
                  <v>-0.0009918364232852639</v>
                </pt>
                <pt idx="431">
                  <v>-0.0009918364232852639</v>
                </pt>
                <pt idx="432">
                  <v>-0.0009918364232852639</v>
                </pt>
                <pt idx="433">
                  <v>-0.0009918364232852639</v>
                </pt>
                <pt idx="434">
                  <v>-0.0009918364232852639</v>
                </pt>
                <pt idx="435">
                  <v>-0.0009918364232852639</v>
                </pt>
                <pt idx="436">
                  <v>-0.0009918364232852639</v>
                </pt>
                <pt idx="437">
                  <v>0.0005340657663844839</v>
                </pt>
                <pt idx="438">
                  <v>0.0005340657663844839</v>
                </pt>
                <pt idx="439">
                  <v>0.0005340657663844839</v>
                </pt>
                <pt idx="440">
                  <v>0.0005340657663844839</v>
                </pt>
                <pt idx="441">
                  <v>0.0005340657663844839</v>
                </pt>
                <pt idx="442">
                  <v>0.0005340657663844839</v>
                </pt>
                <pt idx="443">
                  <v>0.0005340657663844839</v>
                </pt>
                <pt idx="444">
                  <v>0.0005340657663844839</v>
                </pt>
                <pt idx="445">
                  <v>0.0005340657663844839</v>
                </pt>
                <pt idx="446">
                  <v>0.0005340657663844839</v>
                </pt>
                <pt idx="447">
                  <v>0.0005340657663844839</v>
                </pt>
                <pt idx="448">
                  <v>0.0005340657663844839</v>
                </pt>
                <pt idx="449">
                  <v>0.0005340657663844839</v>
                </pt>
                <pt idx="450">
                  <v>0.0005340657663844839</v>
                </pt>
                <pt idx="451">
                  <v>0.0005340657663844839</v>
                </pt>
                <pt idx="452">
                  <v>0.0005340657663844839</v>
                </pt>
                <pt idx="453">
                  <v>0.0005340657663844839</v>
                </pt>
                <pt idx="454">
                  <v>0.0005340657663844839</v>
                </pt>
                <pt idx="455">
                  <v>0.0005340657663844839</v>
                </pt>
                <pt idx="456">
                  <v>0.0005340657663844839</v>
                </pt>
                <pt idx="457">
                  <v>0.0005340657663844839</v>
                </pt>
                <pt idx="458">
                  <v>0.0005340657663844839</v>
                </pt>
                <pt idx="459">
                  <v>0.0005340657663844839</v>
                </pt>
                <pt idx="460">
                  <v>0.0005340657663844839</v>
                </pt>
                <pt idx="461">
                  <v>0.0005340657663844839</v>
                </pt>
                <pt idx="462">
                  <v>0.0005340657663844839</v>
                </pt>
                <pt idx="463">
                  <v>0.0005340657663844839</v>
                </pt>
                <pt idx="464">
                  <v>-0.0009918364232852639</v>
                </pt>
                <pt idx="465">
                  <v>-0.0009918364232852639</v>
                </pt>
                <pt idx="466">
                  <v>-0.0009918364232852639</v>
                </pt>
                <pt idx="467">
                  <v>-0.0009918364232852639</v>
                </pt>
                <pt idx="468">
                  <v>-0.0009918364232852639</v>
                </pt>
                <pt idx="469">
                  <v>-0.0009918364232852639</v>
                </pt>
                <pt idx="470">
                  <v>-0.0009918364232852639</v>
                </pt>
                <pt idx="471">
                  <v>-0.0009918364232852639</v>
                </pt>
                <pt idx="472">
                  <v>-0.0009918364232852639</v>
                </pt>
                <pt idx="473">
                  <v>-0.0009918364232852639</v>
                </pt>
                <pt idx="474">
                  <v>-0.0009918364232852639</v>
                </pt>
                <pt idx="475">
                  <v>-0.0009918364232852639</v>
                </pt>
                <pt idx="476">
                  <v>-0.0009918364232852639</v>
                </pt>
                <pt idx="477">
                  <v>-0.0009918364232852639</v>
                </pt>
                <pt idx="478">
                  <v>-0.0009918364232852639</v>
                </pt>
                <pt idx="479">
                  <v>-0.0009918364232852639</v>
                </pt>
                <pt idx="480">
                  <v>-0.0009918364232852639</v>
                </pt>
                <pt idx="481">
                  <v>-0.0009918364232852639</v>
                </pt>
                <pt idx="482">
                  <v>-0.0009918364232852639</v>
                </pt>
                <pt idx="483">
                  <v>-0.0009918364232852639</v>
                </pt>
                <pt idx="484">
                  <v>-0.0009918364232852639</v>
                </pt>
                <pt idx="485">
                  <v>-0.0009918364232852639</v>
                </pt>
                <pt idx="486">
                  <v>-0.0009918364232852639</v>
                </pt>
                <pt idx="487">
                  <v>-0.0009918364232852639</v>
                </pt>
                <pt idx="488">
                  <v>-0.0009918364232852639</v>
                </pt>
                <pt idx="489">
                  <v>-0.0009918364232852639</v>
                </pt>
                <pt idx="490">
                  <v>-0.0009918364232852639</v>
                </pt>
                <pt idx="491">
                  <v>0.0005340657663844839</v>
                </pt>
                <pt idx="492">
                  <v>0.0005340657663844839</v>
                </pt>
                <pt idx="493">
                  <v>0.0005340657663844839</v>
                </pt>
                <pt idx="494">
                  <v>0.0005340657663844839</v>
                </pt>
                <pt idx="495">
                  <v>0.0005340657663844839</v>
                </pt>
                <pt idx="496">
                  <v>0.0005340657663844839</v>
                </pt>
                <pt idx="497">
                  <v>0.0005340657663844839</v>
                </pt>
                <pt idx="498">
                  <v>0.0005340657663844839</v>
                </pt>
                <pt idx="499">
                  <v>0.0005340657663844839</v>
                </pt>
                <pt idx="500">
                  <v>0.0005340657663844839</v>
                </pt>
                <pt idx="501">
                  <v>0.0005340657663844839</v>
                </pt>
                <pt idx="502">
                  <v>0.0005340657663844839</v>
                </pt>
                <pt idx="503">
                  <v>0.0005340657663844839</v>
                </pt>
                <pt idx="504">
                  <v>0.0005340657663844839</v>
                </pt>
                <pt idx="505">
                  <v>0.0005340657663844839</v>
                </pt>
                <pt idx="506">
                  <v>0.0005340657663844839</v>
                </pt>
                <pt idx="507">
                  <v>0.0005340657663844839</v>
                </pt>
                <pt idx="508">
                  <v>0.0005340657663844839</v>
                </pt>
                <pt idx="509">
                  <v>0.0005340657663844839</v>
                </pt>
                <pt idx="510">
                  <v>0.0005340657663844839</v>
                </pt>
                <pt idx="511">
                  <v>0.0005340657663844839</v>
                </pt>
                <pt idx="512">
                  <v>0.0005340657663844839</v>
                </pt>
                <pt idx="513">
                  <v>0.0005340657663844839</v>
                </pt>
                <pt idx="514">
                  <v>0.0005340657663844839</v>
                </pt>
                <pt idx="515">
                  <v>0.0005340657663844839</v>
                </pt>
                <pt idx="516">
                  <v>0.0005340657663844839</v>
                </pt>
                <pt idx="517">
                  <v>0.0005340657663844839</v>
                </pt>
                <pt idx="518">
                  <v>-0.0009918364232852639</v>
                </pt>
                <pt idx="519">
                  <v>-0.0009918364232852639</v>
                </pt>
                <pt idx="520">
                  <v>-0.0009918364232852639</v>
                </pt>
                <pt idx="521">
                  <v>-0.0009918364232852639</v>
                </pt>
                <pt idx="522">
                  <v>-0.0009918364232852639</v>
                </pt>
                <pt idx="523">
                  <v>-0.0009918364232852639</v>
                </pt>
                <pt idx="524">
                  <v>-0.0009918364232852639</v>
                </pt>
                <pt idx="525">
                  <v>-0.0009918364232852639</v>
                </pt>
                <pt idx="526">
                  <v>-0.0009918364232852639</v>
                </pt>
                <pt idx="527">
                  <v>-0.0009918364232852639</v>
                </pt>
                <pt idx="528">
                  <v>-0.0009918364232852639</v>
                </pt>
                <pt idx="529">
                  <v>-0.0009918364232852639</v>
                </pt>
                <pt idx="530">
                  <v>-0.0009918364232852639</v>
                </pt>
                <pt idx="531">
                  <v>-0.0009918364232852639</v>
                </pt>
                <pt idx="532">
                  <v>-0.0009918364232852639</v>
                </pt>
                <pt idx="533">
                  <v>-0.0009918364232852639</v>
                </pt>
                <pt idx="534">
                  <v>-0.0009918364232852639</v>
                </pt>
                <pt idx="535">
                  <v>-0.0009918364232852639</v>
                </pt>
                <pt idx="536">
                  <v>-0.0009918364232852639</v>
                </pt>
                <pt idx="537">
                  <v>-0.0009918364232852639</v>
                </pt>
                <pt idx="538">
                  <v>-0.0009918364232852639</v>
                </pt>
                <pt idx="539">
                  <v>-0.0009918364232852639</v>
                </pt>
                <pt idx="540">
                  <v>-0.0009918364232852639</v>
                </pt>
                <pt idx="541">
                  <v>-0.0009918364232852639</v>
                </pt>
                <pt idx="542">
                  <v>-0.0009918364232852639</v>
                </pt>
                <pt idx="543">
                  <v>-0.0009918364232852639</v>
                </pt>
                <pt idx="544">
                  <v>-0.0009918364232852639</v>
                </pt>
                <pt idx="545">
                  <v>0.0005340657663844839</v>
                </pt>
                <pt idx="546">
                  <v>0.0005340657663844839</v>
                </pt>
                <pt idx="547">
                  <v>0.0005340657663844839</v>
                </pt>
                <pt idx="548">
                  <v>0.0005340657663844839</v>
                </pt>
                <pt idx="549">
                  <v>0.0005340657663844839</v>
                </pt>
                <pt idx="550">
                  <v>0.0005340657663844839</v>
                </pt>
                <pt idx="551">
                  <v>0.0005340657663844839</v>
                </pt>
                <pt idx="552">
                  <v>0.0005340657663844839</v>
                </pt>
                <pt idx="553">
                  <v>0.0005340657663844839</v>
                </pt>
                <pt idx="554">
                  <v>0.0005340657663844839</v>
                </pt>
                <pt idx="555">
                  <v>0.0005340657663844839</v>
                </pt>
                <pt idx="556">
                  <v>0.0005340657663844839</v>
                </pt>
                <pt idx="557">
                  <v>0.0005340657663844839</v>
                </pt>
                <pt idx="558">
                  <v>0.0005340657663844839</v>
                </pt>
                <pt idx="559">
                  <v>0.0005340657663844839</v>
                </pt>
                <pt idx="560">
                  <v>0.0005340657663844839</v>
                </pt>
                <pt idx="561">
                  <v>0.0005340657663844839</v>
                </pt>
                <pt idx="562">
                  <v>0.0005340657663844839</v>
                </pt>
                <pt idx="563">
                  <v>0.0005340657663844839</v>
                </pt>
                <pt idx="564">
                  <v>0.0005340657663844839</v>
                </pt>
                <pt idx="565">
                  <v>0.0005340657663844839</v>
                </pt>
                <pt idx="566">
                  <v>0.0005340657663844839</v>
                </pt>
                <pt idx="567">
                  <v>0.0005340657663844839</v>
                </pt>
                <pt idx="568">
                  <v>0.0005340657663844839</v>
                </pt>
                <pt idx="569">
                  <v>0.0005340657663844839</v>
                </pt>
                <pt idx="570">
                  <v>0.0005340657663844839</v>
                </pt>
                <pt idx="571">
                  <v>0.0005340657663844839</v>
                </pt>
                <pt idx="572">
                  <v>-0.0009918364232852639</v>
                </pt>
                <pt idx="573">
                  <v>-0.0009918364232852639</v>
                </pt>
                <pt idx="574">
                  <v>-0.0009918364232852639</v>
                </pt>
                <pt idx="575">
                  <v>-0.0009918364232852639</v>
                </pt>
                <pt idx="576">
                  <v>-0.0009918364232852639</v>
                </pt>
                <pt idx="577">
                  <v>-0.0009918364232852639</v>
                </pt>
                <pt idx="578">
                  <v>-0.0009918364232852639</v>
                </pt>
                <pt idx="579">
                  <v>-0.0009918364232852639</v>
                </pt>
                <pt idx="580">
                  <v>-0.0009918364232852639</v>
                </pt>
                <pt idx="581">
                  <v>-0.0009918364232852639</v>
                </pt>
                <pt idx="582">
                  <v>-0.0009918364232852639</v>
                </pt>
                <pt idx="583">
                  <v>-0.0009918364232852639</v>
                </pt>
                <pt idx="584">
                  <v>-0.0009918364232852639</v>
                </pt>
                <pt idx="585">
                  <v>-0.0009918364232852639</v>
                </pt>
                <pt idx="586">
                  <v>-0.0009918364232852639</v>
                </pt>
                <pt idx="587">
                  <v>-0.0009918364232852639</v>
                </pt>
                <pt idx="588">
                  <v>-0.0009918364232852639</v>
                </pt>
                <pt idx="589">
                  <v>-0.0009918364232852639</v>
                </pt>
                <pt idx="590">
                  <v>-0.0009918364232852639</v>
                </pt>
                <pt idx="591">
                  <v>-0.0009918364232852639</v>
                </pt>
                <pt idx="592">
                  <v>-0.0009918364232852639</v>
                </pt>
                <pt idx="593">
                  <v>-0.0009918364232852639</v>
                </pt>
                <pt idx="594">
                  <v>-0.0009918364232852639</v>
                </pt>
                <pt idx="595">
                  <v>-0.0009918364232852639</v>
                </pt>
                <pt idx="596">
                  <v>-0.0009918364232852639</v>
                </pt>
                <pt idx="597">
                  <v>-0.0009918364232852639</v>
                </pt>
                <pt idx="598">
                  <v>-0.0009918364232852639</v>
                </pt>
                <pt idx="599">
                  <v>0.0005340657663844839</v>
                </pt>
                <pt idx="600">
                  <v>0.0005340657663844839</v>
                </pt>
                <pt idx="601">
                  <v>0.0005340657663844839</v>
                </pt>
                <pt idx="602">
                  <v>0.0005340657663844839</v>
                </pt>
                <pt idx="603">
                  <v>0.0005340657663844839</v>
                </pt>
                <pt idx="604">
                  <v>0.0005340657663844839</v>
                </pt>
                <pt idx="605">
                  <v>0.0005340657663844839</v>
                </pt>
                <pt idx="606">
                  <v>0.0005340657663844839</v>
                </pt>
                <pt idx="607">
                  <v>0.0005340657663844839</v>
                </pt>
                <pt idx="608">
                  <v>0.0005340657663844839</v>
                </pt>
                <pt idx="609">
                  <v>0.0005340657663844839</v>
                </pt>
                <pt idx="610">
                  <v>0.0005340657663844839</v>
                </pt>
                <pt idx="611">
                  <v>0.0005340657663844839</v>
                </pt>
                <pt idx="612">
                  <v>0.0005340657663844839</v>
                </pt>
                <pt idx="613">
                  <v>0.0005340657663844839</v>
                </pt>
                <pt idx="614">
                  <v>0.0005340657663844839</v>
                </pt>
                <pt idx="615">
                  <v>0.0005340657663844839</v>
                </pt>
                <pt idx="616">
                  <v>0.0005340657663844839</v>
                </pt>
                <pt idx="617">
                  <v>0.0005340657663844839</v>
                </pt>
                <pt idx="618">
                  <v>0.0005340657663844839</v>
                </pt>
                <pt idx="619">
                  <v>0.0005340657663844839</v>
                </pt>
                <pt idx="620">
                  <v>0.0005340657663844839</v>
                </pt>
                <pt idx="621">
                  <v>0.0005340657663844839</v>
                </pt>
                <pt idx="622">
                  <v>0.0005340657663844839</v>
                </pt>
                <pt idx="623">
                  <v>0.0005340657663844839</v>
                </pt>
                <pt idx="624">
                  <v>0.0005340657663844839</v>
                </pt>
                <pt idx="625">
                  <v>0.0005340657663844839</v>
                </pt>
                <pt idx="626">
                  <v>-0.0009918364232852639</v>
                </pt>
                <pt idx="627">
                  <v>-0.0009918364232852639</v>
                </pt>
                <pt idx="628">
                  <v>-0.0009918364232852639</v>
                </pt>
                <pt idx="629">
                  <v>-0.0009918364232852639</v>
                </pt>
                <pt idx="630">
                  <v>-0.0009918364232852639</v>
                </pt>
                <pt idx="631">
                  <v>-0.0009918364232852639</v>
                </pt>
                <pt idx="632">
                  <v>-0.0009918364232852639</v>
                </pt>
                <pt idx="633">
                  <v>-0.0009918364232852639</v>
                </pt>
                <pt idx="634">
                  <v>-0.0009918364232852639</v>
                </pt>
                <pt idx="635">
                  <v>-0.0009918364232852639</v>
                </pt>
                <pt idx="636">
                  <v>-0.0009918364232852639</v>
                </pt>
                <pt idx="637">
                  <v>-0.0009918364232852639</v>
                </pt>
                <pt idx="638">
                  <v>-0.0009918364232852639</v>
                </pt>
                <pt idx="639">
                  <v>-0.0009918364232852639</v>
                </pt>
                <pt idx="640">
                  <v>-0.0009918364232852639</v>
                </pt>
                <pt idx="641">
                  <v>-0.0009918364232852639</v>
                </pt>
                <pt idx="642">
                  <v>-0.0009918364232852639</v>
                </pt>
                <pt idx="643">
                  <v>-0.0009918364232852639</v>
                </pt>
                <pt idx="644">
                  <v>-0.0009918364232852639</v>
                </pt>
                <pt idx="645">
                  <v>-0.0009918364232852639</v>
                </pt>
                <pt idx="646">
                  <v>-0.0009918364232852639</v>
                </pt>
                <pt idx="647">
                  <v>-0.0009918364232852639</v>
                </pt>
                <pt idx="648">
                  <v>-0.0009918364232852639</v>
                </pt>
                <pt idx="649">
                  <v>-0.0009918364232852639</v>
                </pt>
                <pt idx="650">
                  <v>-0.0009918364232852639</v>
                </pt>
                <pt idx="651">
                  <v>-0.0009918364232852639</v>
                </pt>
                <pt idx="652">
                  <v>-0.0009918364232852639</v>
                </pt>
                <pt idx="653">
                  <v>0.0005340657663844839</v>
                </pt>
                <pt idx="654">
                  <v>0.0005340657663844839</v>
                </pt>
                <pt idx="655">
                  <v>0.0005340657663844839</v>
                </pt>
                <pt idx="656">
                  <v>0.0005340657663844839</v>
                </pt>
                <pt idx="657">
                  <v>0.0005340657663844839</v>
                </pt>
                <pt idx="658">
                  <v>0.0005340657663844839</v>
                </pt>
                <pt idx="659">
                  <v>0.0005340657663844839</v>
                </pt>
                <pt idx="660">
                  <v>0.0005340657663844839</v>
                </pt>
                <pt idx="661">
                  <v>0.0005340657663844839</v>
                </pt>
                <pt idx="662">
                  <v>0.0005340657663844839</v>
                </pt>
                <pt idx="663">
                  <v>0.0005340657663844839</v>
                </pt>
                <pt idx="664">
                  <v>0.0005340657663844839</v>
                </pt>
                <pt idx="665">
                  <v>0.0005340657663844839</v>
                </pt>
                <pt idx="666">
                  <v>0.0005340657663844839</v>
                </pt>
                <pt idx="667">
                  <v>0.0005340657663844839</v>
                </pt>
                <pt idx="668">
                  <v>0.0005340657663844839</v>
                </pt>
                <pt idx="669">
                  <v>0.0005340657663844839</v>
                </pt>
                <pt idx="670">
                  <v>0.0005340657663844839</v>
                </pt>
                <pt idx="671">
                  <v>0.0005340657663844839</v>
                </pt>
                <pt idx="672">
                  <v>0.0005340657663844839</v>
                </pt>
                <pt idx="673">
                  <v>0.0005340657663844839</v>
                </pt>
                <pt idx="674">
                  <v>0.0005340657663844839</v>
                </pt>
                <pt idx="675">
                  <v>0.0005340657663844839</v>
                </pt>
                <pt idx="676">
                  <v>0.0005340657663844839</v>
                </pt>
                <pt idx="677">
                  <v>0.0005340657663844839</v>
                </pt>
                <pt idx="678">
                  <v>0.0005340657663844839</v>
                </pt>
                <pt idx="679">
                  <v>0.0005340657663844839</v>
                </pt>
                <pt idx="680">
                  <v>-0.0009918364232852639</v>
                </pt>
                <pt idx="681">
                  <v>-0.0009918364232852639</v>
                </pt>
                <pt idx="682">
                  <v>-0.0009918364232852639</v>
                </pt>
                <pt idx="683">
                  <v>-0.0009918364232852639</v>
                </pt>
                <pt idx="684">
                  <v>-0.0009918364232852639</v>
                </pt>
                <pt idx="685">
                  <v>-0.0009918364232852639</v>
                </pt>
                <pt idx="686">
                  <v>-0.0009918364232852639</v>
                </pt>
                <pt idx="687">
                  <v>-0.0009918364232852639</v>
                </pt>
                <pt idx="688">
                  <v>-0.0009918364232852639</v>
                </pt>
                <pt idx="689">
                  <v>-0.0009918364232852639</v>
                </pt>
                <pt idx="690">
                  <v>-0.0009918364232852639</v>
                </pt>
                <pt idx="691">
                  <v>-0.0009918364232852639</v>
                </pt>
                <pt idx="692">
                  <v>-0.0009918364232852639</v>
                </pt>
                <pt idx="693">
                  <v>-0.0009918364232852639</v>
                </pt>
                <pt idx="694">
                  <v>-0.0009918364232852639</v>
                </pt>
                <pt idx="695">
                  <v>-0.0009918364232852639</v>
                </pt>
                <pt idx="696">
                  <v>-0.0009918364232852639</v>
                </pt>
                <pt idx="697">
                  <v>-0.0009918364232852639</v>
                </pt>
                <pt idx="698">
                  <v>-0.0009918364232852639</v>
                </pt>
                <pt idx="699">
                  <v>-0.0009918364232852639</v>
                </pt>
                <pt idx="700">
                  <v>-0.0009918364232852639</v>
                </pt>
                <pt idx="701">
                  <v>-0.0009918364232852639</v>
                </pt>
                <pt idx="702">
                  <v>-0.0009918364232852639</v>
                </pt>
                <pt idx="703">
                  <v>-0.0009918364232852639</v>
                </pt>
                <pt idx="704">
                  <v>-0.0009918364232852639</v>
                </pt>
                <pt idx="705">
                  <v>-0.0009918364232852639</v>
                </pt>
                <pt idx="706">
                  <v>-0.0009918364232852639</v>
                </pt>
                <pt idx="707">
                  <v>0.0005340657663844839</v>
                </pt>
                <pt idx="708">
                  <v>0.0005340657663844839</v>
                </pt>
                <pt idx="709">
                  <v>0.0005340657663844839</v>
                </pt>
                <pt idx="710">
                  <v>0.0005340657663844839</v>
                </pt>
                <pt idx="711">
                  <v>0.0005340657663844839</v>
                </pt>
                <pt idx="712">
                  <v>0.0005340657663844839</v>
                </pt>
                <pt idx="713">
                  <v>0.0005340657663844839</v>
                </pt>
                <pt idx="714">
                  <v>0.0005340657663844839</v>
                </pt>
                <pt idx="715">
                  <v>0.0005340657663844839</v>
                </pt>
                <pt idx="716">
                  <v>0.0005340657663844839</v>
                </pt>
                <pt idx="717">
                  <v>0.0005340657663844839</v>
                </pt>
                <pt idx="718">
                  <v>0.0005340657663844839</v>
                </pt>
                <pt idx="719">
                  <v>0.0005340657663844839</v>
                </pt>
                <pt idx="720">
                  <v>0.0005340657663844839</v>
                </pt>
                <pt idx="721">
                  <v>0.0005340657663844839</v>
                </pt>
                <pt idx="722">
                  <v>0.0005340657663844839</v>
                </pt>
                <pt idx="723">
                  <v>0.0005340657663844839</v>
                </pt>
                <pt idx="724">
                  <v>0.0005340657663844839</v>
                </pt>
                <pt idx="725">
                  <v>0.0005340657663844839</v>
                </pt>
                <pt idx="726">
                  <v>0.0005340657663844839</v>
                </pt>
                <pt idx="727">
                  <v>0.0005340657663844839</v>
                </pt>
                <pt idx="728">
                  <v>0.0005340657663844839</v>
                </pt>
                <pt idx="729">
                  <v>0.0005340657663844839</v>
                </pt>
                <pt idx="730">
                  <v>0.0005340657663844839</v>
                </pt>
                <pt idx="731">
                  <v>0.0005340657663844839</v>
                </pt>
                <pt idx="732">
                  <v>0.0005340657663844839</v>
                </pt>
                <pt idx="733">
                  <v>0.0005340657663844839</v>
                </pt>
                <pt idx="734">
                  <v>-0.0009918364232852639</v>
                </pt>
                <pt idx="735">
                  <v>-0.0009918364232852639</v>
                </pt>
                <pt idx="736">
                  <v>-0.0009918364232852639</v>
                </pt>
                <pt idx="737">
                  <v>-0.0009918364232852639</v>
                </pt>
                <pt idx="738">
                  <v>-0.0009918364232852639</v>
                </pt>
                <pt idx="739">
                  <v>-0.0009918364232852639</v>
                </pt>
                <pt idx="740">
                  <v>-0.0009918364232852639</v>
                </pt>
                <pt idx="741">
                  <v>-0.0009918364232852639</v>
                </pt>
                <pt idx="742">
                  <v>-0.0009918364232852639</v>
                </pt>
                <pt idx="743">
                  <v>-0.0009918364232852639</v>
                </pt>
                <pt idx="744">
                  <v>-0.0009918364232852639</v>
                </pt>
                <pt idx="745">
                  <v>-0.0009918364232852639</v>
                </pt>
                <pt idx="746">
                  <v>-0.0009918364232852639</v>
                </pt>
                <pt idx="747">
                  <v>-0.0009918364232852639</v>
                </pt>
                <pt idx="748">
                  <v>-0.0009918364232852639</v>
                </pt>
                <pt idx="749">
                  <v>-0.0009918364232852639</v>
                </pt>
                <pt idx="750">
                  <v>-0.0009918364232852639</v>
                </pt>
                <pt idx="751">
                  <v>-0.0009918364232852639</v>
                </pt>
                <pt idx="752">
                  <v>-0.0009918364232852639</v>
                </pt>
                <pt idx="753">
                  <v>-0.0009918364232852639</v>
                </pt>
                <pt idx="754">
                  <v>-0.0009918364232852639</v>
                </pt>
                <pt idx="755">
                  <v>-0.0009918364232852639</v>
                </pt>
                <pt idx="756">
                  <v>-0.0009918364232852639</v>
                </pt>
                <pt idx="757">
                  <v>-0.0009918364232852639</v>
                </pt>
                <pt idx="758">
                  <v>-0.0009918364232852639</v>
                </pt>
                <pt idx="759">
                  <v>-0.0009918364232852639</v>
                </pt>
                <pt idx="760">
                  <v>-0.0009918364232852639</v>
                </pt>
                <pt idx="761">
                  <v>0.0005340657663844839</v>
                </pt>
                <pt idx="762">
                  <v>0.0005340657663844839</v>
                </pt>
                <pt idx="763">
                  <v>0.0005340657663844839</v>
                </pt>
                <pt idx="764">
                  <v>0.0005340657663844839</v>
                </pt>
                <pt idx="765">
                  <v>0.0005340657663844839</v>
                </pt>
                <pt idx="766">
                  <v>0.0005340657663844839</v>
                </pt>
                <pt idx="767">
                  <v>0.0005340657663844839</v>
                </pt>
                <pt idx="768">
                  <v>0.0005340657663844839</v>
                </pt>
                <pt idx="769">
                  <v>0.0005340657663844839</v>
                </pt>
                <pt idx="770">
                  <v>0.0005340657663844839</v>
                </pt>
                <pt idx="771">
                  <v>0.0005340657663844839</v>
                </pt>
                <pt idx="772">
                  <v>0.0005340657663844839</v>
                </pt>
                <pt idx="773">
                  <v>0.0005340657663844839</v>
                </pt>
                <pt idx="774">
                  <v>0.0005340657663844839</v>
                </pt>
                <pt idx="775">
                  <v>0.0005340657663844839</v>
                </pt>
                <pt idx="776">
                  <v>0.0005340657663844839</v>
                </pt>
                <pt idx="777">
                  <v>0.0005340657663844839</v>
                </pt>
                <pt idx="778">
                  <v>0.0005340657663844839</v>
                </pt>
                <pt idx="779">
                  <v>0.0005340657663844839</v>
                </pt>
                <pt idx="780">
                  <v>0.0005340657663844839</v>
                </pt>
                <pt idx="781">
                  <v>0.0005340657663844839</v>
                </pt>
                <pt idx="782">
                  <v>0.0005340657663844839</v>
                </pt>
                <pt idx="783">
                  <v>0.0005340657663844839</v>
                </pt>
                <pt idx="784">
                  <v>0.0005340657663844839</v>
                </pt>
                <pt idx="785">
                  <v>0.0005340657663844839</v>
                </pt>
                <pt idx="786">
                  <v>0.0005340657663844839</v>
                </pt>
                <pt idx="787">
                  <v>0.0005340657663844839</v>
                </pt>
                <pt idx="788">
                  <v>0.0005340657663844839</v>
                </pt>
                <pt idx="789">
                  <v>0.0005340657663844839</v>
                </pt>
                <pt idx="790">
                  <v>0.0005340657663844839</v>
                </pt>
                <pt idx="791">
                  <v>0.0005340657663844839</v>
                </pt>
                <pt idx="792">
                  <v>0.0005340657663844839</v>
                </pt>
                <pt idx="793">
                  <v>0.0005340657663844839</v>
                </pt>
                <pt idx="794">
                  <v>0.0005340657663844839</v>
                </pt>
                <pt idx="795">
                  <v>0.0005340657663844839</v>
                </pt>
                <pt idx="796">
                  <v>0.0005340657663844839</v>
                </pt>
                <pt idx="797">
                  <v>0.0005340657663844839</v>
                </pt>
                <pt idx="798">
                  <v>0.0005340657663844839</v>
                </pt>
                <pt idx="799">
                  <v>0.0005340657663844839</v>
                </pt>
                <pt idx="800">
                  <v>0.0005340657663844839</v>
                </pt>
                <pt idx="801">
                  <v>0.0005340657663844839</v>
                </pt>
                <pt idx="802">
                  <v>0.0005340657663844839</v>
                </pt>
                <pt idx="803">
                  <v>0.0005340657663844839</v>
                </pt>
                <pt idx="804">
                  <v>0.0005340657663844839</v>
                </pt>
                <pt idx="805">
                  <v>0.0005340657663844839</v>
                </pt>
                <pt idx="806">
                  <v>0.0005340657663844839</v>
                </pt>
                <pt idx="807">
                  <v>0.0005340657663844839</v>
                </pt>
                <pt idx="808">
                  <v>0.0005340657663844839</v>
                </pt>
                <pt idx="809">
                  <v>0.0005340657663844839</v>
                </pt>
                <pt idx="810">
                  <v>0.0005340657663844839</v>
                </pt>
                <pt idx="811">
                  <v>0.0005340657663844839</v>
                </pt>
                <pt idx="812">
                  <v>0.0005340657663844839</v>
                </pt>
                <pt idx="813">
                  <v>0.0005340657663844839</v>
                </pt>
                <pt idx="814">
                  <v>0.0005340657663844839</v>
                </pt>
                <pt idx="815">
                  <v>0.0005340657663844839</v>
                </pt>
                <pt idx="816">
                  <v>0.0005340657663844839</v>
                </pt>
                <pt idx="817">
                  <v>0.0005340657663844839</v>
                </pt>
                <pt idx="818">
                  <v>0.0005340657663844839</v>
                </pt>
                <pt idx="819">
                  <v>0.0005340657663844839</v>
                </pt>
                <pt idx="820">
                  <v>0.0005340657663844839</v>
                </pt>
                <pt idx="821">
                  <v>0.0005340657663844839</v>
                </pt>
                <pt idx="822">
                  <v>0.0005340657663844839</v>
                </pt>
                <pt idx="823">
                  <v>0.0005340657663844839</v>
                </pt>
                <pt idx="824">
                  <v>0.0005340657663844839</v>
                </pt>
                <pt idx="825">
                  <v>0.0005340657663844839</v>
                </pt>
                <pt idx="826">
                  <v>0.0005340657663844839</v>
                </pt>
                <pt idx="827">
                  <v>0.0005340657663844839</v>
                </pt>
                <pt idx="828">
                  <v>0.0005340657663844839</v>
                </pt>
                <pt idx="829">
                  <v>0.0005340657663844839</v>
                </pt>
                <pt idx="830">
                  <v>0.0005340657663844839</v>
                </pt>
                <pt idx="831">
                  <v>0.0005340657663844839</v>
                </pt>
                <pt idx="832">
                  <v>0.0005340657663844839</v>
                </pt>
                <pt idx="833">
                  <v>0.0005340657663844839</v>
                </pt>
                <pt idx="834">
                  <v>0.0005340657663844839</v>
                </pt>
                <pt idx="835">
                  <v>0.0005340657663844839</v>
                </pt>
                <pt idx="836">
                  <v>0.0005340657663844839</v>
                </pt>
                <pt idx="837">
                  <v>0.0005340657663844839</v>
                </pt>
                <pt idx="838">
                  <v>0.0005340657663844839</v>
                </pt>
                <pt idx="839">
                  <v>0.0005340657663844839</v>
                </pt>
                <pt idx="840">
                  <v>0.0005340657663844839</v>
                </pt>
                <pt idx="841">
                  <v>0.0005340657663844839</v>
                </pt>
                <pt idx="842">
                  <v>0.0005340657663844839</v>
                </pt>
                <pt idx="843">
                  <v>0.0005340657663844839</v>
                </pt>
                <pt idx="844">
                  <v>0.0005340657663844839</v>
                </pt>
                <pt idx="845">
                  <v>0.0005340657663844839</v>
                </pt>
                <pt idx="846">
                  <v>0.0005340657663844839</v>
                </pt>
                <pt idx="847">
                  <v>0.0005340657663844839</v>
                </pt>
                <pt idx="848">
                  <v>0.0005340657663844839</v>
                </pt>
                <pt idx="849">
                  <v>0.0005340657663844839</v>
                </pt>
                <pt idx="850">
                  <v>0.0005340657663844839</v>
                </pt>
                <pt idx="851">
                  <v>0.0005340657663844839</v>
                </pt>
                <pt idx="852">
                  <v>0.0005340657663844839</v>
                </pt>
                <pt idx="853">
                  <v>0.0005340657663844839</v>
                </pt>
                <pt idx="854">
                  <v>0.0005340657663844839</v>
                </pt>
                <pt idx="855">
                  <v>0.0005340657663844839</v>
                </pt>
                <pt idx="856">
                  <v>0.0005340657663844839</v>
                </pt>
                <pt idx="857">
                  <v>0.0005340657663844839</v>
                </pt>
                <pt idx="858">
                  <v>0.0005340657663844839</v>
                </pt>
                <pt idx="859">
                  <v>0.0005340657663844839</v>
                </pt>
                <pt idx="860">
                  <v>0.0005340657663844839</v>
                </pt>
                <pt idx="861">
                  <v>0.0005340657663844839</v>
                </pt>
                <pt idx="862">
                  <v>0.0005340657663844839</v>
                </pt>
                <pt idx="863">
                  <v>0.0005340657663844839</v>
                </pt>
                <pt idx="864">
                  <v>0.0005340657663844839</v>
                </pt>
                <pt idx="865">
                  <v>0.0005340657663844839</v>
                </pt>
                <pt idx="866">
                  <v>0.0005340657663844839</v>
                </pt>
                <pt idx="867">
                  <v>0.0005340657663844839</v>
                </pt>
                <pt idx="868">
                  <v>0.0005340657663844839</v>
                </pt>
                <pt idx="869">
                  <v>0.0005340657663844839</v>
                </pt>
                <pt idx="870">
                  <v>0.0005340657663844839</v>
                </pt>
                <pt idx="871">
                  <v>0.0005340657663844839</v>
                </pt>
                <pt idx="872">
                  <v>0.0005340657663844839</v>
                </pt>
                <pt idx="873">
                  <v>0.0005340657663844839</v>
                </pt>
                <pt idx="874">
                  <v>0.0005340657663844839</v>
                </pt>
                <pt idx="875">
                  <v>0.0005340657663844839</v>
                </pt>
                <pt idx="876">
                  <v>0.0005340657663844839</v>
                </pt>
                <pt idx="877">
                  <v>0.0005340657663844839</v>
                </pt>
                <pt idx="878">
                  <v>0.0005340657663844839</v>
                </pt>
                <pt idx="879">
                  <v>0.0005340657663844839</v>
                </pt>
                <pt idx="880">
                  <v>0.0005340657663844839</v>
                </pt>
                <pt idx="881">
                  <v>0.0005340657663844839</v>
                </pt>
                <pt idx="882">
                  <v>0.0005340657663844839</v>
                </pt>
                <pt idx="883">
                  <v>0.0005340657663844839</v>
                </pt>
                <pt idx="884">
                  <v>0.0005340657663844839</v>
                </pt>
                <pt idx="885">
                  <v>0.0005340657663844839</v>
                </pt>
                <pt idx="886">
                  <v>0.0005340657663844839</v>
                </pt>
                <pt idx="887">
                  <v>0.0005340657663844839</v>
                </pt>
                <pt idx="888">
                  <v>0.0005340657663844839</v>
                </pt>
                <pt idx="889">
                  <v>0.0005340657663844839</v>
                </pt>
                <pt idx="890">
                  <v>0.0005340657663844839</v>
                </pt>
                <pt idx="891">
                  <v>0.0005340657663844839</v>
                </pt>
                <pt idx="892">
                  <v>0.0005340657663844839</v>
                </pt>
                <pt idx="893">
                  <v>0.0005340657663844839</v>
                </pt>
                <pt idx="894">
                  <v>0.0005340657663844839</v>
                </pt>
                <pt idx="895">
                  <v>0.0005340657663844839</v>
                </pt>
                <pt idx="896">
                  <v>0.0005340657663844839</v>
                </pt>
                <pt idx="897">
                  <v>0.0005340657663844839</v>
                </pt>
                <pt idx="898">
                  <v>0.0005340657663844839</v>
                </pt>
                <pt idx="899">
                  <v>0.0005340657663844839</v>
                </pt>
                <pt idx="900">
                  <v>0.0005340657663844839</v>
                </pt>
                <pt idx="901">
                  <v>0.0005340657663844839</v>
                </pt>
                <pt idx="902">
                  <v>0.0005340657663844839</v>
                </pt>
                <pt idx="903">
                  <v>0.0005340657663844839</v>
                </pt>
                <pt idx="904">
                  <v>0.0005340657663844839</v>
                </pt>
                <pt idx="905">
                  <v>0.0005340657663844839</v>
                </pt>
                <pt idx="906">
                  <v>0.0005340657663844839</v>
                </pt>
                <pt idx="907">
                  <v>0.0005340657663844839</v>
                </pt>
                <pt idx="908">
                  <v>0.0005340657663844839</v>
                </pt>
                <pt idx="909">
                  <v>0.0005340657663844839</v>
                </pt>
                <pt idx="910">
                  <v>0.0005340657663844839</v>
                </pt>
                <pt idx="911">
                  <v>0.0005340657663844839</v>
                </pt>
                <pt idx="912">
                  <v>0.0005340657663844839</v>
                </pt>
                <pt idx="913">
                  <v>0.0005340657663844839</v>
                </pt>
                <pt idx="914">
                  <v>0.0005340657663844839</v>
                </pt>
                <pt idx="915">
                  <v>0.0005340657663844839</v>
                </pt>
                <pt idx="916">
                  <v>0.0005340657663844839</v>
                </pt>
                <pt idx="917">
                  <v>0.0005340657663844839</v>
                </pt>
                <pt idx="918">
                  <v>0.0005340657663844839</v>
                </pt>
                <pt idx="919">
                  <v>0.0005340657663844839</v>
                </pt>
                <pt idx="920">
                  <v>0.0005340657663844839</v>
                </pt>
                <pt idx="921">
                  <v>0.0005340657663844839</v>
                </pt>
                <pt idx="922">
                  <v>0.0005340657663844839</v>
                </pt>
                <pt idx="923">
                  <v>0.0005340657663844839</v>
                </pt>
                <pt idx="924">
                  <v>0.0005340657663844839</v>
                </pt>
                <pt idx="925">
                  <v>0.0005340657663844839</v>
                </pt>
                <pt idx="926">
                  <v>0.0005340657663844839</v>
                </pt>
                <pt idx="927">
                  <v>0.0005340657663844839</v>
                </pt>
                <pt idx="928">
                  <v>0.0005340657663844839</v>
                </pt>
                <pt idx="929">
                  <v>0.0005340657663844839</v>
                </pt>
                <pt idx="930">
                  <v>0.0005340657663844839</v>
                </pt>
                <pt idx="931">
                  <v>0.0005340657663844839</v>
                </pt>
                <pt idx="932">
                  <v>0.0005340657663844839</v>
                </pt>
                <pt idx="933">
                  <v>0.0005340657663844839</v>
                </pt>
                <pt idx="934">
                  <v>0.0005340657663844839</v>
                </pt>
                <pt idx="935">
                  <v>0.0005340657663844839</v>
                </pt>
                <pt idx="936">
                  <v>0.0005340657663844839</v>
                </pt>
                <pt idx="937">
                  <v>0.0005340657663844839</v>
                </pt>
                <pt idx="938">
                  <v>0.0005340657663844839</v>
                </pt>
                <pt idx="939">
                  <v>0.0005340657663844839</v>
                </pt>
                <pt idx="940">
                  <v>0.0005340657663844839</v>
                </pt>
                <pt idx="941">
                  <v>0.0005340657663844839</v>
                </pt>
                <pt idx="942">
                  <v>0.0005340657663844839</v>
                </pt>
                <pt idx="943">
                  <v>0.0005340657663844839</v>
                </pt>
                <pt idx="944">
                  <v>0.0005340657663844839</v>
                </pt>
                <pt idx="945">
                  <v>0.0005340657663844839</v>
                </pt>
                <pt idx="946">
                  <v>0.0005340657663844839</v>
                </pt>
                <pt idx="947">
                  <v>0.0005340657663844839</v>
                </pt>
                <pt idx="948">
                  <v>0.0005340657663844839</v>
                </pt>
                <pt idx="949">
                  <v>0.0005340657663844839</v>
                </pt>
                <pt idx="950">
                  <v>0.0005340657663844839</v>
                </pt>
                <pt idx="951">
                  <v>0.0005340657663844839</v>
                </pt>
                <pt idx="952">
                  <v>0.0005340657663844839</v>
                </pt>
                <pt idx="953">
                  <v>0.0005340657663844839</v>
                </pt>
                <pt idx="954">
                  <v>0.0005340657663844839</v>
                </pt>
                <pt idx="955">
                  <v>0.0005340657663844839</v>
                </pt>
                <pt idx="956">
                  <v>0.0005340657663844839</v>
                </pt>
                <pt idx="957">
                  <v>0.0005340657663844839</v>
                </pt>
                <pt idx="958">
                  <v>0.0005340657663844839</v>
                </pt>
                <pt idx="959">
                  <v>0.0005340657663844839</v>
                </pt>
                <pt idx="960">
                  <v>0.0005340657663844839</v>
                </pt>
                <pt idx="961">
                  <v>0.0005340657663844839</v>
                </pt>
                <pt idx="962">
                  <v>0.0005340657663844839</v>
                </pt>
                <pt idx="963">
                  <v>0.0005340657663844839</v>
                </pt>
                <pt idx="964">
                  <v>0.0005340657663844839</v>
                </pt>
                <pt idx="965">
                  <v>0.0005340657663844839</v>
                </pt>
                <pt idx="966">
                  <v>0.0005340657663844839</v>
                </pt>
                <pt idx="967">
                  <v>0.0005340657663844839</v>
                </pt>
                <pt idx="968">
                  <v>0.0005340657663844839</v>
                </pt>
                <pt idx="969">
                  <v>0.0005340657663844839</v>
                </pt>
                <pt idx="970">
                  <v>0.0005340657663844839</v>
                </pt>
                <pt idx="971">
                  <v>0.0005340657663844839</v>
                </pt>
                <pt idx="972">
                  <v>0.0005340657663844839</v>
                </pt>
                <pt idx="973">
                  <v>0.0005340657663844839</v>
                </pt>
                <pt idx="974">
                  <v>0.0005340657663844839</v>
                </pt>
                <pt idx="975">
                  <v>0.0005340657663844839</v>
                </pt>
                <pt idx="976">
                  <v>0.0005340657663844839</v>
                </pt>
                <pt idx="977">
                  <v>0.0005340657663844839</v>
                </pt>
                <pt idx="978">
                  <v>0.0005340657663844839</v>
                </pt>
                <pt idx="979">
                  <v>0.0005340657663844839</v>
                </pt>
                <pt idx="980">
                  <v>0.0005340657663844839</v>
                </pt>
                <pt idx="981">
                  <v>0.0005340657663844839</v>
                </pt>
                <pt idx="982">
                  <v>0.0005340657663844839</v>
                </pt>
                <pt idx="983">
                  <v>0.0005340657663844839</v>
                </pt>
                <pt idx="984">
                  <v>0.0005340657663844839</v>
                </pt>
                <pt idx="985">
                  <v>0.0005340657663844839</v>
                </pt>
                <pt idx="986">
                  <v>0.0005340657663844839</v>
                </pt>
                <pt idx="987">
                  <v>0.0005340657663844839</v>
                </pt>
                <pt idx="988">
                  <v>0.0005340657663844839</v>
                </pt>
                <pt idx="989">
                  <v>0.0005340657663844839</v>
                </pt>
                <pt idx="990">
                  <v>0.0005340657663844839</v>
                </pt>
                <pt idx="991">
                  <v>0.0005340657663844839</v>
                </pt>
                <pt idx="992">
                  <v>0.0005340657663844839</v>
                </pt>
                <pt idx="993">
                  <v>0.0005340657663844839</v>
                </pt>
                <pt idx="994">
                  <v>0.0005340657663844839</v>
                </pt>
                <pt idx="995">
                  <v>0.0005340657663844839</v>
                </pt>
                <pt idx="996">
                  <v>0.0005340657663844839</v>
                </pt>
                <pt idx="997">
                  <v>0.0005340657663844839</v>
                </pt>
                <pt idx="998">
                  <v>0.0005340657663844839</v>
                </pt>
                <pt idx="999">
                  <v>0.0005340657663844839</v>
                </pt>
                <pt idx="1000">
                  <v>0.0005340657663844839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64901887"/>
        <axId val="1564903967"/>
      </lineChart>
      <catAx>
        <axId val="156490188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 cap="flat" cmpd="sng" algn="ctr">
            <a:solidFill>
              <a:schemeClr val="tx1"/>
            </a:solidFill>
            <a:prstDash val="solid"/>
            <a:round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3967"/>
        <crosses val="autoZero"/>
        <auto val="1"/>
        <lblAlgn val="ctr"/>
        <lblOffset val="100"/>
        <tickLblSkip val="50"/>
        <tickMarkSkip val="50"/>
        <noMultiLvlLbl val="0"/>
      </catAx>
      <valAx>
        <axId val="15649039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5875">
            <a:solidFill>
              <a:schemeClr val="tx1"/>
            </a:solidFill>
            <a:prstDash val="solid"/>
            <a:tailEnd type="triangle" w="lg" len="me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56490188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twoCellAnchor>
    <from>
      <col>1</col>
      <colOff>579452</colOff>
      <row>6</row>
      <rowOff>79513</rowOff>
    </from>
    <to>
      <col>9</col>
      <colOff>274652</colOff>
      <row>21</row>
      <rowOff>79513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18</col>
      <colOff>114300</colOff>
      <row>71</row>
      <rowOff>121920</rowOff>
    </from>
    <to>
      <col>25</col>
      <colOff>419100</colOff>
      <row>86</row>
      <rowOff>121920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20</col>
      <colOff>76200</colOff>
      <row>3</row>
      <rowOff>60960</rowOff>
    </from>
    <to>
      <col>27</col>
      <colOff>381000</colOff>
      <row>18</row>
      <rowOff>60960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19</col>
      <colOff>525780</colOff>
      <row>20</row>
      <rowOff>60960</rowOff>
    </from>
    <to>
      <col>27</col>
      <colOff>220980</colOff>
      <row>35</row>
      <rowOff>60960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407670</colOff>
      <row>37</row>
      <rowOff>181927</rowOff>
    </from>
    <to>
      <col>7</col>
      <colOff>125730</colOff>
      <row>52</row>
      <rowOff>69532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457200</colOff>
      <row>20</row>
      <rowOff>4761</rowOff>
    </from>
    <to>
      <col>10</col>
      <colOff>177166</colOff>
      <row>36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28</col>
      <colOff>622128</colOff>
      <row>2</row>
      <rowOff>162102</rowOff>
    </from>
    <to>
      <col>58</col>
      <colOff>535690</colOff>
      <row>69</row>
      <rowOff>10084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60960</colOff>
      <row>62</row>
      <rowOff>35242</rowOff>
    </from>
    <to>
      <col>9</col>
      <colOff>405766</colOff>
      <row>78</row>
      <rowOff>30480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34</col>
      <colOff>666653</colOff>
      <row>4</row>
      <rowOff>54428</rowOff>
    </from>
    <to>
      <col>57</col>
      <colOff>214179</colOff>
      <row>50</row>
      <rowOff>43541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97972</colOff>
      <row>45</row>
      <rowOff>10885</rowOff>
    </from>
    <to>
      <col>9</col>
      <colOff>442778</colOff>
      <row>61</row>
      <rowOff>6124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2"/>
  <sheetViews>
    <sheetView zoomScale="115" zoomScaleNormal="115" workbookViewId="0">
      <selection activeCell="H2" sqref="H2"/>
    </sheetView>
  </sheetViews>
  <sheetFormatPr baseColWidth="8" defaultRowHeight="14.4"/>
  <cols>
    <col width="15.88671875" customWidth="1" min="2" max="2"/>
  </cols>
  <sheetData>
    <row r="1">
      <c r="A1" s="41" t="inlineStr">
        <is>
          <t>Параметры исходные</t>
        </is>
      </c>
      <c r="B1" s="48" t="n"/>
      <c r="C1" s="41" t="inlineStr">
        <is>
          <t>ЦД (T0)</t>
        </is>
      </c>
      <c r="D1" s="6" t="n">
        <v>1</v>
      </c>
      <c r="E1" s="6" t="n">
        <v>10</v>
      </c>
      <c r="F1" s="7" t="n">
        <v>20</v>
      </c>
      <c r="J1" t="inlineStr">
        <is>
          <t>t</t>
        </is>
      </c>
      <c r="K1" t="inlineStr">
        <is>
          <t>x(t)</t>
        </is>
      </c>
      <c r="L1" t="inlineStr">
        <is>
          <t>y(t)</t>
        </is>
      </c>
      <c r="M1" t="inlineStr">
        <is>
          <t>y(n*T01)</t>
        </is>
      </c>
      <c r="N1" t="inlineStr">
        <is>
          <t>y(n*T02)</t>
        </is>
      </c>
      <c r="O1" t="inlineStr">
        <is>
          <t>y(n*T03)</t>
        </is>
      </c>
      <c r="Q1" t="inlineStr">
        <is>
          <t>T01</t>
        </is>
      </c>
      <c r="R1" t="inlineStr">
        <is>
          <t>T02</t>
        </is>
      </c>
      <c r="S1" t="inlineStr">
        <is>
          <t>T03</t>
        </is>
      </c>
      <c r="U1" t="inlineStr">
        <is>
          <t>max1</t>
        </is>
      </c>
      <c r="V1" t="inlineStr">
        <is>
          <t>max2</t>
        </is>
      </c>
      <c r="W1" t="inlineStr">
        <is>
          <t>max3</t>
        </is>
      </c>
    </row>
    <row r="2">
      <c r="A2" s="2" t="inlineStr">
        <is>
          <t>K</t>
        </is>
      </c>
      <c r="B2" s="1" t="n">
        <v>4</v>
      </c>
      <c r="C2" s="2" t="inlineStr">
        <is>
          <t>A1</t>
        </is>
      </c>
      <c r="D2" s="3">
        <f>EXP(-D1/$B$4)+EXP(-D1/$B$5)</f>
        <v/>
      </c>
      <c r="E2" s="3">
        <f>EXP(-E1/$B$4)+EXP(-E1/$B$5)</f>
        <v/>
      </c>
      <c r="F2" s="4">
        <f>EXP(-F1/$B$4)+EXP(-F1/$B$5)</f>
        <v/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Q2">
        <f>L2-M2</f>
        <v/>
      </c>
      <c r="R2">
        <f>L2-N2</f>
        <v/>
      </c>
      <c r="S2">
        <f>L2-O2</f>
        <v/>
      </c>
      <c r="U2">
        <f>MAX(Q2:Q402)</f>
        <v/>
      </c>
      <c r="V2">
        <f>MAX(R2:R402)</f>
        <v/>
      </c>
      <c r="W2">
        <f>MAX(S2:S402)</f>
        <v/>
      </c>
    </row>
    <row r="3">
      <c r="A3" s="8" t="inlineStr">
        <is>
          <t>τ</t>
        </is>
      </c>
      <c r="B3" s="1" t="n">
        <v>40</v>
      </c>
      <c r="C3" s="2" t="inlineStr">
        <is>
          <t>A2</t>
        </is>
      </c>
      <c r="D3" s="3">
        <f>EXP(-D1/$B$4)*EXP(-D1/$B$5)</f>
        <v/>
      </c>
      <c r="E3" s="3">
        <f>EXP(-E1/$B$4)*EXP(-E1/$B$5)</f>
        <v/>
      </c>
      <c r="F3" s="4">
        <f>EXP(-F1/$B$4)*EXP(-F1/$B$5)</f>
        <v/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Q3">
        <f>L3-M3</f>
        <v/>
      </c>
      <c r="R3">
        <f>L3-N3</f>
        <v/>
      </c>
      <c r="S3">
        <f>L3-O3</f>
        <v/>
      </c>
    </row>
    <row r="4">
      <c r="A4" s="2" t="inlineStr">
        <is>
          <t>T1</t>
        </is>
      </c>
      <c r="B4" s="1" t="n">
        <v>17</v>
      </c>
      <c r="C4" s="2" t="inlineStr">
        <is>
          <t>B1</t>
        </is>
      </c>
      <c r="D4" s="3">
        <f>$B$2*(1+$B$4/($B$5-$B$4)*EXP(-D$1/$B$4)-$B$5/($B$5-$B$4)*EXP(-D$1/$B$5))</f>
        <v/>
      </c>
      <c r="E4" s="3">
        <f>$B$2*(1+$B$4/($B$5-$B$4)*EXP(-E$1/$B$4)-$B$5/($B$5-$B$4)*EXP(-E$1/$B$5))</f>
        <v/>
      </c>
      <c r="F4" s="4">
        <f>$B$2*(1+$B$4/($B$5-$B$4)*EXP(-F$1/$B$4)-$B$5/($B$5-$B$4)*EXP(-F$1/$B$5))</f>
        <v/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Q4">
        <f>L4-M4</f>
        <v/>
      </c>
      <c r="R4">
        <f>L4-N4</f>
        <v/>
      </c>
      <c r="S4">
        <f>L4-O4</f>
        <v/>
      </c>
    </row>
    <row r="5">
      <c r="A5" s="2" t="inlineStr">
        <is>
          <t>T2</t>
        </is>
      </c>
      <c r="B5" s="1" t="n">
        <v>13</v>
      </c>
      <c r="C5" s="2" t="inlineStr">
        <is>
          <t>B2</t>
        </is>
      </c>
      <c r="D5" s="3">
        <f>$B$2*(EXP(-D1/$B$4)*EXP(-D1/$B$5)+$B$4/($B$5-$B$4)*EXP(-D1/$B$5)-$B$5/($B$5-$B$4)*EXP(-D1/$B$4))</f>
        <v/>
      </c>
      <c r="E5" s="3">
        <f>$B$2*(EXP(-E1/$B$4)*EXP(-E1/$B$5)+$B$4/($B$5-$B$4)*EXP(-E1/$B$5)-$B$5/($B$5-$B$4)*EXP(-E1/$B$4))</f>
        <v/>
      </c>
      <c r="F5" s="4">
        <f>$B$2*(EXP(-F1/$B$4)*EXP(-F1/$B$5)+$B$4/($B$5-$B$4)*EXP(-F1/$B$5)-$B$5/($B$5-$B$4)*EXP(-F1/$B$4))</f>
        <v/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Q5">
        <f>L5-M5</f>
        <v/>
      </c>
      <c r="R5">
        <f>L5-N5</f>
        <v/>
      </c>
      <c r="S5">
        <f>L5-O5</f>
        <v/>
      </c>
    </row>
    <row r="6"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Q6">
        <f>L6-M6</f>
        <v/>
      </c>
      <c r="R6">
        <f>L6-N6</f>
        <v/>
      </c>
      <c r="S6">
        <f>L6-O6</f>
        <v/>
      </c>
    </row>
    <row r="7"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Q7">
        <f>L7-M7</f>
        <v/>
      </c>
      <c r="R7">
        <f>L7-N7</f>
        <v/>
      </c>
      <c r="S7">
        <f>L7-O7</f>
        <v/>
      </c>
    </row>
    <row r="8">
      <c r="J8" t="n">
        <v>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Q8">
        <f>L8-M8</f>
        <v/>
      </c>
      <c r="R8">
        <f>L8-N8</f>
        <v/>
      </c>
      <c r="S8">
        <f>L8-O8</f>
        <v/>
      </c>
    </row>
    <row r="9">
      <c r="J9" t="n">
        <v>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Q9">
        <f>L9-M9</f>
        <v/>
      </c>
      <c r="R9">
        <f>L9-N9</f>
        <v/>
      </c>
      <c r="S9">
        <f>L9-O9</f>
        <v/>
      </c>
    </row>
    <row r="10"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Q10">
        <f>L10-M10</f>
        <v/>
      </c>
      <c r="R10">
        <f>L10-N10</f>
        <v/>
      </c>
      <c r="S10">
        <f>L10-O10</f>
        <v/>
      </c>
    </row>
    <row r="11">
      <c r="J11" t="n">
        <v>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Q11">
        <f>L11-M11</f>
        <v/>
      </c>
      <c r="R11">
        <f>L11-N11</f>
        <v/>
      </c>
      <c r="S11">
        <f>L11-O11</f>
        <v/>
      </c>
    </row>
    <row r="12">
      <c r="J12" t="n">
        <v>10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Q12">
        <f>L12-M12</f>
        <v/>
      </c>
      <c r="R12">
        <f>L12-N12</f>
        <v/>
      </c>
      <c r="S12">
        <f>L12-O12</f>
        <v/>
      </c>
    </row>
    <row r="13">
      <c r="J13" t="n">
        <v>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Q13">
        <f>L13-M13</f>
        <v/>
      </c>
      <c r="R13">
        <f>L13-N13</f>
        <v/>
      </c>
      <c r="S13">
        <f>L13-O13</f>
        <v/>
      </c>
    </row>
    <row r="14">
      <c r="J14" t="n">
        <v>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Q14">
        <f>L14-M14</f>
        <v/>
      </c>
      <c r="R14">
        <f>L14-N14</f>
        <v/>
      </c>
      <c r="S14">
        <f>L14-O14</f>
        <v/>
      </c>
    </row>
    <row r="15"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Q15">
        <f>L15-M15</f>
        <v/>
      </c>
      <c r="R15">
        <f>L15-N15</f>
        <v/>
      </c>
      <c r="S15">
        <f>L15-O15</f>
        <v/>
      </c>
    </row>
    <row r="16"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Q16">
        <f>L16-M16</f>
        <v/>
      </c>
      <c r="R16">
        <f>L16-N16</f>
        <v/>
      </c>
      <c r="S16">
        <f>L16-O16</f>
        <v/>
      </c>
    </row>
    <row r="17">
      <c r="J17" t="n">
        <v>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Q17">
        <f>L17-M17</f>
        <v/>
      </c>
      <c r="R17">
        <f>L17-N17</f>
        <v/>
      </c>
      <c r="S17">
        <f>L17-O17</f>
        <v/>
      </c>
    </row>
    <row r="18">
      <c r="J18" t="n">
        <v>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Q18">
        <f>L18-M18</f>
        <v/>
      </c>
      <c r="R18">
        <f>L18-N18</f>
        <v/>
      </c>
      <c r="S18">
        <f>L18-O18</f>
        <v/>
      </c>
    </row>
    <row r="19">
      <c r="J19" t="n">
        <v>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Q19">
        <f>L19-M19</f>
        <v/>
      </c>
      <c r="R19">
        <f>L19-N19</f>
        <v/>
      </c>
      <c r="S19">
        <f>L19-O19</f>
        <v/>
      </c>
    </row>
    <row r="20">
      <c r="J20" t="n">
        <v>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Q20">
        <f>L20-M20</f>
        <v/>
      </c>
      <c r="R20">
        <f>L20-N20</f>
        <v/>
      </c>
      <c r="S20">
        <f>L20-O20</f>
        <v/>
      </c>
    </row>
    <row r="21">
      <c r="J21" t="n">
        <v>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Q21">
        <f>L21-M21</f>
        <v/>
      </c>
      <c r="R21">
        <f>L21-N21</f>
        <v/>
      </c>
      <c r="S21">
        <f>L21-O21</f>
        <v/>
      </c>
    </row>
    <row r="22">
      <c r="J22" t="n">
        <v>20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Q22">
        <f>L22-M22</f>
        <v/>
      </c>
      <c r="R22">
        <f>L22-N22</f>
        <v/>
      </c>
      <c r="S22">
        <f>L22-O22</f>
        <v/>
      </c>
    </row>
    <row r="23">
      <c r="J23" t="n">
        <v>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Q23">
        <f>L23-M23</f>
        <v/>
      </c>
      <c r="R23">
        <f>L23-N23</f>
        <v/>
      </c>
      <c r="S23">
        <f>L23-O23</f>
        <v/>
      </c>
    </row>
    <row r="24"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Q24">
        <f>L24-M24</f>
        <v/>
      </c>
      <c r="R24">
        <f>L24-N24</f>
        <v/>
      </c>
      <c r="S24">
        <f>L24-O24</f>
        <v/>
      </c>
    </row>
    <row r="25">
      <c r="J25" t="n">
        <v>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Q25">
        <f>L25-M25</f>
        <v/>
      </c>
      <c r="R25">
        <f>L25-N25</f>
        <v/>
      </c>
      <c r="S25">
        <f>L25-O25</f>
        <v/>
      </c>
    </row>
    <row r="26">
      <c r="J26" t="n">
        <v>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Q26">
        <f>L26-M26</f>
        <v/>
      </c>
      <c r="R26">
        <f>L26-N26</f>
        <v/>
      </c>
      <c r="S26">
        <f>L26-O26</f>
        <v/>
      </c>
    </row>
    <row r="27">
      <c r="J27" t="n">
        <v>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Q27">
        <f>L27-M27</f>
        <v/>
      </c>
      <c r="R27">
        <f>L27-N27</f>
        <v/>
      </c>
      <c r="S27">
        <f>L27-O27</f>
        <v/>
      </c>
    </row>
    <row r="28">
      <c r="J28" t="n">
        <v>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Q28">
        <f>L28-M28</f>
        <v/>
      </c>
      <c r="R28">
        <f>L28-N28</f>
        <v/>
      </c>
      <c r="S28">
        <f>L28-O28</f>
        <v/>
      </c>
    </row>
    <row r="29">
      <c r="J29" t="n">
        <v>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Q29">
        <f>L29-M29</f>
        <v/>
      </c>
      <c r="R29">
        <f>L29-N29</f>
        <v/>
      </c>
      <c r="S29">
        <f>L29-O29</f>
        <v/>
      </c>
    </row>
    <row r="30">
      <c r="J30" t="n">
        <v>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Q30">
        <f>L30-M30</f>
        <v/>
      </c>
      <c r="R30">
        <f>L30-N30</f>
        <v/>
      </c>
      <c r="S30">
        <f>L30-O30</f>
        <v/>
      </c>
    </row>
    <row r="31">
      <c r="J31" t="n">
        <v>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Q31">
        <f>L31-M31</f>
        <v/>
      </c>
      <c r="R31">
        <f>L31-N31</f>
        <v/>
      </c>
      <c r="S31">
        <f>L31-O31</f>
        <v/>
      </c>
    </row>
    <row r="32">
      <c r="J32" t="n">
        <v>30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Q32">
        <f>L32-M32</f>
        <v/>
      </c>
      <c r="R32">
        <f>L32-N32</f>
        <v/>
      </c>
      <c r="S32">
        <f>L32-O32</f>
        <v/>
      </c>
    </row>
    <row r="33">
      <c r="J33" t="n">
        <v>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Q33">
        <f>L33-M33</f>
        <v/>
      </c>
      <c r="R33">
        <f>L33-N33</f>
        <v/>
      </c>
      <c r="S33">
        <f>L33-O33</f>
        <v/>
      </c>
    </row>
    <row r="34">
      <c r="J34" t="n">
        <v>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Q34">
        <f>L34-M34</f>
        <v/>
      </c>
      <c r="R34">
        <f>L34-N34</f>
        <v/>
      </c>
      <c r="S34">
        <f>L34-O34</f>
        <v/>
      </c>
    </row>
    <row r="35">
      <c r="J35" t="n">
        <v>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Q35">
        <f>L35-M35</f>
        <v/>
      </c>
      <c r="R35">
        <f>L35-N35</f>
        <v/>
      </c>
      <c r="S35">
        <f>L35-O35</f>
        <v/>
      </c>
    </row>
    <row r="36">
      <c r="J36" t="n">
        <v>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Q36">
        <f>L36-M36</f>
        <v/>
      </c>
      <c r="R36">
        <f>L36-N36</f>
        <v/>
      </c>
      <c r="S36">
        <f>L36-O36</f>
        <v/>
      </c>
    </row>
    <row r="37">
      <c r="J37" t="n">
        <v>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Q37">
        <f>L37-M37</f>
        <v/>
      </c>
      <c r="R37">
        <f>L37-N37</f>
        <v/>
      </c>
      <c r="S37">
        <f>L37-O37</f>
        <v/>
      </c>
    </row>
    <row r="38">
      <c r="J38" t="n">
        <v>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Q38">
        <f>L38-M38</f>
        <v/>
      </c>
      <c r="R38">
        <f>L38-N38</f>
        <v/>
      </c>
      <c r="S38">
        <f>L38-O38</f>
        <v/>
      </c>
    </row>
    <row r="39">
      <c r="J39" t="n">
        <v>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Q39">
        <f>L39-M39</f>
        <v/>
      </c>
      <c r="R39">
        <f>L39-N39</f>
        <v/>
      </c>
      <c r="S39">
        <f>L39-O39</f>
        <v/>
      </c>
    </row>
    <row r="40">
      <c r="J40" t="n">
        <v>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Q40">
        <f>L40-M40</f>
        <v/>
      </c>
      <c r="R40">
        <f>L40-N40</f>
        <v/>
      </c>
      <c r="S40">
        <f>L40-O40</f>
        <v/>
      </c>
    </row>
    <row r="41">
      <c r="J41" t="n">
        <v>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Q41">
        <f>L41-M41</f>
        <v/>
      </c>
      <c r="R41">
        <f>L41-N41</f>
        <v/>
      </c>
      <c r="S41">
        <f>L41-O41</f>
        <v/>
      </c>
    </row>
    <row r="42">
      <c r="J42" t="n">
        <v>40</v>
      </c>
      <c r="K42" t="n">
        <v>1</v>
      </c>
      <c r="L42">
        <f>IF(J82&lt;$B$3, 0, $B$2*K82*(1-($B$4/($B$4-$B$5))*EXP(-(J82-$J$42-$B$3)/$B$4)+($B$5/($B$4-$B$5))*EXP(-(J82-$J$42-$B$3)/$B$5)))</f>
        <v/>
      </c>
      <c r="M42">
        <f>$D$2*M41-$D$3*M40 + $D$4*K2+$D$5*K3</f>
        <v/>
      </c>
      <c r="N42" t="n">
        <v>0</v>
      </c>
      <c r="O42" t="n">
        <v>0</v>
      </c>
      <c r="Q42">
        <f>L42-M42</f>
        <v/>
      </c>
      <c r="R42">
        <f>L42-N42</f>
        <v/>
      </c>
      <c r="S42">
        <f>L42-O42</f>
        <v/>
      </c>
    </row>
    <row r="43">
      <c r="J43" t="n">
        <v>41</v>
      </c>
      <c r="K43" t="n">
        <v>1</v>
      </c>
      <c r="L43" t="n">
        <v>0</v>
      </c>
      <c r="M43">
        <f>$D$2*M42-$D$3*M41 + $D$4*K3+$D$5*K4</f>
        <v/>
      </c>
      <c r="N43" t="n">
        <v>0</v>
      </c>
      <c r="O43" t="n">
        <v>0</v>
      </c>
      <c r="Q43">
        <f>L43-M43</f>
        <v/>
      </c>
      <c r="R43">
        <f>L43-N43</f>
        <v/>
      </c>
      <c r="S43">
        <f>L43-O43</f>
        <v/>
      </c>
    </row>
    <row r="44">
      <c r="J44" t="n">
        <v>42</v>
      </c>
      <c r="K44" t="n">
        <v>1</v>
      </c>
      <c r="L44" t="n">
        <v>0</v>
      </c>
      <c r="M44">
        <f>$D$2*M43-$D$3*M42 + $D$4*K4+$D$5*K5</f>
        <v/>
      </c>
      <c r="N44" t="n">
        <v>0</v>
      </c>
      <c r="O44" t="n">
        <v>0</v>
      </c>
      <c r="Q44">
        <f>L44-M44</f>
        <v/>
      </c>
      <c r="R44">
        <f>L44-N44</f>
        <v/>
      </c>
      <c r="S44">
        <f>L44-O44</f>
        <v/>
      </c>
    </row>
    <row r="45">
      <c r="J45" t="n">
        <v>43</v>
      </c>
      <c r="K45" t="n">
        <v>1</v>
      </c>
      <c r="L45" t="n">
        <v>0</v>
      </c>
      <c r="M45">
        <f>$D$2*M44-$D$3*M43 + $D$4*K5+$D$5*K6</f>
        <v/>
      </c>
      <c r="N45" t="n">
        <v>0</v>
      </c>
      <c r="O45" t="n">
        <v>0</v>
      </c>
      <c r="Q45">
        <f>L45-M45</f>
        <v/>
      </c>
      <c r="R45">
        <f>L45-N45</f>
        <v/>
      </c>
      <c r="S45">
        <f>L45-O45</f>
        <v/>
      </c>
    </row>
    <row r="46">
      <c r="J46" t="n">
        <v>44</v>
      </c>
      <c r="K46" t="n">
        <v>1</v>
      </c>
      <c r="L46" t="n">
        <v>0</v>
      </c>
      <c r="M46">
        <f>$D$2*M45-$D$3*M44 + $D$4*K6+$D$5*K7</f>
        <v/>
      </c>
      <c r="N46" t="n">
        <v>0</v>
      </c>
      <c r="O46" t="n">
        <v>0</v>
      </c>
      <c r="Q46">
        <f>L46-M46</f>
        <v/>
      </c>
      <c r="R46">
        <f>L46-N46</f>
        <v/>
      </c>
      <c r="S46">
        <f>L46-O46</f>
        <v/>
      </c>
    </row>
    <row r="47">
      <c r="J47" t="n">
        <v>45</v>
      </c>
      <c r="K47" t="n">
        <v>1</v>
      </c>
      <c r="L47" t="n">
        <v>0</v>
      </c>
      <c r="M47">
        <f>$D$2*M46-$D$3*M45 + $D$4*K7+$D$5*K8</f>
        <v/>
      </c>
      <c r="N47" t="n">
        <v>0</v>
      </c>
      <c r="O47" t="n">
        <v>0</v>
      </c>
      <c r="Q47">
        <f>L47-M47</f>
        <v/>
      </c>
      <c r="R47">
        <f>L47-N47</f>
        <v/>
      </c>
      <c r="S47">
        <f>L47-O47</f>
        <v/>
      </c>
    </row>
    <row r="48">
      <c r="J48" t="n">
        <v>46</v>
      </c>
      <c r="K48" t="n">
        <v>1</v>
      </c>
      <c r="L48" t="n">
        <v>0</v>
      </c>
      <c r="M48">
        <f>$D$2*M47-$D$3*M46 + $D$4*K8+$D$5*K9</f>
        <v/>
      </c>
      <c r="N48" t="n">
        <v>0</v>
      </c>
      <c r="O48" t="n">
        <v>0</v>
      </c>
      <c r="Q48">
        <f>L48-M48</f>
        <v/>
      </c>
      <c r="R48">
        <f>L48-N48</f>
        <v/>
      </c>
      <c r="S48">
        <f>L48-O48</f>
        <v/>
      </c>
    </row>
    <row r="49">
      <c r="J49" t="n">
        <v>47</v>
      </c>
      <c r="K49" t="n">
        <v>1</v>
      </c>
      <c r="L49" t="n">
        <v>0</v>
      </c>
      <c r="M49">
        <f>$D$2*M48-$D$3*M47 + $D$4*K9+$D$5*K10</f>
        <v/>
      </c>
      <c r="N49" t="n">
        <v>0</v>
      </c>
      <c r="O49" t="n">
        <v>0</v>
      </c>
      <c r="Q49">
        <f>L49-M49</f>
        <v/>
      </c>
      <c r="R49">
        <f>L49-N49</f>
        <v/>
      </c>
      <c r="S49">
        <f>L49-O49</f>
        <v/>
      </c>
    </row>
    <row r="50">
      <c r="J50" t="n">
        <v>48</v>
      </c>
      <c r="K50" t="n">
        <v>1</v>
      </c>
      <c r="L50" t="n">
        <v>0</v>
      </c>
      <c r="M50">
        <f>$D$2*M49-$D$3*M48 + $D$4*K10+$D$5*K11</f>
        <v/>
      </c>
      <c r="N50" t="n">
        <v>0</v>
      </c>
      <c r="O50" t="n">
        <v>0</v>
      </c>
      <c r="Q50">
        <f>L50-M50</f>
        <v/>
      </c>
      <c r="R50">
        <f>L50-N50</f>
        <v/>
      </c>
      <c r="S50">
        <f>L50-O50</f>
        <v/>
      </c>
    </row>
    <row r="51">
      <c r="J51" t="n">
        <v>49</v>
      </c>
      <c r="K51" t="n">
        <v>1</v>
      </c>
      <c r="L51" t="n">
        <v>0</v>
      </c>
      <c r="M51">
        <f>$D$2*M50-$D$3*M49 + $D$4*K11+$D$5*K12</f>
        <v/>
      </c>
      <c r="N51" t="n">
        <v>0</v>
      </c>
      <c r="O51" t="n">
        <v>0</v>
      </c>
      <c r="Q51">
        <f>L51-M51</f>
        <v/>
      </c>
      <c r="R51">
        <f>L51-N51</f>
        <v/>
      </c>
      <c r="S51">
        <f>L51-O51</f>
        <v/>
      </c>
    </row>
    <row r="52">
      <c r="J52" t="n">
        <v>50</v>
      </c>
      <c r="K52" t="n">
        <v>1</v>
      </c>
      <c r="L52" t="n">
        <v>0</v>
      </c>
      <c r="M52">
        <f>$D$2*M51-$D$3*M50 + $D$4*K12+$D$5*K13</f>
        <v/>
      </c>
      <c r="N52">
        <f>$E$2 *N42 - $E$3 *N32 + $E$4 *K2 + $E$5 * 0</f>
        <v/>
      </c>
      <c r="O52" t="n">
        <v>0</v>
      </c>
      <c r="Q52">
        <f>L52-M52</f>
        <v/>
      </c>
      <c r="R52">
        <f>L52-N52</f>
        <v/>
      </c>
      <c r="S52">
        <f>L52-O52</f>
        <v/>
      </c>
    </row>
    <row r="53">
      <c r="J53" t="n">
        <v>51</v>
      </c>
      <c r="K53" t="n">
        <v>1</v>
      </c>
      <c r="L53" t="n">
        <v>0</v>
      </c>
      <c r="M53">
        <f>$D$2*M52-$D$3*M51 + $D$4*K13+$D$5*K14</f>
        <v/>
      </c>
      <c r="N53">
        <f>$E$2 *N43 - $E$3 *N33 + $E$4 *K3 + $E$5 * 0</f>
        <v/>
      </c>
      <c r="O53" t="n">
        <v>0</v>
      </c>
      <c r="Q53">
        <f>L53-M53</f>
        <v/>
      </c>
      <c r="R53">
        <f>L53-N53</f>
        <v/>
      </c>
      <c r="S53">
        <f>L53-O53</f>
        <v/>
      </c>
    </row>
    <row r="54">
      <c r="J54" t="n">
        <v>52</v>
      </c>
      <c r="K54" t="n">
        <v>1</v>
      </c>
      <c r="L54" t="n">
        <v>0</v>
      </c>
      <c r="M54">
        <f>$D$2*M53-$D$3*M52 + $D$4*K14+$D$5*K15</f>
        <v/>
      </c>
      <c r="N54">
        <f>$E$2 *N44 - $E$3 *N34 + $E$4 *K4 + $E$5 * 0</f>
        <v/>
      </c>
      <c r="O54" t="n">
        <v>0</v>
      </c>
      <c r="Q54">
        <f>L54-M54</f>
        <v/>
      </c>
      <c r="R54">
        <f>L54-N54</f>
        <v/>
      </c>
      <c r="S54">
        <f>L54-O54</f>
        <v/>
      </c>
    </row>
    <row r="55">
      <c r="J55" t="n">
        <v>53</v>
      </c>
      <c r="K55" t="n">
        <v>1</v>
      </c>
      <c r="L55" t="n">
        <v>0</v>
      </c>
      <c r="M55">
        <f>$D$2*M54-$D$3*M53 + $D$4*K15+$D$5*K16</f>
        <v/>
      </c>
      <c r="N55">
        <f>$E$2 *N45 - $E$3 *N35 + $E$4 *K5 + $E$5 * 0</f>
        <v/>
      </c>
      <c r="O55" t="n">
        <v>0</v>
      </c>
      <c r="Q55">
        <f>L55-M55</f>
        <v/>
      </c>
      <c r="R55">
        <f>L55-N55</f>
        <v/>
      </c>
      <c r="S55">
        <f>L55-O55</f>
        <v/>
      </c>
    </row>
    <row r="56">
      <c r="J56" t="n">
        <v>54</v>
      </c>
      <c r="K56" t="n">
        <v>1</v>
      </c>
      <c r="L56" t="n">
        <v>0</v>
      </c>
      <c r="M56">
        <f>$D$2*M55-$D$3*M54 + $D$4*K16+$D$5*K17</f>
        <v/>
      </c>
      <c r="N56">
        <f>$E$2 *N46 - $E$3 *N36 + $E$4 *K6 + $E$5 * 0</f>
        <v/>
      </c>
      <c r="O56" t="n">
        <v>0</v>
      </c>
      <c r="Q56">
        <f>L56-M56</f>
        <v/>
      </c>
      <c r="R56">
        <f>L56-N56</f>
        <v/>
      </c>
      <c r="S56">
        <f>L56-O56</f>
        <v/>
      </c>
    </row>
    <row r="57">
      <c r="J57" t="n">
        <v>55</v>
      </c>
      <c r="K57" t="n">
        <v>1</v>
      </c>
      <c r="L57" t="n">
        <v>0</v>
      </c>
      <c r="M57">
        <f>$D$2*M56-$D$3*M55 + $D$4*K17+$D$5*K18</f>
        <v/>
      </c>
      <c r="N57">
        <f>$E$2 *N47 - $E$3 *N37 + $E$4 *K7 + $E$5 * 0</f>
        <v/>
      </c>
      <c r="O57" t="n">
        <v>0</v>
      </c>
      <c r="Q57">
        <f>L57-M57</f>
        <v/>
      </c>
      <c r="R57">
        <f>L57-N57</f>
        <v/>
      </c>
      <c r="S57">
        <f>L57-O57</f>
        <v/>
      </c>
    </row>
    <row r="58">
      <c r="J58" t="n">
        <v>56</v>
      </c>
      <c r="K58" t="n">
        <v>1</v>
      </c>
      <c r="L58" t="n">
        <v>0</v>
      </c>
      <c r="M58">
        <f>$D$2*M57-$D$3*M56 + $D$4*K18+$D$5*K19</f>
        <v/>
      </c>
      <c r="N58">
        <f>$E$2 *N48 - $E$3 *N38 + $E$4 *K8 + $E$5 * 0</f>
        <v/>
      </c>
      <c r="O58" t="n">
        <v>0</v>
      </c>
      <c r="Q58">
        <f>L58-M58</f>
        <v/>
      </c>
      <c r="R58">
        <f>L58-N58</f>
        <v/>
      </c>
      <c r="S58">
        <f>L58-O58</f>
        <v/>
      </c>
    </row>
    <row r="59">
      <c r="J59" t="n">
        <v>57</v>
      </c>
      <c r="K59" t="n">
        <v>1</v>
      </c>
      <c r="L59" t="n">
        <v>0</v>
      </c>
      <c r="M59">
        <f>$D$2*M58-$D$3*M57 + $D$4*K19+$D$5*K20</f>
        <v/>
      </c>
      <c r="N59">
        <f>$E$2 *N49 - $E$3 *N39 + $E$4 *K9 + $E$5 * 0</f>
        <v/>
      </c>
      <c r="O59" t="n">
        <v>0</v>
      </c>
      <c r="Q59">
        <f>L59-M59</f>
        <v/>
      </c>
      <c r="R59">
        <f>L59-N59</f>
        <v/>
      </c>
      <c r="S59">
        <f>L59-O59</f>
        <v/>
      </c>
    </row>
    <row r="60">
      <c r="J60" t="n">
        <v>58</v>
      </c>
      <c r="K60" t="n">
        <v>1</v>
      </c>
      <c r="L60" t="n">
        <v>0</v>
      </c>
      <c r="M60">
        <f>$D$2*M59-$D$3*M58 + $D$4*K20+$D$5*K21</f>
        <v/>
      </c>
      <c r="N60">
        <f>$E$2 *N50 - $E$3 *N40 + $E$4 *K10 + $E$5 * 0</f>
        <v/>
      </c>
      <c r="O60" t="n">
        <v>0</v>
      </c>
      <c r="Q60">
        <f>L60-M60</f>
        <v/>
      </c>
      <c r="R60">
        <f>L60-N60</f>
        <v/>
      </c>
      <c r="S60">
        <f>L60-O60</f>
        <v/>
      </c>
    </row>
    <row r="61">
      <c r="J61" t="n">
        <v>59</v>
      </c>
      <c r="K61" t="n">
        <v>1</v>
      </c>
      <c r="L61" t="n">
        <v>0</v>
      </c>
      <c r="M61">
        <f>$D$2*M60-$D$3*M59 + $D$4*K21+$D$5*K22</f>
        <v/>
      </c>
      <c r="N61">
        <f>$E$2 *N51 - $E$3 *N41 + $E$4 *K11 + $E$5 * 0</f>
        <v/>
      </c>
      <c r="O61" t="n">
        <v>0</v>
      </c>
      <c r="Q61">
        <f>L61-M61</f>
        <v/>
      </c>
      <c r="R61">
        <f>L61-N61</f>
        <v/>
      </c>
      <c r="S61">
        <f>L61-O61</f>
        <v/>
      </c>
    </row>
    <row r="62">
      <c r="J62" t="n">
        <v>60</v>
      </c>
      <c r="K62" t="n">
        <v>1</v>
      </c>
      <c r="L62" t="n">
        <v>0</v>
      </c>
      <c r="M62">
        <f>$D$2*M61-$D$3*M60 + $D$4*K22+$D$5*K23</f>
        <v/>
      </c>
      <c r="N62">
        <f>$E$2 *N52 - $E$3 *N42 + $E$4 *K22 + $E$5 * K12</f>
        <v/>
      </c>
      <c r="O62">
        <f>$F$2 * O42 - $F$3 * O22 + $F$4 * K2 + $F$5 * 0</f>
        <v/>
      </c>
      <c r="Q62">
        <f>L62-M62</f>
        <v/>
      </c>
      <c r="R62">
        <f>L62-N62</f>
        <v/>
      </c>
      <c r="S62">
        <f>L62-O62</f>
        <v/>
      </c>
    </row>
    <row r="63">
      <c r="J63" t="n">
        <v>61</v>
      </c>
      <c r="K63" t="n">
        <v>1</v>
      </c>
      <c r="L63" t="n">
        <v>0</v>
      </c>
      <c r="M63">
        <f>$D$2*M62-$D$3*M61 + $D$4*K23+$D$5*K24</f>
        <v/>
      </c>
      <c r="N63">
        <f>$E$2 *N53 - $E$3 *N43 + $E$4 *K12 + $E$5 * K2</f>
        <v/>
      </c>
      <c r="O63">
        <f>$F$2 * O43 - $F$3 * O23 + $F$4 * K3 + $F$5 * 0</f>
        <v/>
      </c>
      <c r="Q63">
        <f>L63-M63</f>
        <v/>
      </c>
      <c r="R63">
        <f>L63-N63</f>
        <v/>
      </c>
      <c r="S63">
        <f>L63-O63</f>
        <v/>
      </c>
    </row>
    <row r="64">
      <c r="J64" t="n">
        <v>62</v>
      </c>
      <c r="K64" t="n">
        <v>1</v>
      </c>
      <c r="L64" t="n">
        <v>0</v>
      </c>
      <c r="M64">
        <f>$D$2*M63-$D$3*M62 + $D$4*K24+$D$5*K25</f>
        <v/>
      </c>
      <c r="N64">
        <f>$E$2 *N54 - $E$3 *N44 + $E$4 *K13 + $E$5 * K3</f>
        <v/>
      </c>
      <c r="O64">
        <f>$F$2 * O44 - $F$3 * O24 + $F$4 * K4 + $F$5 * 0</f>
        <v/>
      </c>
      <c r="Q64">
        <f>L64-M64</f>
        <v/>
      </c>
      <c r="R64">
        <f>L64-N64</f>
        <v/>
      </c>
      <c r="S64">
        <f>L64-O64</f>
        <v/>
      </c>
    </row>
    <row r="65">
      <c r="J65" t="n">
        <v>63</v>
      </c>
      <c r="K65" t="n">
        <v>1</v>
      </c>
      <c r="L65" t="n">
        <v>0</v>
      </c>
      <c r="M65">
        <f>$D$2*M64-$D$3*M63 + $D$4*K25+$D$5*K26</f>
        <v/>
      </c>
      <c r="N65">
        <f>$E$2 *N55 - $E$3 *N45 + $E$4 *K14 + $E$5 * K4</f>
        <v/>
      </c>
      <c r="O65">
        <f>$F$2 * O45 - $F$3 * O25 + $F$4 * K5 + $F$5 * 0</f>
        <v/>
      </c>
      <c r="Q65">
        <f>L65-M65</f>
        <v/>
      </c>
      <c r="R65">
        <f>L65-N65</f>
        <v/>
      </c>
      <c r="S65">
        <f>L65-O65</f>
        <v/>
      </c>
    </row>
    <row r="66">
      <c r="J66" t="n">
        <v>64</v>
      </c>
      <c r="K66" t="n">
        <v>1</v>
      </c>
      <c r="L66" t="n">
        <v>0</v>
      </c>
      <c r="M66">
        <f>$D$2*M65-$D$3*M64 + $D$4*K26+$D$5*K27</f>
        <v/>
      </c>
      <c r="N66">
        <f>$E$2 *N56 - $E$3 *N46 + $E$4 *K15 + $E$5 * K5</f>
        <v/>
      </c>
      <c r="O66">
        <f>$F$2 * O46 - $F$3 * O26 + $F$4 * K6 + $F$5 * 0</f>
        <v/>
      </c>
      <c r="Q66">
        <f>L66-M66</f>
        <v/>
      </c>
      <c r="R66">
        <f>L66-N66</f>
        <v/>
      </c>
      <c r="S66">
        <f>L66-O66</f>
        <v/>
      </c>
    </row>
    <row r="67">
      <c r="J67" t="n">
        <v>65</v>
      </c>
      <c r="K67" t="n">
        <v>1</v>
      </c>
      <c r="L67" t="n">
        <v>0</v>
      </c>
      <c r="M67">
        <f>$D$2*M66-$D$3*M65 + $D$4*K27+$D$5*K28</f>
        <v/>
      </c>
      <c r="N67">
        <f>$E$2 *N57 - $E$3 *N47 + $E$4 *K16 + $E$5 * K6</f>
        <v/>
      </c>
      <c r="O67">
        <f>$F$2 * O47 - $F$3 * O27 + $F$4 * K7 + $F$5 * 0</f>
        <v/>
      </c>
      <c r="Q67">
        <f>L67-M67</f>
        <v/>
      </c>
      <c r="R67">
        <f>L67-N67</f>
        <v/>
      </c>
      <c r="S67">
        <f>L67-O67</f>
        <v/>
      </c>
    </row>
    <row r="68">
      <c r="J68" t="n">
        <v>66</v>
      </c>
      <c r="K68" t="n">
        <v>1</v>
      </c>
      <c r="L68" t="n">
        <v>0</v>
      </c>
      <c r="M68">
        <f>$D$2*M67-$D$3*M66 + $D$4*K28+$D$5*K29</f>
        <v/>
      </c>
      <c r="N68">
        <f>$E$2 *N58 - $E$3 *N48 + $E$4 *K17 + $E$5 * K7</f>
        <v/>
      </c>
      <c r="O68">
        <f>$F$2 * O48 - $F$3 * O28 + $F$4 * K8 + $F$5 * 0</f>
        <v/>
      </c>
      <c r="Q68">
        <f>L68-M68</f>
        <v/>
      </c>
      <c r="R68">
        <f>L68-N68</f>
        <v/>
      </c>
      <c r="S68">
        <f>L68-O68</f>
        <v/>
      </c>
    </row>
    <row r="69">
      <c r="J69" t="n">
        <v>67</v>
      </c>
      <c r="K69" t="n">
        <v>1</v>
      </c>
      <c r="L69" t="n">
        <v>0</v>
      </c>
      <c r="M69">
        <f>$D$2*M68-$D$3*M67 + $D$4*K29+$D$5*K30</f>
        <v/>
      </c>
      <c r="N69">
        <f>$E$2 *N59 - $E$3 *N49 + $E$4 *K18 + $E$5 * K8</f>
        <v/>
      </c>
      <c r="O69">
        <f>$F$2 * O49 - $F$3 * O29 + $F$4 * K9 + $F$5 * 0</f>
        <v/>
      </c>
      <c r="Q69">
        <f>L69-M69</f>
        <v/>
      </c>
      <c r="R69">
        <f>L69-N69</f>
        <v/>
      </c>
      <c r="S69">
        <f>L69-O69</f>
        <v/>
      </c>
    </row>
    <row r="70">
      <c r="J70" t="n">
        <v>68</v>
      </c>
      <c r="K70" t="n">
        <v>1</v>
      </c>
      <c r="L70" t="n">
        <v>0</v>
      </c>
      <c r="M70">
        <f>$D$2*M69-$D$3*M68 + $D$4*K30+$D$5*K31</f>
        <v/>
      </c>
      <c r="N70">
        <f>$E$2 *N60 - $E$3 *N50 + $E$4 *K19 + $E$5 * K9</f>
        <v/>
      </c>
      <c r="O70">
        <f>$F$2 * O50 - $F$3 * O30 + $F$4 * K10 + $F$5 * 0</f>
        <v/>
      </c>
      <c r="Q70">
        <f>L70-M70</f>
        <v/>
      </c>
      <c r="R70">
        <f>L70-N70</f>
        <v/>
      </c>
      <c r="S70">
        <f>L70-O70</f>
        <v/>
      </c>
    </row>
    <row r="71">
      <c r="J71" t="n">
        <v>69</v>
      </c>
      <c r="K71" t="n">
        <v>1</v>
      </c>
      <c r="L71" t="n">
        <v>0</v>
      </c>
      <c r="M71">
        <f>$D$2*M70-$D$3*M69 + $D$4*K31+$D$5*K32</f>
        <v/>
      </c>
      <c r="N71">
        <f>$E$2 *N61 - $E$3 *N51 + $E$4 *K20 + $E$5 * K10</f>
        <v/>
      </c>
      <c r="O71">
        <f>$F$2 * O51 - $F$3 * O31 + $F$4 * K11 + $F$5 * 0</f>
        <v/>
      </c>
      <c r="Q71">
        <f>L71-M71</f>
        <v/>
      </c>
      <c r="R71">
        <f>L71-N71</f>
        <v/>
      </c>
      <c r="S71">
        <f>L71-O71</f>
        <v/>
      </c>
    </row>
    <row r="72">
      <c r="J72" t="n">
        <v>70</v>
      </c>
      <c r="K72" t="n">
        <v>1</v>
      </c>
      <c r="L72" t="n">
        <v>0</v>
      </c>
      <c r="M72">
        <f>$D$2*M71-$D$3*M70 + $D$4*K32+$D$5*K33</f>
        <v/>
      </c>
      <c r="N72">
        <f>$E$2 *N62 - $E$3 *N52 + $E$4 *K21 + $E$5 * K11</f>
        <v/>
      </c>
      <c r="O72">
        <f>$F$2 * O52 - $F$3 * O32 + $F$4 * K12 + $F$5 * 0</f>
        <v/>
      </c>
      <c r="Q72">
        <f>L72-M72</f>
        <v/>
      </c>
      <c r="R72">
        <f>L72-N72</f>
        <v/>
      </c>
      <c r="S72">
        <f>L72-O72</f>
        <v/>
      </c>
    </row>
    <row r="73">
      <c r="J73" t="n">
        <v>71</v>
      </c>
      <c r="K73" t="n">
        <v>1</v>
      </c>
      <c r="L73" t="n">
        <v>0</v>
      </c>
      <c r="M73">
        <f>$D$2*M72-$D$3*M71 + $D$4*K33+$D$5*K34</f>
        <v/>
      </c>
      <c r="N73">
        <f>$E$2 *N63 - $E$3 *N53 + $E$4 *K22 + $E$5 * K12</f>
        <v/>
      </c>
      <c r="O73">
        <f>$F$2 * O53 - $F$3 * O33 + $F$4 * K13 + $F$5 * 0</f>
        <v/>
      </c>
      <c r="Q73">
        <f>L73-M73</f>
        <v/>
      </c>
      <c r="R73">
        <f>L73-N73</f>
        <v/>
      </c>
      <c r="S73">
        <f>L73-O73</f>
        <v/>
      </c>
    </row>
    <row r="74">
      <c r="J74" t="n">
        <v>72</v>
      </c>
      <c r="K74" t="n">
        <v>1</v>
      </c>
      <c r="L74" t="n">
        <v>0</v>
      </c>
      <c r="M74">
        <f>$D$2*M73-$D$3*M72 + $D$4*K34+$D$5*K35</f>
        <v/>
      </c>
      <c r="N74">
        <f>$E$2 *N64 - $E$3 *N54 + $E$4 *K23 + $E$5 * K13</f>
        <v/>
      </c>
      <c r="O74">
        <f>$F$2 * O54 - $F$3 * O34 + $F$4 * K14 + $F$5 * 0</f>
        <v/>
      </c>
      <c r="Q74">
        <f>L74-M74</f>
        <v/>
      </c>
      <c r="R74">
        <f>L74-N74</f>
        <v/>
      </c>
      <c r="S74">
        <f>L74-O74</f>
        <v/>
      </c>
    </row>
    <row r="75">
      <c r="J75" t="n">
        <v>73</v>
      </c>
      <c r="K75" t="n">
        <v>1</v>
      </c>
      <c r="L75" t="n">
        <v>0</v>
      </c>
      <c r="M75">
        <f>$D$2*M74-$D$3*M73 + $D$4*K35+$D$5*K36</f>
        <v/>
      </c>
      <c r="N75">
        <f>$E$2 *N65 - $E$3 *N55 + $E$4 *K24 + $E$5 * K14</f>
        <v/>
      </c>
      <c r="O75">
        <f>$F$2 * O55 - $F$3 * O35 + $F$4 * K15 + $F$5 * 0</f>
        <v/>
      </c>
      <c r="Q75">
        <f>L75-M75</f>
        <v/>
      </c>
      <c r="R75">
        <f>L75-N75</f>
        <v/>
      </c>
      <c r="S75">
        <f>L75-O75</f>
        <v/>
      </c>
    </row>
    <row r="76">
      <c r="J76" t="n">
        <v>74</v>
      </c>
      <c r="K76" t="n">
        <v>1</v>
      </c>
      <c r="L76" t="n">
        <v>0</v>
      </c>
      <c r="M76">
        <f>$D$2*M75-$D$3*M74 + $D$4*K36+$D$5*K37</f>
        <v/>
      </c>
      <c r="N76">
        <f>$E$2 *N66 - $E$3 *N56 + $E$4 *K25 + $E$5 * K15</f>
        <v/>
      </c>
      <c r="O76">
        <f>$F$2 * O56 - $F$3 * O36 + $F$4 * K16 + $F$5 * 0</f>
        <v/>
      </c>
      <c r="Q76">
        <f>L76-M76</f>
        <v/>
      </c>
      <c r="R76">
        <f>L76-N76</f>
        <v/>
      </c>
      <c r="S76">
        <f>L76-O76</f>
        <v/>
      </c>
    </row>
    <row r="77">
      <c r="J77" t="n">
        <v>75</v>
      </c>
      <c r="K77" t="n">
        <v>1</v>
      </c>
      <c r="L77" t="n">
        <v>0</v>
      </c>
      <c r="M77">
        <f>$D$2*M76-$D$3*M75 + $D$4*K37+$D$5*K38</f>
        <v/>
      </c>
      <c r="N77">
        <f>$E$2 *N67 - $E$3 *N57 + $E$4 *K26 + $E$5 * K16</f>
        <v/>
      </c>
      <c r="O77">
        <f>$F$2 * O57 - $F$3 * O37 + $F$4 * K17 + $F$5 * 0</f>
        <v/>
      </c>
      <c r="Q77">
        <f>L77-M77</f>
        <v/>
      </c>
      <c r="R77">
        <f>L77-N77</f>
        <v/>
      </c>
      <c r="S77">
        <f>L77-O77</f>
        <v/>
      </c>
    </row>
    <row r="78">
      <c r="J78" t="n">
        <v>76</v>
      </c>
      <c r="K78" t="n">
        <v>1</v>
      </c>
      <c r="L78" t="n">
        <v>0</v>
      </c>
      <c r="M78">
        <f>$D$2*M77-$D$3*M76 + $D$4*K38+$D$5*K39</f>
        <v/>
      </c>
      <c r="N78">
        <f>$E$2 *N68 - $E$3 *N58 + $E$4 *K27 + $E$5 * K17</f>
        <v/>
      </c>
      <c r="O78">
        <f>$F$2 * O58 - $F$3 * O38 + $F$4 * K18 + $F$5 * 0</f>
        <v/>
      </c>
      <c r="Q78">
        <f>L78-M78</f>
        <v/>
      </c>
      <c r="R78">
        <f>L78-N78</f>
        <v/>
      </c>
      <c r="S78">
        <f>L78-O78</f>
        <v/>
      </c>
    </row>
    <row r="79">
      <c r="J79" t="n">
        <v>77</v>
      </c>
      <c r="K79" t="n">
        <v>1</v>
      </c>
      <c r="L79" t="n">
        <v>0</v>
      </c>
      <c r="M79">
        <f>$D$2*M78-$D$3*M77 + $D$4*K39+$D$5*K40</f>
        <v/>
      </c>
      <c r="N79">
        <f>$E$2 *N69 - $E$3 *N59 + $E$4 *K28 + $E$5 * K18</f>
        <v/>
      </c>
      <c r="O79">
        <f>$F$2 * O59 - $F$3 * O39 + $F$4 * K19 + $F$5 * 0</f>
        <v/>
      </c>
      <c r="Q79">
        <f>L79-M79</f>
        <v/>
      </c>
      <c r="R79">
        <f>L79-N79</f>
        <v/>
      </c>
      <c r="S79">
        <f>L79-O79</f>
        <v/>
      </c>
    </row>
    <row r="80">
      <c r="J80" t="n">
        <v>78</v>
      </c>
      <c r="K80" t="n">
        <v>1</v>
      </c>
      <c r="L80" t="n">
        <v>0</v>
      </c>
      <c r="M80">
        <f>$D$2*M79-$D$3*M78 + $D$4*K40+$D$5*K41</f>
        <v/>
      </c>
      <c r="N80">
        <f>$E$2 *N70 - $E$3 *N60 + $E$4 *K29 + $E$5 * K19</f>
        <v/>
      </c>
      <c r="O80">
        <f>$F$2 * O60 - $F$3 * O40 + $F$4 * K20 + $F$5 * 0</f>
        <v/>
      </c>
      <c r="Q80">
        <f>L80-M80</f>
        <v/>
      </c>
      <c r="R80">
        <f>L80-N80</f>
        <v/>
      </c>
      <c r="S80">
        <f>L80-O80</f>
        <v/>
      </c>
    </row>
    <row r="81">
      <c r="J81" t="n">
        <v>79</v>
      </c>
      <c r="K81" t="n">
        <v>1</v>
      </c>
      <c r="L81" t="n">
        <v>0</v>
      </c>
      <c r="M81" t="n">
        <v>0</v>
      </c>
      <c r="N81">
        <f>$E$2 *N71 - $E$3 *N61 + $E$4 *K30 + $E$5 * K20</f>
        <v/>
      </c>
      <c r="O81">
        <f>$F$2 * O61 - $F$3 * O41 + $F$4 * K21 + $F$5 * 0</f>
        <v/>
      </c>
      <c r="Q81">
        <f>L81-M81</f>
        <v/>
      </c>
      <c r="R81">
        <f>L81-N81</f>
        <v/>
      </c>
      <c r="S81">
        <f>L81-O81</f>
        <v/>
      </c>
    </row>
    <row r="82">
      <c r="J82" t="n">
        <v>80</v>
      </c>
      <c r="K82" t="n">
        <v>1</v>
      </c>
      <c r="L82">
        <f>$B$2*K82*(1-EXP(-(J82-$J$42-$B$3)/$B$4)*$B$4/($B$4-$B$5)+EXP(-(J82-$J$42-$B$3)/$B$5)*$B$5/($B$4-$B$5))</f>
        <v/>
      </c>
      <c r="M82">
        <f>$D$2*M81-$D$3*M80 + $D$4*K2+$D$5*K3</f>
        <v/>
      </c>
      <c r="N82">
        <f>$E$2 *N72 - $E$3 *N62 + $E$4 *K31 + $E$5 * K21</f>
        <v/>
      </c>
      <c r="O82">
        <f>$F$2 * O62 - $F$3 * O42 + $F$4 * K22 + $F$5 * K2</f>
        <v/>
      </c>
      <c r="Q82">
        <f>L82-M82</f>
        <v/>
      </c>
      <c r="R82">
        <f>L82-N82</f>
        <v/>
      </c>
      <c r="S82">
        <f>L82-O82</f>
        <v/>
      </c>
    </row>
    <row r="83">
      <c r="J83" t="n">
        <v>81</v>
      </c>
      <c r="K83" t="n">
        <v>1</v>
      </c>
      <c r="L83">
        <f>$B$2*K83*(1-EXP(-(J83-$J$42-$B$3)/$B$4)*$B$4/($B$4-$B$5)+EXP(-(J83-$J$42-$B$3)/$B$5)*$B$5/($B$4-$B$5))</f>
        <v/>
      </c>
      <c r="M83">
        <f>$D$2*M82-$D$3*M81 + $D$4*K43+$D$5*K44</f>
        <v/>
      </c>
      <c r="N83">
        <f>$E$2 *N73 - $E$3 *N63 + $E$4 *K32 + $E$5 * K22</f>
        <v/>
      </c>
      <c r="O83">
        <f>$F$2 * O63 - $F$3 * O43 + $F$4 * K23 + $F$5 * K3</f>
        <v/>
      </c>
      <c r="Q83">
        <f>L83-M83</f>
        <v/>
      </c>
      <c r="R83">
        <f>L83-N83</f>
        <v/>
      </c>
      <c r="S83">
        <f>L83-O83</f>
        <v/>
      </c>
    </row>
    <row r="84">
      <c r="J84" t="n">
        <v>82</v>
      </c>
      <c r="K84" t="n">
        <v>1</v>
      </c>
      <c r="L84">
        <f>$B$2*K84*(1-EXP(-(J84-$J$42-$B$3)/$B$4)*$B$4/($B$4-$B$5)+EXP(-(J84-$J$42-$B$3)/$B$5)*$B$5/($B$4-$B$5))</f>
        <v/>
      </c>
      <c r="M84">
        <f>$D$2*M83-$D$3*M82 + $D$4*K44+$D$5*K45</f>
        <v/>
      </c>
      <c r="N84">
        <f>$E$2 *N74 - $E$3 *N64 + $E$4 *K33 + $E$5 * K23</f>
        <v/>
      </c>
      <c r="O84">
        <f>$F$2 * O64 - $F$3 * O44 + $F$4 * K24 + $F$5 * K4</f>
        <v/>
      </c>
      <c r="Q84">
        <f>L84-M84</f>
        <v/>
      </c>
      <c r="R84">
        <f>L84-N84</f>
        <v/>
      </c>
      <c r="S84">
        <f>L84-O84</f>
        <v/>
      </c>
    </row>
    <row r="85">
      <c r="J85" t="n">
        <v>83</v>
      </c>
      <c r="K85" t="n">
        <v>1</v>
      </c>
      <c r="L85">
        <f>$B$2*K85*(1-EXP(-(J85-$J$42-$B$3)/$B$4)*$B$4/($B$4-$B$5)+EXP(-(J85-$J$42-$B$3)/$B$5)*$B$5/($B$4-$B$5))</f>
        <v/>
      </c>
      <c r="M85">
        <f>$D$2*M84-$D$3*M83 + $D$4*K45+$D$5*K46</f>
        <v/>
      </c>
      <c r="N85">
        <f>$E$2 *N75 - $E$3 *N65 + $E$4 *K34 + $E$5 * K24</f>
        <v/>
      </c>
      <c r="O85">
        <f>$F$2 * O65 - $F$3 * O45 + $F$4 * K25 + $F$5 * K5</f>
        <v/>
      </c>
      <c r="Q85">
        <f>L85-M85</f>
        <v/>
      </c>
      <c r="R85">
        <f>L85-N85</f>
        <v/>
      </c>
      <c r="S85">
        <f>L85-O85</f>
        <v/>
      </c>
    </row>
    <row r="86">
      <c r="J86" t="n">
        <v>84</v>
      </c>
      <c r="K86" t="n">
        <v>1</v>
      </c>
      <c r="L86">
        <f>$B$2*K86*(1-EXP(-(J86-$J$42-$B$3)/$B$4)*$B$4/($B$4-$B$5)+EXP(-(J86-$J$42-$B$3)/$B$5)*$B$5/($B$4-$B$5))</f>
        <v/>
      </c>
      <c r="M86">
        <f>$D$2*M85-$D$3*M84 + $D$4*K46+$D$5*K47</f>
        <v/>
      </c>
      <c r="N86">
        <f>$E$2 *N76 - $E$3 *N66 + $E$4 *K35 + $E$5 * K25</f>
        <v/>
      </c>
      <c r="O86">
        <f>$F$2 * O66 - $F$3 * O46 + $F$4 * K26 + $F$5 * K6</f>
        <v/>
      </c>
      <c r="Q86">
        <f>L86-M86</f>
        <v/>
      </c>
      <c r="R86">
        <f>L86-N86</f>
        <v/>
      </c>
      <c r="S86">
        <f>L86-O86</f>
        <v/>
      </c>
    </row>
    <row r="87">
      <c r="J87" t="n">
        <v>85</v>
      </c>
      <c r="K87" t="n">
        <v>1</v>
      </c>
      <c r="L87">
        <f>$B$2*K87*(1-EXP(-(J87-$J$42-$B$3)/$B$4)*$B$4/($B$4-$B$5)+EXP(-(J87-$J$42-$B$3)/$B$5)*$B$5/($B$4-$B$5))</f>
        <v/>
      </c>
      <c r="M87">
        <f>$D$2*M86-$D$3*M85 + $D$4*K47+$D$5*K48</f>
        <v/>
      </c>
      <c r="N87">
        <f>$E$2 *N77 - $E$3 *N67 + $E$4 *K36 + $E$5 * K26</f>
        <v/>
      </c>
      <c r="O87">
        <f>$F$2 * O67 - $F$3 * O47 + $F$4 * K27 + $F$5 * K7</f>
        <v/>
      </c>
      <c r="Q87">
        <f>L87-M87</f>
        <v/>
      </c>
      <c r="R87">
        <f>L87-N87</f>
        <v/>
      </c>
      <c r="S87">
        <f>L87-O87</f>
        <v/>
      </c>
    </row>
    <row r="88">
      <c r="J88" t="n">
        <v>86</v>
      </c>
      <c r="K88" t="n">
        <v>1</v>
      </c>
      <c r="L88">
        <f>$B$2*K88*(1-EXP(-(J88-$J$42-$B$3)/$B$4)*$B$4/($B$4-$B$5)+EXP(-(J88-$J$42-$B$3)/$B$5)*$B$5/($B$4-$B$5))</f>
        <v/>
      </c>
      <c r="M88">
        <f>$D$2*M87-$D$3*M86 + $D$4*K48+$D$5*K49</f>
        <v/>
      </c>
      <c r="N88">
        <f>$E$2 *N78 - $E$3 *N68 + $E$4 *K37 + $E$5 * K27</f>
        <v/>
      </c>
      <c r="O88">
        <f>$F$2 * O68 - $F$3 * O48 + $F$4 * K28 + $F$5 * K8</f>
        <v/>
      </c>
      <c r="Q88">
        <f>L88-M88</f>
        <v/>
      </c>
      <c r="R88">
        <f>L88-N88</f>
        <v/>
      </c>
      <c r="S88">
        <f>L88-O88</f>
        <v/>
      </c>
    </row>
    <row r="89">
      <c r="J89" t="n">
        <v>87</v>
      </c>
      <c r="K89" t="n">
        <v>1</v>
      </c>
      <c r="L89">
        <f>$B$2*K89*(1-EXP(-(J89-$J$42-$B$3)/$B$4)*$B$4/($B$4-$B$5)+EXP(-(J89-$J$42-$B$3)/$B$5)*$B$5/($B$4-$B$5))</f>
        <v/>
      </c>
      <c r="M89">
        <f>$D$2*M88-$D$3*M87 + $D$4*K49+$D$5*K50</f>
        <v/>
      </c>
      <c r="N89">
        <f>$E$2 *N79 - $E$3 *N69 + $E$4 *K38 + $E$5 * K28</f>
        <v/>
      </c>
      <c r="O89">
        <f>$F$2 * O69 - $F$3 * O49 + $F$4 * K29 + $F$5 * K9</f>
        <v/>
      </c>
      <c r="Q89">
        <f>L89-M89</f>
        <v/>
      </c>
      <c r="R89">
        <f>L89-N89</f>
        <v/>
      </c>
      <c r="S89">
        <f>L89-O89</f>
        <v/>
      </c>
    </row>
    <row r="90">
      <c r="J90" t="n">
        <v>88</v>
      </c>
      <c r="K90" t="n">
        <v>1</v>
      </c>
      <c r="L90">
        <f>$B$2*K90*(1-EXP(-(J90-$J$42-$B$3)/$B$4)*$B$4/($B$4-$B$5)+EXP(-(J90-$J$42-$B$3)/$B$5)*$B$5/($B$4-$B$5))</f>
        <v/>
      </c>
      <c r="M90">
        <f>$D$2*M89-$D$3*M88 + $D$4*K50+$D$5*K51</f>
        <v/>
      </c>
      <c r="N90">
        <f>$E$2 *N80 - $E$3 *N70 + $E$4 *K39 + $E$5 * K29</f>
        <v/>
      </c>
      <c r="O90">
        <f>$F$2 * O70 - $F$3 * O50 + $F$4 * K30 + $F$5 * K10</f>
        <v/>
      </c>
      <c r="Q90">
        <f>L90-M90</f>
        <v/>
      </c>
      <c r="R90">
        <f>L90-N90</f>
        <v/>
      </c>
      <c r="S90">
        <f>L90-O90</f>
        <v/>
      </c>
    </row>
    <row r="91">
      <c r="J91" t="n">
        <v>89</v>
      </c>
      <c r="K91" t="n">
        <v>1</v>
      </c>
      <c r="L91">
        <f>$B$2*K91*(1-EXP(-(J91-$J$42-$B$3)/$B$4)*$B$4/($B$4-$B$5)+EXP(-(J91-$J$42-$B$3)/$B$5)*$B$5/($B$4-$B$5))</f>
        <v/>
      </c>
      <c r="M91">
        <f>$D$2*M90-$D$3*M89 + $D$4*K51+$D$5*K52</f>
        <v/>
      </c>
      <c r="N91">
        <f>$E$2 *N81 - $E$3 *N71 + $E$4 *K40 + $E$5 * K30</f>
        <v/>
      </c>
      <c r="O91">
        <f>$F$2 * O71 - $F$3 * O51 + $F$4 * K31 + $F$5 * K11</f>
        <v/>
      </c>
      <c r="Q91">
        <f>L91-M91</f>
        <v/>
      </c>
      <c r="R91">
        <f>L91-N91</f>
        <v/>
      </c>
      <c r="S91">
        <f>L91-O91</f>
        <v/>
      </c>
    </row>
    <row r="92">
      <c r="J92" t="n">
        <v>90</v>
      </c>
      <c r="K92" t="n">
        <v>1</v>
      </c>
      <c r="L92">
        <f>$B$2*K92*(1-EXP(-(J92-$J$42-$B$3)/$B$4)*$B$4/($B$4-$B$5)+EXP(-(J92-$J$42-$B$3)/$B$5)*$B$5/($B$4-$B$5))</f>
        <v/>
      </c>
      <c r="M92">
        <f>$D$2*M91-$D$3*M90 + $D$4*K52+$D$5*K53</f>
        <v/>
      </c>
      <c r="N92">
        <f>$E$2 *N82 - $E$3 *N72 + $E$4 *K41 + $E$5 * K31</f>
        <v/>
      </c>
      <c r="O92">
        <f>$F$2 * O72 - $F$3 * O52 + $F$4 * K32 + $F$5 * K12</f>
        <v/>
      </c>
      <c r="Q92">
        <f>L92-M92</f>
        <v/>
      </c>
      <c r="R92">
        <f>L92-N92</f>
        <v/>
      </c>
      <c r="S92">
        <f>L92-O92</f>
        <v/>
      </c>
    </row>
    <row r="93">
      <c r="J93" t="n">
        <v>91</v>
      </c>
      <c r="K93" t="n">
        <v>1</v>
      </c>
      <c r="L93">
        <f>$B$2*K93*(1-EXP(-(J93-$J$42-$B$3)/$B$4)*$B$4/($B$4-$B$5)+EXP(-(J93-$J$42-$B$3)/$B$5)*$B$5/($B$4-$B$5))</f>
        <v/>
      </c>
      <c r="M93">
        <f>$D$2*M92-$D$3*M91 + $D$4*K53+$D$5*K54</f>
        <v/>
      </c>
      <c r="N93">
        <f>$E$2 *N83 - $E$3 *N73 + $E$4 *K42 + $E$5 * K32</f>
        <v/>
      </c>
      <c r="O93">
        <f>$F$2 * O73 - $F$3 * O53 + $F$4 * K33 + $F$5 * K13</f>
        <v/>
      </c>
      <c r="Q93">
        <f>L93-M93</f>
        <v/>
      </c>
      <c r="R93">
        <f>L93-N93</f>
        <v/>
      </c>
      <c r="S93">
        <f>L93-O93</f>
        <v/>
      </c>
    </row>
    <row r="94">
      <c r="J94" t="n">
        <v>92</v>
      </c>
      <c r="K94" t="n">
        <v>1</v>
      </c>
      <c r="L94">
        <f>$B$2*K94*(1-EXP(-(J94-$J$42-$B$3)/$B$4)*$B$4/($B$4-$B$5)+EXP(-(J94-$J$42-$B$3)/$B$5)*$B$5/($B$4-$B$5))</f>
        <v/>
      </c>
      <c r="M94">
        <f>$D$2*M93-$D$3*M92 + $D$4*K54+$D$5*K55</f>
        <v/>
      </c>
      <c r="N94">
        <f>$E$2 *N84 - $E$3 *N74 + $E$4 *K43 + $E$5 * K33</f>
        <v/>
      </c>
      <c r="O94">
        <f>$F$2 * O74 - $F$3 * O54 + $F$4 * K34 + $F$5 * K14</f>
        <v/>
      </c>
      <c r="Q94">
        <f>L94-M94</f>
        <v/>
      </c>
      <c r="R94">
        <f>L94-N94</f>
        <v/>
      </c>
      <c r="S94">
        <f>L94-O94</f>
        <v/>
      </c>
    </row>
    <row r="95">
      <c r="J95" t="n">
        <v>93</v>
      </c>
      <c r="K95" t="n">
        <v>1</v>
      </c>
      <c r="L95">
        <f>$B$2*K95*(1-EXP(-(J95-$J$42-$B$3)/$B$4)*$B$4/($B$4-$B$5)+EXP(-(J95-$J$42-$B$3)/$B$5)*$B$5/($B$4-$B$5))</f>
        <v/>
      </c>
      <c r="M95">
        <f>$D$2*M94-$D$3*M93 + $D$4*K55+$D$5*K56</f>
        <v/>
      </c>
      <c r="N95">
        <f>$E$2 *N85 - $E$3 *N75 + $E$4 *K44 + $E$5 * K34</f>
        <v/>
      </c>
      <c r="O95">
        <f>$F$2 * O75 - $F$3 * O55 + $F$4 * K35 + $F$5 * K15</f>
        <v/>
      </c>
      <c r="Q95">
        <f>L95-M95</f>
        <v/>
      </c>
      <c r="R95">
        <f>L95-N95</f>
        <v/>
      </c>
      <c r="S95">
        <f>L95-O95</f>
        <v/>
      </c>
    </row>
    <row r="96">
      <c r="J96" t="n">
        <v>94</v>
      </c>
      <c r="K96" t="n">
        <v>1</v>
      </c>
      <c r="L96">
        <f>$B$2*K96*(1-EXP(-(J96-$J$42-$B$3)/$B$4)*$B$4/($B$4-$B$5)+EXP(-(J96-$J$42-$B$3)/$B$5)*$B$5/($B$4-$B$5))</f>
        <v/>
      </c>
      <c r="M96">
        <f>$D$2*M95-$D$3*M94 + $D$4*K56+$D$5*K57</f>
        <v/>
      </c>
      <c r="N96">
        <f>$E$2 *N86 - $E$3 *N76 + $E$4 *K45 + $E$5 * K35</f>
        <v/>
      </c>
      <c r="O96">
        <f>$F$2 * O76 - $F$3 * O56 + $F$4 * K36 + $F$5 * K16</f>
        <v/>
      </c>
      <c r="Q96">
        <f>L96-M96</f>
        <v/>
      </c>
      <c r="R96">
        <f>L96-N96</f>
        <v/>
      </c>
      <c r="S96">
        <f>L96-O96</f>
        <v/>
      </c>
    </row>
    <row r="97">
      <c r="J97" t="n">
        <v>95</v>
      </c>
      <c r="K97" t="n">
        <v>1</v>
      </c>
      <c r="L97">
        <f>$B$2*K97*(1-EXP(-(J97-$J$42-$B$3)/$B$4)*$B$4/($B$4-$B$5)+EXP(-(J97-$J$42-$B$3)/$B$5)*$B$5/($B$4-$B$5))</f>
        <v/>
      </c>
      <c r="M97">
        <f>$D$2*M96-$D$3*M95 + $D$4*K57+$D$5*K58</f>
        <v/>
      </c>
      <c r="N97">
        <f>$E$2 *N87 - $E$3 *N77 + $E$4 *K46 + $E$5 * K36</f>
        <v/>
      </c>
      <c r="O97">
        <f>$F$2 * O77 - $F$3 * O57 + $F$4 * K37 + $F$5 * K17</f>
        <v/>
      </c>
      <c r="Q97">
        <f>L97-M97</f>
        <v/>
      </c>
      <c r="R97">
        <f>L97-N97</f>
        <v/>
      </c>
      <c r="S97">
        <f>L97-O97</f>
        <v/>
      </c>
    </row>
    <row r="98">
      <c r="J98" t="n">
        <v>96</v>
      </c>
      <c r="K98" t="n">
        <v>1</v>
      </c>
      <c r="L98">
        <f>$B$2*K98*(1-EXP(-(J98-$J$42-$B$3)/$B$4)*$B$4/($B$4-$B$5)+EXP(-(J98-$J$42-$B$3)/$B$5)*$B$5/($B$4-$B$5))</f>
        <v/>
      </c>
      <c r="M98">
        <f>$D$2*M97-$D$3*M96 + $D$4*K58+$D$5*K59</f>
        <v/>
      </c>
      <c r="N98">
        <f>$E$2 *N88 - $E$3 *N78 + $E$4 *K47 + $E$5 * K37</f>
        <v/>
      </c>
      <c r="O98">
        <f>$F$2 * O78 - $F$3 * O58 + $F$4 * K38 + $F$5 * K18</f>
        <v/>
      </c>
      <c r="Q98">
        <f>L98-M98</f>
        <v/>
      </c>
      <c r="R98">
        <f>L98-N98</f>
        <v/>
      </c>
      <c r="S98">
        <f>L98-O98</f>
        <v/>
      </c>
    </row>
    <row r="99">
      <c r="J99" t="n">
        <v>97</v>
      </c>
      <c r="K99" t="n">
        <v>1</v>
      </c>
      <c r="L99">
        <f>$B$2*K99*(1-EXP(-(J99-$J$42-$B$3)/$B$4)*$B$4/($B$4-$B$5)+EXP(-(J99-$J$42-$B$3)/$B$5)*$B$5/($B$4-$B$5))</f>
        <v/>
      </c>
      <c r="M99">
        <f>$D$2*M98-$D$3*M97 + $D$4*K59+$D$5*K60</f>
        <v/>
      </c>
      <c r="N99">
        <f>$E$2 *N89 - $E$3 *N79 + $E$4 *K48 + $E$5 * K38</f>
        <v/>
      </c>
      <c r="O99">
        <f>$F$2 * O79 - $F$3 * O59 + $F$4 * K39 + $F$5 * K19</f>
        <v/>
      </c>
      <c r="Q99">
        <f>L99-M99</f>
        <v/>
      </c>
      <c r="R99">
        <f>L99-N99</f>
        <v/>
      </c>
      <c r="S99">
        <f>L99-O99</f>
        <v/>
      </c>
    </row>
    <row r="100">
      <c r="J100" t="n">
        <v>98</v>
      </c>
      <c r="K100" t="n">
        <v>1</v>
      </c>
      <c r="L100">
        <f>$B$2*K100*(1-EXP(-(J100-$J$42-$B$3)/$B$4)*$B$4/($B$4-$B$5)+EXP(-(J100-$J$42-$B$3)/$B$5)*$B$5/($B$4-$B$5))</f>
        <v/>
      </c>
      <c r="M100">
        <f>$D$2*M99-$D$3*M98 + $D$4*K60+$D$5*K61</f>
        <v/>
      </c>
      <c r="N100">
        <f>$E$2 *N90 - $E$3 *N80 + $E$4 *K49 + $E$5 * K39</f>
        <v/>
      </c>
      <c r="O100">
        <f>$F$2 * O80 - $F$3 * O60 + $F$4 * K40 + $F$5 * K20</f>
        <v/>
      </c>
      <c r="Q100">
        <f>L100-M100</f>
        <v/>
      </c>
      <c r="R100">
        <f>L100-N100</f>
        <v/>
      </c>
      <c r="S100">
        <f>L100-O100</f>
        <v/>
      </c>
    </row>
    <row r="101">
      <c r="J101" t="n">
        <v>99</v>
      </c>
      <c r="K101" t="n">
        <v>1</v>
      </c>
      <c r="L101">
        <f>$B$2*K101*(1-EXP(-(J101-$J$42-$B$3)/$B$4)*$B$4/($B$4-$B$5)+EXP(-(J101-$J$42-$B$3)/$B$5)*$B$5/($B$4-$B$5))</f>
        <v/>
      </c>
      <c r="M101">
        <f>$D$2*M100-$D$3*M99 + $D$4*K61+$D$5*K62</f>
        <v/>
      </c>
      <c r="N101">
        <f>$E$2 *N91 - $E$3 *N81 + $E$4 *K50 + $E$5 * K40</f>
        <v/>
      </c>
      <c r="O101">
        <f>$F$2 * O81 - $F$3 * O61 + $F$4 * K41 + $F$5 * K21</f>
        <v/>
      </c>
      <c r="Q101">
        <f>L101-M101</f>
        <v/>
      </c>
      <c r="R101">
        <f>L101-N101</f>
        <v/>
      </c>
      <c r="S101">
        <f>L101-O101</f>
        <v/>
      </c>
    </row>
    <row r="102">
      <c r="J102" t="n">
        <v>100</v>
      </c>
      <c r="K102" t="n">
        <v>1</v>
      </c>
      <c r="L102">
        <f>$B$2*K102*(1-EXP(-(J102-$J$42-$B$3)/$B$4)*$B$4/($B$4-$B$5)+EXP(-(J102-$J$42-$B$3)/$B$5)*$B$5/($B$4-$B$5))</f>
        <v/>
      </c>
      <c r="M102">
        <f>$D$2*M101-$D$3*M100 + $D$4*K62+$D$5*K63</f>
        <v/>
      </c>
      <c r="N102">
        <f>$E$2 *N92 - $E$3 *N82 + $E$4 *K51 + $E$5 * K41</f>
        <v/>
      </c>
      <c r="O102">
        <f>$F$2 * O82 - $F$3 * O62 + $F$4 * K42 + $F$5 * K22</f>
        <v/>
      </c>
      <c r="Q102">
        <f>L102-M102</f>
        <v/>
      </c>
      <c r="R102">
        <f>L102-N102</f>
        <v/>
      </c>
      <c r="S102">
        <f>L102-O102</f>
        <v/>
      </c>
    </row>
    <row r="103">
      <c r="J103" t="n">
        <v>101</v>
      </c>
      <c r="K103" t="n">
        <v>1</v>
      </c>
      <c r="L103">
        <f>$B$2*K103*(1-EXP(-(J103-$J$42-$B$3)/$B$4)*$B$4/($B$4-$B$5)+EXP(-(J103-$J$42-$B$3)/$B$5)*$B$5/($B$4-$B$5))</f>
        <v/>
      </c>
      <c r="M103">
        <f>$D$2*M102-$D$3*M101 + $D$4*K63+$D$5*K64</f>
        <v/>
      </c>
      <c r="N103">
        <f>$E$2 *N93 - $E$3 *N83 + $E$4 *K52 + $E$5 * K42</f>
        <v/>
      </c>
      <c r="O103">
        <f>$F$2 * O83 - $F$3 * O63 + $F$4 * K43 + $F$5 * K23</f>
        <v/>
      </c>
      <c r="Q103">
        <f>L103-M103</f>
        <v/>
      </c>
      <c r="R103">
        <f>L103-N103</f>
        <v/>
      </c>
      <c r="S103">
        <f>L103-O103</f>
        <v/>
      </c>
    </row>
    <row r="104">
      <c r="J104" t="n">
        <v>102</v>
      </c>
      <c r="K104" t="n">
        <v>1</v>
      </c>
      <c r="L104">
        <f>$B$2*K104*(1-EXP(-(J104-$J$42-$B$3)/$B$4)*$B$4/($B$4-$B$5)+EXP(-(J104-$J$42-$B$3)/$B$5)*$B$5/($B$4-$B$5))</f>
        <v/>
      </c>
      <c r="M104">
        <f>$D$2*M103-$D$3*M102 + $D$4*K64+$D$5*K65</f>
        <v/>
      </c>
      <c r="N104">
        <f>$E$2 *N94 - $E$3 *N84 + $E$4 *K53 + $E$5 * K43</f>
        <v/>
      </c>
      <c r="O104">
        <f>$F$2 * O84 - $F$3 * O64 + $F$4 * K44 + $F$5 * K24</f>
        <v/>
      </c>
      <c r="Q104">
        <f>L104-M104</f>
        <v/>
      </c>
      <c r="R104">
        <f>L104-N104</f>
        <v/>
      </c>
      <c r="S104">
        <f>L104-O104</f>
        <v/>
      </c>
    </row>
    <row r="105">
      <c r="J105" t="n">
        <v>103</v>
      </c>
      <c r="K105" t="n">
        <v>1</v>
      </c>
      <c r="L105">
        <f>$B$2*K105*(1-EXP(-(J105-$J$42-$B$3)/$B$4)*$B$4/($B$4-$B$5)+EXP(-(J105-$J$42-$B$3)/$B$5)*$B$5/($B$4-$B$5))</f>
        <v/>
      </c>
      <c r="M105">
        <f>$D$2*M104-$D$3*M103 + $D$4*K65+$D$5*K66</f>
        <v/>
      </c>
      <c r="N105">
        <f>$E$2 *N95 - $E$3 *N85 + $E$4 *K54 + $E$5 * K44</f>
        <v/>
      </c>
      <c r="O105">
        <f>$F$2 * O85 - $F$3 * O65 + $F$4 * K45 + $F$5 * K25</f>
        <v/>
      </c>
      <c r="Q105">
        <f>L105-M105</f>
        <v/>
      </c>
      <c r="R105">
        <f>L105-N105</f>
        <v/>
      </c>
      <c r="S105">
        <f>L105-O105</f>
        <v/>
      </c>
    </row>
    <row r="106">
      <c r="J106" t="n">
        <v>104</v>
      </c>
      <c r="K106" t="n">
        <v>1</v>
      </c>
      <c r="L106">
        <f>$B$2*K106*(1-EXP(-(J106-$J$42-$B$3)/$B$4)*$B$4/($B$4-$B$5)+EXP(-(J106-$J$42-$B$3)/$B$5)*$B$5/($B$4-$B$5))</f>
        <v/>
      </c>
      <c r="M106">
        <f>$D$2*M105-$D$3*M104 + $D$4*K66+$D$5*K67</f>
        <v/>
      </c>
      <c r="N106">
        <f>$E$2 *N96 - $E$3 *N86 + $E$4 *K55 + $E$5 * K45</f>
        <v/>
      </c>
      <c r="O106">
        <f>$F$2 * O86 - $F$3 * O66 + $F$4 * K46 + $F$5 * K26</f>
        <v/>
      </c>
      <c r="Q106">
        <f>L106-M106</f>
        <v/>
      </c>
      <c r="R106">
        <f>L106-N106</f>
        <v/>
      </c>
      <c r="S106">
        <f>L106-O106</f>
        <v/>
      </c>
    </row>
    <row r="107">
      <c r="J107" t="n">
        <v>105</v>
      </c>
      <c r="K107" t="n">
        <v>1</v>
      </c>
      <c r="L107">
        <f>$B$2*K107*(1-EXP(-(J107-$J$42-$B$3)/$B$4)*$B$4/($B$4-$B$5)+EXP(-(J107-$J$42-$B$3)/$B$5)*$B$5/($B$4-$B$5))</f>
        <v/>
      </c>
      <c r="M107">
        <f>$D$2*M106-$D$3*M105 + $D$4*K67+$D$5*K68</f>
        <v/>
      </c>
      <c r="N107">
        <f>$E$2 *N97 - $E$3 *N87 + $E$4 *K56 + $E$5 * K46</f>
        <v/>
      </c>
      <c r="O107">
        <f>$F$2 * O87 - $F$3 * O67 + $F$4 * K47 + $F$5 * K27</f>
        <v/>
      </c>
      <c r="Q107">
        <f>L107-M107</f>
        <v/>
      </c>
      <c r="R107">
        <f>L107-N107</f>
        <v/>
      </c>
      <c r="S107">
        <f>L107-O107</f>
        <v/>
      </c>
    </row>
    <row r="108">
      <c r="J108" t="n">
        <v>106</v>
      </c>
      <c r="K108" t="n">
        <v>1</v>
      </c>
      <c r="L108">
        <f>$B$2*K108*(1-EXP(-(J108-$J$42-$B$3)/$B$4)*$B$4/($B$4-$B$5)+EXP(-(J108-$J$42-$B$3)/$B$5)*$B$5/($B$4-$B$5))</f>
        <v/>
      </c>
      <c r="M108">
        <f>$D$2*M107-$D$3*M106 + $D$4*K68+$D$5*K69</f>
        <v/>
      </c>
      <c r="N108">
        <f>$E$2 *N98 - $E$3 *N88 + $E$4 *K57 + $E$5 * K47</f>
        <v/>
      </c>
      <c r="O108">
        <f>$F$2 * O88 - $F$3 * O68 + $F$4 * K48 + $F$5 * K28</f>
        <v/>
      </c>
      <c r="Q108">
        <f>L108-M108</f>
        <v/>
      </c>
      <c r="R108">
        <f>L108-N108</f>
        <v/>
      </c>
      <c r="S108">
        <f>L108-O108</f>
        <v/>
      </c>
    </row>
    <row r="109">
      <c r="J109" t="n">
        <v>107</v>
      </c>
      <c r="K109" t="n">
        <v>1</v>
      </c>
      <c r="L109">
        <f>$B$2*K109*(1-EXP(-(J109-$J$42-$B$3)/$B$4)*$B$4/($B$4-$B$5)+EXP(-(J109-$J$42-$B$3)/$B$5)*$B$5/($B$4-$B$5))</f>
        <v/>
      </c>
      <c r="M109">
        <f>$D$2*M108-$D$3*M107 + $D$4*K69+$D$5*K70</f>
        <v/>
      </c>
      <c r="N109">
        <f>$E$2 *N99 - $E$3 *N89 + $E$4 *K58 + $E$5 * K48</f>
        <v/>
      </c>
      <c r="O109">
        <f>$F$2 * O89 - $F$3 * O69 + $F$4 * K49 + $F$5 * K29</f>
        <v/>
      </c>
      <c r="Q109">
        <f>L109-M109</f>
        <v/>
      </c>
      <c r="R109">
        <f>L109-N109</f>
        <v/>
      </c>
      <c r="S109">
        <f>L109-O109</f>
        <v/>
      </c>
    </row>
    <row r="110">
      <c r="J110" t="n">
        <v>108</v>
      </c>
      <c r="K110" t="n">
        <v>1</v>
      </c>
      <c r="L110">
        <f>$B$2*K110*(1-EXP(-(J110-$J$42-$B$3)/$B$4)*$B$4/($B$4-$B$5)+EXP(-(J110-$J$42-$B$3)/$B$5)*$B$5/($B$4-$B$5))</f>
        <v/>
      </c>
      <c r="M110">
        <f>$D$2*M109-$D$3*M108 + $D$4*K70+$D$5*K71</f>
        <v/>
      </c>
      <c r="N110">
        <f>$E$2 *N100 - $E$3 *N90 + $E$4 *K59 + $E$5 * K49</f>
        <v/>
      </c>
      <c r="O110">
        <f>$F$2 * O90 - $F$3 * O70 + $F$4 * K50 + $F$5 * K30</f>
        <v/>
      </c>
      <c r="Q110">
        <f>L110-M110</f>
        <v/>
      </c>
      <c r="R110">
        <f>L110-N110</f>
        <v/>
      </c>
      <c r="S110">
        <f>L110-O110</f>
        <v/>
      </c>
    </row>
    <row r="111">
      <c r="J111" t="n">
        <v>109</v>
      </c>
      <c r="K111" t="n">
        <v>1</v>
      </c>
      <c r="L111">
        <f>$B$2*K111*(1-EXP(-(J111-$J$42-$B$3)/$B$4)*$B$4/($B$4-$B$5)+EXP(-(J111-$J$42-$B$3)/$B$5)*$B$5/($B$4-$B$5))</f>
        <v/>
      </c>
      <c r="M111">
        <f>$D$2*M110-$D$3*M109 + $D$4*K71+$D$5*K72</f>
        <v/>
      </c>
      <c r="N111">
        <f>$E$2 *N101 - $E$3 *N91 + $E$4 *K60 + $E$5 * K50</f>
        <v/>
      </c>
      <c r="O111">
        <f>$F$2 * O91 - $F$3 * O71 + $F$4 * K51 + $F$5 * K31</f>
        <v/>
      </c>
      <c r="Q111">
        <f>L111-M111</f>
        <v/>
      </c>
      <c r="R111">
        <f>L111-N111</f>
        <v/>
      </c>
      <c r="S111">
        <f>L111-O111</f>
        <v/>
      </c>
    </row>
    <row r="112">
      <c r="J112" t="n">
        <v>110</v>
      </c>
      <c r="K112" t="n">
        <v>1</v>
      </c>
      <c r="L112">
        <f>$B$2*K112*(1-EXP(-(J112-$J$42-$B$3)/$B$4)*$B$4/($B$4-$B$5)+EXP(-(J112-$J$42-$B$3)/$B$5)*$B$5/($B$4-$B$5))</f>
        <v/>
      </c>
      <c r="M112">
        <f>$D$2*M111-$D$3*M110 + $D$4*K72+$D$5*K73</f>
        <v/>
      </c>
      <c r="N112">
        <f>$E$2 *N102 - $E$3 *N92 + $E$4 *K61 + $E$5 * K51</f>
        <v/>
      </c>
      <c r="O112">
        <f>$F$2 * O92 - $F$3 * O72 + $F$4 * K52 + $F$5 * K32</f>
        <v/>
      </c>
      <c r="Q112">
        <f>L112-M112</f>
        <v/>
      </c>
      <c r="R112">
        <f>L112-N112</f>
        <v/>
      </c>
      <c r="S112">
        <f>L112-O112</f>
        <v/>
      </c>
    </row>
    <row r="113">
      <c r="J113" t="n">
        <v>111</v>
      </c>
      <c r="K113" t="n">
        <v>1</v>
      </c>
      <c r="L113">
        <f>$B$2*K113*(1-EXP(-(J113-$J$42-$B$3)/$B$4)*$B$4/($B$4-$B$5)+EXP(-(J113-$J$42-$B$3)/$B$5)*$B$5/($B$4-$B$5))</f>
        <v/>
      </c>
      <c r="M113">
        <f>$D$2*M112-$D$3*M111 + $D$4*K73+$D$5*K74</f>
        <v/>
      </c>
      <c r="N113">
        <f>$E$2 *N103 - $E$3 *N93 + $E$4 *K62 + $E$5 * K52</f>
        <v/>
      </c>
      <c r="O113">
        <f>$F$2 * O93 - $F$3 * O73 + $F$4 * K53 + $F$5 * K33</f>
        <v/>
      </c>
      <c r="Q113">
        <f>L113-M113</f>
        <v/>
      </c>
      <c r="R113">
        <f>L113-N113</f>
        <v/>
      </c>
      <c r="S113">
        <f>L113-O113</f>
        <v/>
      </c>
    </row>
    <row r="114">
      <c r="J114" t="n">
        <v>112</v>
      </c>
      <c r="K114" t="n">
        <v>1</v>
      </c>
      <c r="L114">
        <f>$B$2*K114*(1-EXP(-(J114-$J$42-$B$3)/$B$4)*$B$4/($B$4-$B$5)+EXP(-(J114-$J$42-$B$3)/$B$5)*$B$5/($B$4-$B$5))</f>
        <v/>
      </c>
      <c r="M114">
        <f>$D$2*M113-$D$3*M112 + $D$4*K74+$D$5*K75</f>
        <v/>
      </c>
      <c r="N114">
        <f>$E$2 *N104 - $E$3 *N94 + $E$4 *K63 + $E$5 * K53</f>
        <v/>
      </c>
      <c r="O114">
        <f>$F$2 * O94 - $F$3 * O74 + $F$4 * K54 + $F$5 * K34</f>
        <v/>
      </c>
      <c r="Q114">
        <f>L114-M114</f>
        <v/>
      </c>
      <c r="R114">
        <f>L114-N114</f>
        <v/>
      </c>
      <c r="S114">
        <f>L114-O114</f>
        <v/>
      </c>
    </row>
    <row r="115">
      <c r="J115" t="n">
        <v>113</v>
      </c>
      <c r="K115" t="n">
        <v>1</v>
      </c>
      <c r="L115">
        <f>$B$2*K115*(1-EXP(-(J115-$J$42-$B$3)/$B$4)*$B$4/($B$4-$B$5)+EXP(-(J115-$J$42-$B$3)/$B$5)*$B$5/($B$4-$B$5))</f>
        <v/>
      </c>
      <c r="M115">
        <f>$D$2*M114-$D$3*M113 + $D$4*K75+$D$5*K76</f>
        <v/>
      </c>
      <c r="N115">
        <f>$E$2 *N105 - $E$3 *N95 + $E$4 *K64 + $E$5 * K54</f>
        <v/>
      </c>
      <c r="O115">
        <f>$F$2 * O95 - $F$3 * O75 + $F$4 * K55 + $F$5 * K35</f>
        <v/>
      </c>
      <c r="Q115">
        <f>L115-M115</f>
        <v/>
      </c>
      <c r="R115">
        <f>L115-N115</f>
        <v/>
      </c>
      <c r="S115">
        <f>L115-O115</f>
        <v/>
      </c>
    </row>
    <row r="116">
      <c r="J116" t="n">
        <v>114</v>
      </c>
      <c r="K116" t="n">
        <v>1</v>
      </c>
      <c r="L116">
        <f>$B$2*K116*(1-EXP(-(J116-$J$42-$B$3)/$B$4)*$B$4/($B$4-$B$5)+EXP(-(J116-$J$42-$B$3)/$B$5)*$B$5/($B$4-$B$5))</f>
        <v/>
      </c>
      <c r="M116">
        <f>$D$2*M115-$D$3*M114 + $D$4*K76+$D$5*K77</f>
        <v/>
      </c>
      <c r="N116">
        <f>$E$2 *N106 - $E$3 *N96 + $E$4 *K65 + $E$5 * K55</f>
        <v/>
      </c>
      <c r="O116">
        <f>$F$2 * O96 - $F$3 * O76 + $F$4 * K56 + $F$5 * K36</f>
        <v/>
      </c>
      <c r="Q116">
        <f>L116-M116</f>
        <v/>
      </c>
      <c r="R116">
        <f>L116-N116</f>
        <v/>
      </c>
      <c r="S116">
        <f>L116-O116</f>
        <v/>
      </c>
    </row>
    <row r="117">
      <c r="J117" t="n">
        <v>115</v>
      </c>
      <c r="K117" t="n">
        <v>1</v>
      </c>
      <c r="L117">
        <f>$B$2*K117*(1-EXP(-(J117-$J$42-$B$3)/$B$4)*$B$4/($B$4-$B$5)+EXP(-(J117-$J$42-$B$3)/$B$5)*$B$5/($B$4-$B$5))</f>
        <v/>
      </c>
      <c r="M117">
        <f>$D$2*M116-$D$3*M115 + $D$4*K77+$D$5*K78</f>
        <v/>
      </c>
      <c r="N117">
        <f>$E$2 *N107 - $E$3 *N97 + $E$4 *K66 + $E$5 * K56</f>
        <v/>
      </c>
      <c r="O117">
        <f>$F$2 * O97 - $F$3 * O77 + $F$4 * K57 + $F$5 * K37</f>
        <v/>
      </c>
      <c r="Q117">
        <f>L117-M117</f>
        <v/>
      </c>
      <c r="R117">
        <f>L117-N117</f>
        <v/>
      </c>
      <c r="S117">
        <f>L117-O117</f>
        <v/>
      </c>
    </row>
    <row r="118">
      <c r="J118" t="n">
        <v>116</v>
      </c>
      <c r="K118" t="n">
        <v>1</v>
      </c>
      <c r="L118">
        <f>$B$2*K118*(1-EXP(-(J118-$J$42-$B$3)/$B$4)*$B$4/($B$4-$B$5)+EXP(-(J118-$J$42-$B$3)/$B$5)*$B$5/($B$4-$B$5))</f>
        <v/>
      </c>
      <c r="M118">
        <f>$D$2*M117-$D$3*M116 + $D$4*K78+$D$5*K79</f>
        <v/>
      </c>
      <c r="N118">
        <f>$E$2 *N108 - $E$3 *N98 + $E$4 *K67 + $E$5 * K57</f>
        <v/>
      </c>
      <c r="O118">
        <f>$F$2 * O98 - $F$3 * O78 + $F$4 * K58 + $F$5 * K38</f>
        <v/>
      </c>
      <c r="Q118">
        <f>L118-M118</f>
        <v/>
      </c>
      <c r="R118">
        <f>L118-N118</f>
        <v/>
      </c>
      <c r="S118">
        <f>L118-O118</f>
        <v/>
      </c>
    </row>
    <row r="119">
      <c r="J119" t="n">
        <v>117</v>
      </c>
      <c r="K119" t="n">
        <v>1</v>
      </c>
      <c r="L119">
        <f>$B$2*K119*(1-EXP(-(J119-$J$42-$B$3)/$B$4)*$B$4/($B$4-$B$5)+EXP(-(J119-$J$42-$B$3)/$B$5)*$B$5/($B$4-$B$5))</f>
        <v/>
      </c>
      <c r="M119">
        <f>$D$2*M118-$D$3*M117 + $D$4*K79+$D$5*K80</f>
        <v/>
      </c>
      <c r="N119">
        <f>$E$2 *N109 - $E$3 *N99 + $E$4 *K68 + $E$5 * K58</f>
        <v/>
      </c>
      <c r="O119">
        <f>$F$2 * O99 - $F$3 * O79 + $F$4 * K59 + $F$5 * K39</f>
        <v/>
      </c>
      <c r="Q119">
        <f>L119-M119</f>
        <v/>
      </c>
      <c r="R119">
        <f>L119-N119</f>
        <v/>
      </c>
      <c r="S119">
        <f>L119-O119</f>
        <v/>
      </c>
    </row>
    <row r="120">
      <c r="J120" t="n">
        <v>118</v>
      </c>
      <c r="K120" t="n">
        <v>1</v>
      </c>
      <c r="L120">
        <f>$B$2*K120*(1-EXP(-(J120-$J$42-$B$3)/$B$4)*$B$4/($B$4-$B$5)+EXP(-(J120-$J$42-$B$3)/$B$5)*$B$5/($B$4-$B$5))</f>
        <v/>
      </c>
      <c r="M120">
        <f>$D$2*M119-$D$3*M118 + $D$4*K80+$D$5*K81</f>
        <v/>
      </c>
      <c r="N120">
        <f>$E$2 *N110 - $E$3 *N100 + $E$4 *K69 + $E$5 * K59</f>
        <v/>
      </c>
      <c r="O120">
        <f>$F$2 * O100 - $F$3 * O80 + $F$4 * K60 + $F$5 * K40</f>
        <v/>
      </c>
      <c r="Q120">
        <f>L120-M120</f>
        <v/>
      </c>
      <c r="R120">
        <f>L120-N120</f>
        <v/>
      </c>
      <c r="S120">
        <f>L120-O120</f>
        <v/>
      </c>
    </row>
    <row r="121">
      <c r="J121" t="n">
        <v>119</v>
      </c>
      <c r="K121" t="n">
        <v>1</v>
      </c>
      <c r="L121">
        <f>$B$2*K121*(1-EXP(-(J121-$J$42-$B$3)/$B$4)*$B$4/($B$4-$B$5)+EXP(-(J121-$J$42-$B$3)/$B$5)*$B$5/($B$4-$B$5))</f>
        <v/>
      </c>
      <c r="M121">
        <f>$D$2*M120-$D$3*M119 + $D$4*K81+$D$5*K82</f>
        <v/>
      </c>
      <c r="N121">
        <f>$E$2 *N111 - $E$3 *N101 + $E$4 *K70 + $E$5 * K60</f>
        <v/>
      </c>
      <c r="O121">
        <f>$F$2 * O101 - $F$3 * O81 + $F$4 * K61 + $F$5 * K41</f>
        <v/>
      </c>
      <c r="Q121">
        <f>L121-M121</f>
        <v/>
      </c>
      <c r="R121">
        <f>L121-N121</f>
        <v/>
      </c>
      <c r="S121">
        <f>L121-O121</f>
        <v/>
      </c>
    </row>
    <row r="122">
      <c r="J122" t="n">
        <v>120</v>
      </c>
      <c r="K122" t="n">
        <v>1</v>
      </c>
      <c r="L122">
        <f>$B$2*K122*(1-EXP(-(J122-$J$42-$B$3)/$B$4)*$B$4/($B$4-$B$5)+EXP(-(J122-$J$42-$B$3)/$B$5)*$B$5/($B$4-$B$5))</f>
        <v/>
      </c>
      <c r="M122">
        <f>$D$2*M121-$D$3*M120 + $D$4*K82+$D$5*K83</f>
        <v/>
      </c>
      <c r="N122">
        <f>$E$2 *N112 - $E$3 *N102 + $E$4 *K71 + $E$5 * K61</f>
        <v/>
      </c>
      <c r="O122">
        <f>$F$2 * O102 - $F$3 * O82 + $F$4 * K62 + $F$5 * K42</f>
        <v/>
      </c>
      <c r="Q122">
        <f>L122-M122</f>
        <v/>
      </c>
      <c r="R122">
        <f>L122-N122</f>
        <v/>
      </c>
      <c r="S122">
        <f>L122-O122</f>
        <v/>
      </c>
    </row>
    <row r="123">
      <c r="J123" t="n">
        <v>121</v>
      </c>
      <c r="K123" t="n">
        <v>1</v>
      </c>
      <c r="L123">
        <f>$B$2*K123*(1-EXP(-(J123-$J$42-$B$3)/$B$4)*$B$4/($B$4-$B$5)+EXP(-(J123-$J$42-$B$3)/$B$5)*$B$5/($B$4-$B$5))</f>
        <v/>
      </c>
      <c r="M123">
        <f>$D$2*M122-$D$3*M121 + $D$4*K83+$D$5*K84</f>
        <v/>
      </c>
      <c r="N123">
        <f>$E$2 *N113 - $E$3 *N103 + $E$4 *K72 + $E$5 * K62</f>
        <v/>
      </c>
      <c r="O123">
        <f>$F$2 * O103 - $F$3 * O83 + $F$4 * K63 + $F$5 * K43</f>
        <v/>
      </c>
      <c r="Q123">
        <f>L123-M123</f>
        <v/>
      </c>
      <c r="R123">
        <f>L123-N123</f>
        <v/>
      </c>
      <c r="S123">
        <f>L123-O123</f>
        <v/>
      </c>
    </row>
    <row r="124">
      <c r="J124" t="n">
        <v>122</v>
      </c>
      <c r="K124" t="n">
        <v>1</v>
      </c>
      <c r="L124">
        <f>$B$2*K124*(1-EXP(-(J124-$J$42-$B$3)/$B$4)*$B$4/($B$4-$B$5)+EXP(-(J124-$J$42-$B$3)/$B$5)*$B$5/($B$4-$B$5))</f>
        <v/>
      </c>
      <c r="M124">
        <f>$D$2*M123-$D$3*M122 + $D$4*K84+$D$5*K85</f>
        <v/>
      </c>
      <c r="N124">
        <f>$E$2 *N114 - $E$3 *N104 + $E$4 *K73 + $E$5 * K63</f>
        <v/>
      </c>
      <c r="O124">
        <f>$F$2 * O104 - $F$3 * O84 + $F$4 * K64 + $F$5 * K44</f>
        <v/>
      </c>
      <c r="Q124">
        <f>L124-M124</f>
        <v/>
      </c>
      <c r="R124">
        <f>L124-N124</f>
        <v/>
      </c>
      <c r="S124">
        <f>L124-O124</f>
        <v/>
      </c>
    </row>
    <row r="125">
      <c r="J125" t="n">
        <v>123</v>
      </c>
      <c r="K125" t="n">
        <v>1</v>
      </c>
      <c r="L125">
        <f>$B$2*K125*(1-EXP(-(J125-$J$42-$B$3)/$B$4)*$B$4/($B$4-$B$5)+EXP(-(J125-$J$42-$B$3)/$B$5)*$B$5/($B$4-$B$5))</f>
        <v/>
      </c>
      <c r="M125">
        <f>$D$2*M124-$D$3*M123 + $D$4*K85+$D$5*K86</f>
        <v/>
      </c>
      <c r="N125">
        <f>$E$2 *N115 - $E$3 *N105 + $E$4 *K74 + $E$5 * K64</f>
        <v/>
      </c>
      <c r="O125">
        <f>$F$2 * O105 - $F$3 * O85 + $F$4 * K65 + $F$5 * K45</f>
        <v/>
      </c>
      <c r="Q125">
        <f>L125-M125</f>
        <v/>
      </c>
      <c r="R125">
        <f>L125-N125</f>
        <v/>
      </c>
      <c r="S125">
        <f>L125-O125</f>
        <v/>
      </c>
    </row>
    <row r="126">
      <c r="J126" t="n">
        <v>124</v>
      </c>
      <c r="K126" t="n">
        <v>1</v>
      </c>
      <c r="L126">
        <f>$B$2*K126*(1-EXP(-(J126-$J$42-$B$3)/$B$4)*$B$4/($B$4-$B$5)+EXP(-(J126-$J$42-$B$3)/$B$5)*$B$5/($B$4-$B$5))</f>
        <v/>
      </c>
      <c r="M126">
        <f>$D$2*M125-$D$3*M124 + $D$4*K86+$D$5*K87</f>
        <v/>
      </c>
      <c r="N126">
        <f>$E$2 *N116 - $E$3 *N106 + $E$4 *K75 + $E$5 * K65</f>
        <v/>
      </c>
      <c r="O126">
        <f>$F$2 * O106 - $F$3 * O86 + $F$4 * K66 + $F$5 * K46</f>
        <v/>
      </c>
      <c r="Q126">
        <f>L126-M126</f>
        <v/>
      </c>
      <c r="R126">
        <f>L126-N126</f>
        <v/>
      </c>
      <c r="S126">
        <f>L126-O126</f>
        <v/>
      </c>
    </row>
    <row r="127">
      <c r="J127" t="n">
        <v>125</v>
      </c>
      <c r="K127" t="n">
        <v>1</v>
      </c>
      <c r="L127">
        <f>$B$2*K127*(1-EXP(-(J127-$J$42-$B$3)/$B$4)*$B$4/($B$4-$B$5)+EXP(-(J127-$J$42-$B$3)/$B$5)*$B$5/($B$4-$B$5))</f>
        <v/>
      </c>
      <c r="M127">
        <f>$D$2*M126-$D$3*M125 + $D$4*K87+$D$5*K88</f>
        <v/>
      </c>
      <c r="N127">
        <f>$E$2 *N117 - $E$3 *N107 + $E$4 *K76 + $E$5 * K66</f>
        <v/>
      </c>
      <c r="O127">
        <f>$F$2 * O107 - $F$3 * O87 + $F$4 * K67 + $F$5 * K47</f>
        <v/>
      </c>
      <c r="Q127">
        <f>L127-M127</f>
        <v/>
      </c>
      <c r="R127">
        <f>L127-N127</f>
        <v/>
      </c>
      <c r="S127">
        <f>L127-O127</f>
        <v/>
      </c>
    </row>
    <row r="128">
      <c r="J128" t="n">
        <v>126</v>
      </c>
      <c r="K128" t="n">
        <v>1</v>
      </c>
      <c r="L128">
        <f>$B$2*K128*(1-EXP(-(J128-$J$42-$B$3)/$B$4)*$B$4/($B$4-$B$5)+EXP(-(J128-$J$42-$B$3)/$B$5)*$B$5/($B$4-$B$5))</f>
        <v/>
      </c>
      <c r="M128">
        <f>$D$2*M127-$D$3*M126 + $D$4*K88+$D$5*K89</f>
        <v/>
      </c>
      <c r="N128">
        <f>$E$2 *N118 - $E$3 *N108 + $E$4 *K77 + $E$5 * K67</f>
        <v/>
      </c>
      <c r="O128">
        <f>$F$2 * O108 - $F$3 * O88 + $F$4 * K68 + $F$5 * K48</f>
        <v/>
      </c>
      <c r="Q128">
        <f>L128-M128</f>
        <v/>
      </c>
      <c r="R128">
        <f>L128-N128</f>
        <v/>
      </c>
      <c r="S128">
        <f>L128-O128</f>
        <v/>
      </c>
    </row>
    <row r="129">
      <c r="J129" t="n">
        <v>127</v>
      </c>
      <c r="K129" t="n">
        <v>1</v>
      </c>
      <c r="L129">
        <f>$B$2*K129*(1-EXP(-(J129-$J$42-$B$3)/$B$4)*$B$4/($B$4-$B$5)+EXP(-(J129-$J$42-$B$3)/$B$5)*$B$5/($B$4-$B$5))</f>
        <v/>
      </c>
      <c r="M129">
        <f>$D$2*M128-$D$3*M127 + $D$4*K89+$D$5*K90</f>
        <v/>
      </c>
      <c r="N129">
        <f>$E$2 *N119 - $E$3 *N109 + $E$4 *K78 + $E$5 * K68</f>
        <v/>
      </c>
      <c r="O129">
        <f>$F$2 * O109 - $F$3 * O89 + $F$4 * K69 + $F$5 * K49</f>
        <v/>
      </c>
      <c r="Q129">
        <f>L129-M129</f>
        <v/>
      </c>
      <c r="R129">
        <f>L129-N129</f>
        <v/>
      </c>
      <c r="S129">
        <f>L129-O129</f>
        <v/>
      </c>
    </row>
    <row r="130">
      <c r="J130" t="n">
        <v>128</v>
      </c>
      <c r="K130" t="n">
        <v>1</v>
      </c>
      <c r="L130">
        <f>$B$2*K130*(1-EXP(-(J130-$J$42-$B$3)/$B$4)*$B$4/($B$4-$B$5)+EXP(-(J130-$J$42-$B$3)/$B$5)*$B$5/($B$4-$B$5))</f>
        <v/>
      </c>
      <c r="M130">
        <f>$D$2*M129-$D$3*M128 + $D$4*K90+$D$5*K91</f>
        <v/>
      </c>
      <c r="N130">
        <f>$E$2 *N120 - $E$3 *N110 + $E$4 *K79 + $E$5 * K69</f>
        <v/>
      </c>
      <c r="O130">
        <f>$F$2 * O110 - $F$3 * O90 + $F$4 * K70 + $F$5 * K50</f>
        <v/>
      </c>
      <c r="Q130">
        <f>L130-M130</f>
        <v/>
      </c>
      <c r="R130">
        <f>L130-N130</f>
        <v/>
      </c>
      <c r="S130">
        <f>L130-O130</f>
        <v/>
      </c>
    </row>
    <row r="131">
      <c r="J131" t="n">
        <v>129</v>
      </c>
      <c r="K131" t="n">
        <v>1</v>
      </c>
      <c r="L131">
        <f>$B$2*K131*(1-EXP(-(J131-$J$42-$B$3)/$B$4)*$B$4/($B$4-$B$5)+EXP(-(J131-$J$42-$B$3)/$B$5)*$B$5/($B$4-$B$5))</f>
        <v/>
      </c>
      <c r="M131">
        <f>$D$2*M130-$D$3*M129 + $D$4*K91+$D$5*K92</f>
        <v/>
      </c>
      <c r="N131">
        <f>$E$2 *N121 - $E$3 *N111 + $E$4 *K80 + $E$5 * K70</f>
        <v/>
      </c>
      <c r="O131">
        <f>$F$2 * O111 - $F$3 * O91 + $F$4 * K71 + $F$5 * K51</f>
        <v/>
      </c>
      <c r="Q131">
        <f>L131-M131</f>
        <v/>
      </c>
      <c r="R131">
        <f>L131-N131</f>
        <v/>
      </c>
      <c r="S131">
        <f>L131-O131</f>
        <v/>
      </c>
    </row>
    <row r="132">
      <c r="J132" t="n">
        <v>130</v>
      </c>
      <c r="K132" t="n">
        <v>1</v>
      </c>
      <c r="L132">
        <f>$B$2*K132*(1-EXP(-(J132-$J$42-$B$3)/$B$4)*$B$4/($B$4-$B$5)+EXP(-(J132-$J$42-$B$3)/$B$5)*$B$5/($B$4-$B$5))</f>
        <v/>
      </c>
      <c r="M132">
        <f>$D$2*M131-$D$3*M130 + $D$4*K92+$D$5*K93</f>
        <v/>
      </c>
      <c r="N132">
        <f>$E$2 *N122 - $E$3 *N112 + $E$4 *K81 + $E$5 * K71</f>
        <v/>
      </c>
      <c r="O132">
        <f>$F$2 * O112 - $F$3 * O92 + $F$4 * K72 + $F$5 * K52</f>
        <v/>
      </c>
      <c r="Q132">
        <f>L132-M132</f>
        <v/>
      </c>
      <c r="R132">
        <f>L132-N132</f>
        <v/>
      </c>
      <c r="S132">
        <f>L132-O132</f>
        <v/>
      </c>
    </row>
    <row r="133">
      <c r="J133" t="n">
        <v>131</v>
      </c>
      <c r="K133" t="n">
        <v>1</v>
      </c>
      <c r="L133">
        <f>$B$2*K133*(1-EXP(-(J133-$J$42-$B$3)/$B$4)*$B$4/($B$4-$B$5)+EXP(-(J133-$J$42-$B$3)/$B$5)*$B$5/($B$4-$B$5))</f>
        <v/>
      </c>
      <c r="M133">
        <f>$D$2*M132-$D$3*M131 + $D$4*K93+$D$5*K94</f>
        <v/>
      </c>
      <c r="N133">
        <f>$E$2 *N123 - $E$3 *N113 + $E$4 *K82 + $E$5 * K72</f>
        <v/>
      </c>
      <c r="O133">
        <f>$F$2 * O113 - $F$3 * O93 + $F$4 * K73 + $F$5 * K53</f>
        <v/>
      </c>
      <c r="Q133">
        <f>L133-M133</f>
        <v/>
      </c>
      <c r="R133">
        <f>L133-N133</f>
        <v/>
      </c>
      <c r="S133">
        <f>L133-O133</f>
        <v/>
      </c>
    </row>
    <row r="134">
      <c r="J134" t="n">
        <v>132</v>
      </c>
      <c r="K134" t="n">
        <v>1</v>
      </c>
      <c r="L134">
        <f>$B$2*K134*(1-EXP(-(J134-$J$42-$B$3)/$B$4)*$B$4/($B$4-$B$5)+EXP(-(J134-$J$42-$B$3)/$B$5)*$B$5/($B$4-$B$5))</f>
        <v/>
      </c>
      <c r="M134">
        <f>$D$2*M133-$D$3*M132 + $D$4*K94+$D$5*K95</f>
        <v/>
      </c>
      <c r="N134">
        <f>$E$2 *N124 - $E$3 *N114 + $E$4 *K83 + $E$5 * K73</f>
        <v/>
      </c>
      <c r="O134">
        <f>$F$2 * O114 - $F$3 * O94 + $F$4 * K74 + $F$5 * K54</f>
        <v/>
      </c>
      <c r="Q134">
        <f>L134-M134</f>
        <v/>
      </c>
      <c r="R134">
        <f>L134-N134</f>
        <v/>
      </c>
      <c r="S134">
        <f>L134-O134</f>
        <v/>
      </c>
    </row>
    <row r="135">
      <c r="J135" t="n">
        <v>133</v>
      </c>
      <c r="K135" t="n">
        <v>1</v>
      </c>
      <c r="L135">
        <f>$B$2*K135*(1-EXP(-(J135-$J$42-$B$3)/$B$4)*$B$4/($B$4-$B$5)+EXP(-(J135-$J$42-$B$3)/$B$5)*$B$5/($B$4-$B$5))</f>
        <v/>
      </c>
      <c r="M135">
        <f>$D$2*M134-$D$3*M133 + $D$4*K95+$D$5*K96</f>
        <v/>
      </c>
      <c r="N135">
        <f>$E$2 *N125 - $E$3 *N115 + $E$4 *K84 + $E$5 * K74</f>
        <v/>
      </c>
      <c r="O135">
        <f>$F$2 * O115 - $F$3 * O95 + $F$4 * K75 + $F$5 * K55</f>
        <v/>
      </c>
      <c r="Q135">
        <f>L135-M135</f>
        <v/>
      </c>
      <c r="R135">
        <f>L135-N135</f>
        <v/>
      </c>
      <c r="S135">
        <f>L135-O135</f>
        <v/>
      </c>
    </row>
    <row r="136">
      <c r="J136" t="n">
        <v>134</v>
      </c>
      <c r="K136" t="n">
        <v>1</v>
      </c>
      <c r="L136">
        <f>$B$2*K136*(1-EXP(-(J136-$J$42-$B$3)/$B$4)*$B$4/($B$4-$B$5)+EXP(-(J136-$J$42-$B$3)/$B$5)*$B$5/($B$4-$B$5))</f>
        <v/>
      </c>
      <c r="M136">
        <f>$D$2*M135-$D$3*M134 + $D$4*K96+$D$5*K97</f>
        <v/>
      </c>
      <c r="N136">
        <f>$E$2 *N126 - $E$3 *N116 + $E$4 *K85 + $E$5 * K75</f>
        <v/>
      </c>
      <c r="O136">
        <f>$F$2 * O116 - $F$3 * O96 + $F$4 * K76 + $F$5 * K56</f>
        <v/>
      </c>
      <c r="Q136">
        <f>L136-M136</f>
        <v/>
      </c>
      <c r="R136">
        <f>L136-N136</f>
        <v/>
      </c>
      <c r="S136">
        <f>L136-O136</f>
        <v/>
      </c>
    </row>
    <row r="137">
      <c r="J137" t="n">
        <v>135</v>
      </c>
      <c r="K137" t="n">
        <v>1</v>
      </c>
      <c r="L137">
        <f>$B$2*K137*(1-EXP(-(J137-$J$42-$B$3)/$B$4)*$B$4/($B$4-$B$5)+EXP(-(J137-$J$42-$B$3)/$B$5)*$B$5/($B$4-$B$5))</f>
        <v/>
      </c>
      <c r="M137">
        <f>$D$2*M136-$D$3*M135 + $D$4*K97+$D$5*K98</f>
        <v/>
      </c>
      <c r="N137">
        <f>$E$2 *N127 - $E$3 *N117 + $E$4 *K86 + $E$5 * K76</f>
        <v/>
      </c>
      <c r="O137">
        <f>$F$2 * O117 - $F$3 * O97 + $F$4 * K77 + $F$5 * K57</f>
        <v/>
      </c>
      <c r="Q137">
        <f>L137-M137</f>
        <v/>
      </c>
      <c r="R137">
        <f>L137-N137</f>
        <v/>
      </c>
      <c r="S137">
        <f>L137-O137</f>
        <v/>
      </c>
    </row>
    <row r="138">
      <c r="J138" t="n">
        <v>136</v>
      </c>
      <c r="K138" t="n">
        <v>1</v>
      </c>
      <c r="L138">
        <f>$B$2*K138*(1-EXP(-(J138-$J$42-$B$3)/$B$4)*$B$4/($B$4-$B$5)+EXP(-(J138-$J$42-$B$3)/$B$5)*$B$5/($B$4-$B$5))</f>
        <v/>
      </c>
      <c r="M138">
        <f>$D$2*M137-$D$3*M136 + $D$4*K98+$D$5*K99</f>
        <v/>
      </c>
      <c r="N138">
        <f>$E$2 *N128 - $E$3 *N118 + $E$4 *K87 + $E$5 * K77</f>
        <v/>
      </c>
      <c r="O138">
        <f>$F$2 * O118 - $F$3 * O98 + $F$4 * K78 + $F$5 * K58</f>
        <v/>
      </c>
      <c r="Q138">
        <f>L138-M138</f>
        <v/>
      </c>
      <c r="R138">
        <f>L138-N138</f>
        <v/>
      </c>
      <c r="S138">
        <f>L138-O138</f>
        <v/>
      </c>
    </row>
    <row r="139">
      <c r="J139" t="n">
        <v>137</v>
      </c>
      <c r="K139" t="n">
        <v>1</v>
      </c>
      <c r="L139">
        <f>$B$2*K139*(1-EXP(-(J139-$J$42-$B$3)/$B$4)*$B$4/($B$4-$B$5)+EXP(-(J139-$J$42-$B$3)/$B$5)*$B$5/($B$4-$B$5))</f>
        <v/>
      </c>
      <c r="M139">
        <f>$D$2*M138-$D$3*M137 + $D$4*K99+$D$5*K100</f>
        <v/>
      </c>
      <c r="N139">
        <f>$E$2 *N129 - $E$3 *N119 + $E$4 *K88 + $E$5 * K78</f>
        <v/>
      </c>
      <c r="O139">
        <f>$F$2 * O119 - $F$3 * O99 + $F$4 * K79 + $F$5 * K59</f>
        <v/>
      </c>
      <c r="Q139">
        <f>L139-M139</f>
        <v/>
      </c>
      <c r="R139">
        <f>L139-N139</f>
        <v/>
      </c>
      <c r="S139">
        <f>L139-O139</f>
        <v/>
      </c>
    </row>
    <row r="140">
      <c r="J140" t="n">
        <v>138</v>
      </c>
      <c r="K140" t="n">
        <v>1</v>
      </c>
      <c r="L140">
        <f>$B$2*K140*(1-EXP(-(J140-$J$42-$B$3)/$B$4)*$B$4/($B$4-$B$5)+EXP(-(J140-$J$42-$B$3)/$B$5)*$B$5/($B$4-$B$5))</f>
        <v/>
      </c>
      <c r="M140">
        <f>$D$2*M139-$D$3*M138 + $D$4*K100+$D$5*K101</f>
        <v/>
      </c>
      <c r="N140">
        <f>$E$2 *N130 - $E$3 *N120 + $E$4 *K89 + $E$5 * K79</f>
        <v/>
      </c>
      <c r="O140">
        <f>$F$2 * O120 - $F$3 * O100 + $F$4 * K80 + $F$5 * K60</f>
        <v/>
      </c>
      <c r="Q140">
        <f>L140-M140</f>
        <v/>
      </c>
      <c r="R140">
        <f>L140-N140</f>
        <v/>
      </c>
      <c r="S140">
        <f>L140-O140</f>
        <v/>
      </c>
    </row>
    <row r="141">
      <c r="J141" t="n">
        <v>139</v>
      </c>
      <c r="K141" t="n">
        <v>1</v>
      </c>
      <c r="L141">
        <f>$B$2*K141*(1-EXP(-(J141-$J$42-$B$3)/$B$4)*$B$4/($B$4-$B$5)+EXP(-(J141-$J$42-$B$3)/$B$5)*$B$5/($B$4-$B$5))</f>
        <v/>
      </c>
      <c r="M141">
        <f>$D$2*M140-$D$3*M139 + $D$4*K101+$D$5*K102</f>
        <v/>
      </c>
      <c r="N141">
        <f>$E$2 *N131 - $E$3 *N121 + $E$4 *K90 + $E$5 * K80</f>
        <v/>
      </c>
      <c r="O141">
        <f>$F$2 * O121 - $F$3 * O101 + $F$4 * K81 + $F$5 * K61</f>
        <v/>
      </c>
      <c r="Q141">
        <f>L141-M141</f>
        <v/>
      </c>
      <c r="R141">
        <f>L141-N141</f>
        <v/>
      </c>
      <c r="S141">
        <f>L141-O141</f>
        <v/>
      </c>
    </row>
    <row r="142">
      <c r="J142" t="n">
        <v>140</v>
      </c>
      <c r="K142" t="n">
        <v>1</v>
      </c>
      <c r="L142">
        <f>$B$2*K142*(1-EXP(-(J142-$J$42-$B$3)/$B$4)*$B$4/($B$4-$B$5)+EXP(-(J142-$J$42-$B$3)/$B$5)*$B$5/($B$4-$B$5))</f>
        <v/>
      </c>
      <c r="M142">
        <f>$D$2*M141-$D$3*M140 + $D$4*K102+$D$5*K103</f>
        <v/>
      </c>
      <c r="N142">
        <f>$E$2 *N132 - $E$3 *N122 + $E$4 *K91 + $E$5 * K81</f>
        <v/>
      </c>
      <c r="O142">
        <f>$F$2 * O122 - $F$3 * O102 + $F$4 * K82 + $F$5 * K62</f>
        <v/>
      </c>
      <c r="Q142">
        <f>L142-M142</f>
        <v/>
      </c>
      <c r="R142">
        <f>L142-N142</f>
        <v/>
      </c>
      <c r="S142">
        <f>L142-O142</f>
        <v/>
      </c>
    </row>
    <row r="143">
      <c r="J143" t="n">
        <v>141</v>
      </c>
      <c r="K143" t="n">
        <v>1</v>
      </c>
      <c r="L143">
        <f>$B$2*K143*(1-EXP(-(J143-$J$42-$B$3)/$B$4)*$B$4/($B$4-$B$5)+EXP(-(J143-$J$42-$B$3)/$B$5)*$B$5/($B$4-$B$5))</f>
        <v/>
      </c>
      <c r="M143">
        <f>$D$2*M142-$D$3*M141 + $D$4*K103+$D$5*K104</f>
        <v/>
      </c>
      <c r="N143">
        <f>$E$2 *N133 - $E$3 *N123 + $E$4 *K92 + $E$5 * K82</f>
        <v/>
      </c>
      <c r="O143">
        <f>$F$2 * O123 - $F$3 * O103 + $F$4 * K83 + $F$5 * K63</f>
        <v/>
      </c>
      <c r="Q143">
        <f>L143-M143</f>
        <v/>
      </c>
      <c r="R143">
        <f>L143-N143</f>
        <v/>
      </c>
      <c r="S143">
        <f>L143-O143</f>
        <v/>
      </c>
    </row>
    <row r="144">
      <c r="J144" t="n">
        <v>142</v>
      </c>
      <c r="K144" t="n">
        <v>1</v>
      </c>
      <c r="L144">
        <f>$B$2*K144*(1-EXP(-(J144-$J$42-$B$3)/$B$4)*$B$4/($B$4-$B$5)+EXP(-(J144-$J$42-$B$3)/$B$5)*$B$5/($B$4-$B$5))</f>
        <v/>
      </c>
      <c r="M144">
        <f>$D$2*M143-$D$3*M142 + $D$4*K104+$D$5*K105</f>
        <v/>
      </c>
      <c r="N144">
        <f>$E$2 *N134 - $E$3 *N124 + $E$4 *K93 + $E$5 * K83</f>
        <v/>
      </c>
      <c r="O144">
        <f>$F$2 * O124 - $F$3 * O104 + $F$4 * K84 + $F$5 * K64</f>
        <v/>
      </c>
      <c r="Q144">
        <f>L144-M144</f>
        <v/>
      </c>
      <c r="R144">
        <f>L144-N144</f>
        <v/>
      </c>
      <c r="S144">
        <f>L144-O144</f>
        <v/>
      </c>
    </row>
    <row r="145">
      <c r="J145" t="n">
        <v>143</v>
      </c>
      <c r="K145" t="n">
        <v>1</v>
      </c>
      <c r="L145">
        <f>$B$2*K145*(1-EXP(-(J145-$J$42-$B$3)/$B$4)*$B$4/($B$4-$B$5)+EXP(-(J145-$J$42-$B$3)/$B$5)*$B$5/($B$4-$B$5))</f>
        <v/>
      </c>
      <c r="M145">
        <f>$D$2*M144-$D$3*M143 + $D$4*K105+$D$5*K106</f>
        <v/>
      </c>
      <c r="N145">
        <f>$E$2 *N135 - $E$3 *N125 + $E$4 *K94 + $E$5 * K84</f>
        <v/>
      </c>
      <c r="O145">
        <f>$F$2 * O125 - $F$3 * O105 + $F$4 * K85 + $F$5 * K65</f>
        <v/>
      </c>
      <c r="Q145">
        <f>L145-M145</f>
        <v/>
      </c>
      <c r="R145">
        <f>L145-N145</f>
        <v/>
      </c>
      <c r="S145">
        <f>L145-O145</f>
        <v/>
      </c>
    </row>
    <row r="146">
      <c r="J146" t="n">
        <v>144</v>
      </c>
      <c r="K146" t="n">
        <v>1</v>
      </c>
      <c r="L146">
        <f>$B$2*K146*(1-EXP(-(J146-$J$42-$B$3)/$B$4)*$B$4/($B$4-$B$5)+EXP(-(J146-$J$42-$B$3)/$B$5)*$B$5/($B$4-$B$5))</f>
        <v/>
      </c>
      <c r="M146">
        <f>$D$2*M145-$D$3*M144 + $D$4*K106+$D$5*K107</f>
        <v/>
      </c>
      <c r="N146">
        <f>$E$2 *N136 - $E$3 *N126 + $E$4 *K95 + $E$5 * K85</f>
        <v/>
      </c>
      <c r="O146">
        <f>$F$2 * O126 - $F$3 * O106 + $F$4 * K86 + $F$5 * K66</f>
        <v/>
      </c>
      <c r="Q146">
        <f>L146-M146</f>
        <v/>
      </c>
      <c r="R146">
        <f>L146-N146</f>
        <v/>
      </c>
      <c r="S146">
        <f>L146-O146</f>
        <v/>
      </c>
    </row>
    <row r="147">
      <c r="J147" t="n">
        <v>145</v>
      </c>
      <c r="K147" t="n">
        <v>1</v>
      </c>
      <c r="L147">
        <f>$B$2*K147*(1-EXP(-(J147-$J$42-$B$3)/$B$4)*$B$4/($B$4-$B$5)+EXP(-(J147-$J$42-$B$3)/$B$5)*$B$5/($B$4-$B$5))</f>
        <v/>
      </c>
      <c r="M147">
        <f>$D$2*M146-$D$3*M145 + $D$4*K107+$D$5*K108</f>
        <v/>
      </c>
      <c r="N147">
        <f>$E$2 *N137 - $E$3 *N127 + $E$4 *K96 + $E$5 * K86</f>
        <v/>
      </c>
      <c r="O147">
        <f>$F$2 * O127 - $F$3 * O107 + $F$4 * K87 + $F$5 * K67</f>
        <v/>
      </c>
      <c r="Q147">
        <f>L147-M147</f>
        <v/>
      </c>
      <c r="R147">
        <f>L147-N147</f>
        <v/>
      </c>
      <c r="S147">
        <f>L147-O147</f>
        <v/>
      </c>
    </row>
    <row r="148">
      <c r="J148" t="n">
        <v>146</v>
      </c>
      <c r="K148" t="n">
        <v>1</v>
      </c>
      <c r="L148">
        <f>$B$2*K148*(1-EXP(-(J148-$J$42-$B$3)/$B$4)*$B$4/($B$4-$B$5)+EXP(-(J148-$J$42-$B$3)/$B$5)*$B$5/($B$4-$B$5))</f>
        <v/>
      </c>
      <c r="M148">
        <f>$D$2*M147-$D$3*M146 + $D$4*K108+$D$5*K109</f>
        <v/>
      </c>
      <c r="N148">
        <f>$E$2 *N138 - $E$3 *N128 + $E$4 *K97 + $E$5 * K87</f>
        <v/>
      </c>
      <c r="O148">
        <f>$F$2 * O128 - $F$3 * O108 + $F$4 * K88 + $F$5 * K68</f>
        <v/>
      </c>
      <c r="Q148">
        <f>L148-M148</f>
        <v/>
      </c>
      <c r="R148">
        <f>L148-N148</f>
        <v/>
      </c>
      <c r="S148">
        <f>L148-O148</f>
        <v/>
      </c>
    </row>
    <row r="149">
      <c r="J149" t="n">
        <v>147</v>
      </c>
      <c r="K149" t="n">
        <v>1</v>
      </c>
      <c r="L149">
        <f>$B$2*K149*(1-EXP(-(J149-$J$42-$B$3)/$B$4)*$B$4/($B$4-$B$5)+EXP(-(J149-$J$42-$B$3)/$B$5)*$B$5/($B$4-$B$5))</f>
        <v/>
      </c>
      <c r="M149">
        <f>$D$2*M148-$D$3*M147 + $D$4*K109+$D$5*K110</f>
        <v/>
      </c>
      <c r="N149">
        <f>$E$2 *N139 - $E$3 *N129 + $E$4 *K98 + $E$5 * K88</f>
        <v/>
      </c>
      <c r="O149">
        <f>$F$2 * O129 - $F$3 * O109 + $F$4 * K89 + $F$5 * K69</f>
        <v/>
      </c>
      <c r="Q149">
        <f>L149-M149</f>
        <v/>
      </c>
      <c r="R149">
        <f>L149-N149</f>
        <v/>
      </c>
      <c r="S149">
        <f>L149-O149</f>
        <v/>
      </c>
    </row>
    <row r="150">
      <c r="J150" t="n">
        <v>148</v>
      </c>
      <c r="K150" t="n">
        <v>1</v>
      </c>
      <c r="L150">
        <f>$B$2*K150*(1-EXP(-(J150-$J$42-$B$3)/$B$4)*$B$4/($B$4-$B$5)+EXP(-(J150-$J$42-$B$3)/$B$5)*$B$5/($B$4-$B$5))</f>
        <v/>
      </c>
      <c r="M150">
        <f>$D$2*M149-$D$3*M148 + $D$4*K110+$D$5*K111</f>
        <v/>
      </c>
      <c r="N150">
        <f>$E$2 *N140 - $E$3 *N130 + $E$4 *K99 + $E$5 * K89</f>
        <v/>
      </c>
      <c r="O150">
        <f>$F$2 * O130 - $F$3 * O110 + $F$4 * K90 + $F$5 * K70</f>
        <v/>
      </c>
      <c r="Q150">
        <f>L150-M150</f>
        <v/>
      </c>
      <c r="R150">
        <f>L150-N150</f>
        <v/>
      </c>
      <c r="S150">
        <f>L150-O150</f>
        <v/>
      </c>
    </row>
    <row r="151">
      <c r="J151" t="n">
        <v>149</v>
      </c>
      <c r="K151" t="n">
        <v>1</v>
      </c>
      <c r="L151">
        <f>$B$2*K151*(1-EXP(-(J151-$J$42-$B$3)/$B$4)*$B$4/($B$4-$B$5)+EXP(-(J151-$J$42-$B$3)/$B$5)*$B$5/($B$4-$B$5))</f>
        <v/>
      </c>
      <c r="M151">
        <f>$D$2*M150-$D$3*M149 + $D$4*K111+$D$5*K112</f>
        <v/>
      </c>
      <c r="N151">
        <f>$E$2 *N141 - $E$3 *N131 + $E$4 *K100 + $E$5 * K90</f>
        <v/>
      </c>
      <c r="O151">
        <f>$F$2 * O131 - $F$3 * O111 + $F$4 * K91 + $F$5 * K71</f>
        <v/>
      </c>
      <c r="Q151">
        <f>L151-M151</f>
        <v/>
      </c>
      <c r="R151">
        <f>L151-N151</f>
        <v/>
      </c>
      <c r="S151">
        <f>L151-O151</f>
        <v/>
      </c>
    </row>
    <row r="152">
      <c r="J152" t="n">
        <v>150</v>
      </c>
      <c r="K152" t="n">
        <v>1</v>
      </c>
      <c r="L152">
        <f>$B$2*K152*(1-EXP(-(J152-$J$42-$B$3)/$B$4)*$B$4/($B$4-$B$5)+EXP(-(J152-$J$42-$B$3)/$B$5)*$B$5/($B$4-$B$5))</f>
        <v/>
      </c>
      <c r="M152">
        <f>$D$2*M151-$D$3*M150 + $D$4*K112+$D$5*K113</f>
        <v/>
      </c>
      <c r="N152">
        <f>$E$2 *N142 - $E$3 *N132 + $E$4 *K101 + $E$5 * K91</f>
        <v/>
      </c>
      <c r="O152">
        <f>$F$2 * O132 - $F$3 * O112 + $F$4 * K92 + $F$5 * K72</f>
        <v/>
      </c>
      <c r="Q152">
        <f>L152-M152</f>
        <v/>
      </c>
      <c r="R152">
        <f>L152-N152</f>
        <v/>
      </c>
      <c r="S152">
        <f>L152-O152</f>
        <v/>
      </c>
    </row>
    <row r="153">
      <c r="J153" t="n">
        <v>151</v>
      </c>
      <c r="K153" t="n">
        <v>1</v>
      </c>
      <c r="L153">
        <f>$B$2*K153*(1-EXP(-(J153-$J$42-$B$3)/$B$4)*$B$4/($B$4-$B$5)+EXP(-(J153-$J$42-$B$3)/$B$5)*$B$5/($B$4-$B$5))</f>
        <v/>
      </c>
      <c r="M153">
        <f>$D$2*M152-$D$3*M151 + $D$4*K113+$D$5*K114</f>
        <v/>
      </c>
      <c r="N153">
        <f>$E$2 *N143 - $E$3 *N133 + $E$4 *K102 + $E$5 * K92</f>
        <v/>
      </c>
      <c r="O153">
        <f>$F$2 * O133 - $F$3 * O113 + $F$4 * K93 + $F$5 * K73</f>
        <v/>
      </c>
      <c r="Q153">
        <f>L153-M153</f>
        <v/>
      </c>
      <c r="R153">
        <f>L153-N153</f>
        <v/>
      </c>
      <c r="S153">
        <f>L153-O153</f>
        <v/>
      </c>
    </row>
    <row r="154">
      <c r="J154" t="n">
        <v>152</v>
      </c>
      <c r="K154" t="n">
        <v>1</v>
      </c>
      <c r="L154">
        <f>$B$2*K154*(1-EXP(-(J154-$J$42-$B$3)/$B$4)*$B$4/($B$4-$B$5)+EXP(-(J154-$J$42-$B$3)/$B$5)*$B$5/($B$4-$B$5))</f>
        <v/>
      </c>
      <c r="M154">
        <f>$D$2*M153-$D$3*M152 + $D$4*K114+$D$5*K115</f>
        <v/>
      </c>
      <c r="N154">
        <f>$E$2 *N144 - $E$3 *N134 + $E$4 *K103 + $E$5 * K93</f>
        <v/>
      </c>
      <c r="O154">
        <f>$F$2 * O134 - $F$3 * O114 + $F$4 * K94 + $F$5 * K74</f>
        <v/>
      </c>
      <c r="Q154">
        <f>L154-M154</f>
        <v/>
      </c>
      <c r="R154">
        <f>L154-N154</f>
        <v/>
      </c>
      <c r="S154">
        <f>L154-O154</f>
        <v/>
      </c>
    </row>
    <row r="155">
      <c r="J155" t="n">
        <v>153</v>
      </c>
      <c r="K155" t="n">
        <v>1</v>
      </c>
      <c r="L155">
        <f>$B$2*K155*(1-EXP(-(J155-$J$42-$B$3)/$B$4)*$B$4/($B$4-$B$5)+EXP(-(J155-$J$42-$B$3)/$B$5)*$B$5/($B$4-$B$5))</f>
        <v/>
      </c>
      <c r="M155">
        <f>$D$2*M154-$D$3*M153 + $D$4*K115+$D$5*K116</f>
        <v/>
      </c>
      <c r="N155">
        <f>$E$2 *N145 - $E$3 *N135 + $E$4 *K104 + $E$5 * K94</f>
        <v/>
      </c>
      <c r="O155">
        <f>$F$2 * O135 - $F$3 * O115 + $F$4 * K95 + $F$5 * K75</f>
        <v/>
      </c>
      <c r="Q155">
        <f>L155-M155</f>
        <v/>
      </c>
      <c r="R155">
        <f>L155-N155</f>
        <v/>
      </c>
      <c r="S155">
        <f>L155-O155</f>
        <v/>
      </c>
    </row>
    <row r="156">
      <c r="J156" t="n">
        <v>154</v>
      </c>
      <c r="K156" t="n">
        <v>1</v>
      </c>
      <c r="L156">
        <f>$B$2*K156*(1-EXP(-(J156-$J$42-$B$3)/$B$4)*$B$4/($B$4-$B$5)+EXP(-(J156-$J$42-$B$3)/$B$5)*$B$5/($B$4-$B$5))</f>
        <v/>
      </c>
      <c r="M156">
        <f>$D$2*M155-$D$3*M154 + $D$4*K116+$D$5*K117</f>
        <v/>
      </c>
      <c r="N156">
        <f>$E$2 *N146 - $E$3 *N136 + $E$4 *K105 + $E$5 * K95</f>
        <v/>
      </c>
      <c r="O156">
        <f>$F$2 * O136 - $F$3 * O116 + $F$4 * K96 + $F$5 * K76</f>
        <v/>
      </c>
      <c r="Q156">
        <f>L156-M156</f>
        <v/>
      </c>
      <c r="R156">
        <f>L156-N156</f>
        <v/>
      </c>
      <c r="S156">
        <f>L156-O156</f>
        <v/>
      </c>
    </row>
    <row r="157">
      <c r="J157" t="n">
        <v>155</v>
      </c>
      <c r="K157" t="n">
        <v>1</v>
      </c>
      <c r="L157">
        <f>$B$2*K157*(1-EXP(-(J157-$J$42-$B$3)/$B$4)*$B$4/($B$4-$B$5)+EXP(-(J157-$J$42-$B$3)/$B$5)*$B$5/($B$4-$B$5))</f>
        <v/>
      </c>
      <c r="M157">
        <f>$D$2*M156-$D$3*M155 + $D$4*K117+$D$5*K118</f>
        <v/>
      </c>
      <c r="N157">
        <f>$E$2 *N147 - $E$3 *N137 + $E$4 *K106 + $E$5 * K96</f>
        <v/>
      </c>
      <c r="O157">
        <f>$F$2 * O137 - $F$3 * O117 + $F$4 * K97 + $F$5 * K77</f>
        <v/>
      </c>
      <c r="Q157">
        <f>L157-M157</f>
        <v/>
      </c>
      <c r="R157">
        <f>L157-N157</f>
        <v/>
      </c>
      <c r="S157">
        <f>L157-O157</f>
        <v/>
      </c>
    </row>
    <row r="158">
      <c r="J158" t="n">
        <v>156</v>
      </c>
      <c r="K158" t="n">
        <v>1</v>
      </c>
      <c r="L158">
        <f>$B$2*K158*(1-EXP(-(J158-$J$42-$B$3)/$B$4)*$B$4/($B$4-$B$5)+EXP(-(J158-$J$42-$B$3)/$B$5)*$B$5/($B$4-$B$5))</f>
        <v/>
      </c>
      <c r="M158">
        <f>$D$2*M157-$D$3*M156 + $D$4*K118+$D$5*K119</f>
        <v/>
      </c>
      <c r="N158">
        <f>$E$2 *N148 - $E$3 *N138 + $E$4 *K107 + $E$5 * K97</f>
        <v/>
      </c>
      <c r="O158">
        <f>$F$2 * O138 - $F$3 * O118 + $F$4 * K98 + $F$5 * K78</f>
        <v/>
      </c>
      <c r="Q158">
        <f>L158-M158</f>
        <v/>
      </c>
      <c r="R158">
        <f>L158-N158</f>
        <v/>
      </c>
      <c r="S158">
        <f>L158-O158</f>
        <v/>
      </c>
    </row>
    <row r="159">
      <c r="J159" t="n">
        <v>157</v>
      </c>
      <c r="K159" t="n">
        <v>1</v>
      </c>
      <c r="L159">
        <f>$B$2*K159*(1-EXP(-(J159-$J$42-$B$3)/$B$4)*$B$4/($B$4-$B$5)+EXP(-(J159-$J$42-$B$3)/$B$5)*$B$5/($B$4-$B$5))</f>
        <v/>
      </c>
      <c r="M159">
        <f>$D$2*M158-$D$3*M157 + $D$4*K119+$D$5*K120</f>
        <v/>
      </c>
      <c r="N159">
        <f>$E$2 *N149 - $E$3 *N139 + $E$4 *K108 + $E$5 * K98</f>
        <v/>
      </c>
      <c r="O159">
        <f>$F$2 * O139 - $F$3 * O119 + $F$4 * K99 + $F$5 * K79</f>
        <v/>
      </c>
      <c r="Q159">
        <f>L159-M159</f>
        <v/>
      </c>
      <c r="R159">
        <f>L159-N159</f>
        <v/>
      </c>
      <c r="S159">
        <f>L159-O159</f>
        <v/>
      </c>
    </row>
    <row r="160">
      <c r="J160" t="n">
        <v>158</v>
      </c>
      <c r="K160" t="n">
        <v>1</v>
      </c>
      <c r="L160">
        <f>$B$2*K160*(1-EXP(-(J160-$J$42-$B$3)/$B$4)*$B$4/($B$4-$B$5)+EXP(-(J160-$J$42-$B$3)/$B$5)*$B$5/($B$4-$B$5))</f>
        <v/>
      </c>
      <c r="M160">
        <f>$D$2*M159-$D$3*M158 + $D$4*K120+$D$5*K121</f>
        <v/>
      </c>
      <c r="N160">
        <f>$E$2 *N150 - $E$3 *N140 + $E$4 *K109 + $E$5 * K99</f>
        <v/>
      </c>
      <c r="O160">
        <f>$F$2 * O140 - $F$3 * O120 + $F$4 * K100 + $F$5 * K80</f>
        <v/>
      </c>
      <c r="Q160">
        <f>L160-M160</f>
        <v/>
      </c>
      <c r="R160">
        <f>L160-N160</f>
        <v/>
      </c>
      <c r="S160">
        <f>L160-O160</f>
        <v/>
      </c>
    </row>
    <row r="161">
      <c r="J161" t="n">
        <v>159</v>
      </c>
      <c r="K161" t="n">
        <v>1</v>
      </c>
      <c r="L161">
        <f>$B$2*K161*(1-EXP(-(J161-$J$42-$B$3)/$B$4)*$B$4/($B$4-$B$5)+EXP(-(J161-$J$42-$B$3)/$B$5)*$B$5/($B$4-$B$5))</f>
        <v/>
      </c>
      <c r="M161">
        <f>$D$2*M160-$D$3*M159 + $D$4*K121+$D$5*K122</f>
        <v/>
      </c>
      <c r="N161">
        <f>$E$2 *N151 - $E$3 *N141 + $E$4 *K110 + $E$5 * K100</f>
        <v/>
      </c>
      <c r="O161">
        <f>$F$2 * O141 - $F$3 * O121 + $F$4 * K101 + $F$5 * K81</f>
        <v/>
      </c>
      <c r="Q161">
        <f>L161-M161</f>
        <v/>
      </c>
      <c r="R161">
        <f>L161-N161</f>
        <v/>
      </c>
      <c r="S161">
        <f>L161-O161</f>
        <v/>
      </c>
    </row>
    <row r="162">
      <c r="J162" t="n">
        <v>160</v>
      </c>
      <c r="K162" t="n">
        <v>1</v>
      </c>
      <c r="L162">
        <f>$B$2*K162*(1-EXP(-(J162-$J$42-$B$3)/$B$4)*$B$4/($B$4-$B$5)+EXP(-(J162-$J$42-$B$3)/$B$5)*$B$5/($B$4-$B$5))</f>
        <v/>
      </c>
      <c r="M162">
        <f>$D$2*M161-$D$3*M160 + $D$4*K122+$D$5*K123</f>
        <v/>
      </c>
      <c r="N162">
        <f>$E$2 *N152 - $E$3 *N142 + $E$4 *K111 + $E$5 * K101</f>
        <v/>
      </c>
      <c r="O162">
        <f>$F$2 * O142 - $F$3 * O122 + $F$4 * K102 + $F$5 * K82</f>
        <v/>
      </c>
      <c r="Q162">
        <f>L162-M162</f>
        <v/>
      </c>
      <c r="R162">
        <f>L162-N162</f>
        <v/>
      </c>
      <c r="S162">
        <f>L162-O162</f>
        <v/>
      </c>
    </row>
    <row r="163">
      <c r="J163" t="n">
        <v>161</v>
      </c>
      <c r="K163" t="n">
        <v>1</v>
      </c>
      <c r="L163">
        <f>$B$2*K163*(1-EXP(-(J163-$J$42-$B$3)/$B$4)*$B$4/($B$4-$B$5)+EXP(-(J163-$J$42-$B$3)/$B$5)*$B$5/($B$4-$B$5))</f>
        <v/>
      </c>
      <c r="M163">
        <f>$D$2*M162-$D$3*M161 + $D$4*K123+$D$5*K124</f>
        <v/>
      </c>
      <c r="N163">
        <f>$E$2 *N153 - $E$3 *N143 + $E$4 *K112 + $E$5 * K102</f>
        <v/>
      </c>
      <c r="O163">
        <f>$F$2 * O143 - $F$3 * O123 + $F$4 * K103 + $F$5 * K83</f>
        <v/>
      </c>
      <c r="Q163">
        <f>L163-M163</f>
        <v/>
      </c>
      <c r="R163">
        <f>L163-N163</f>
        <v/>
      </c>
      <c r="S163">
        <f>L163-O163</f>
        <v/>
      </c>
    </row>
    <row r="164">
      <c r="J164" t="n">
        <v>162</v>
      </c>
      <c r="K164" t="n">
        <v>1</v>
      </c>
      <c r="L164">
        <f>$B$2*K164*(1-EXP(-(J164-$J$42-$B$3)/$B$4)*$B$4/($B$4-$B$5)+EXP(-(J164-$J$42-$B$3)/$B$5)*$B$5/($B$4-$B$5))</f>
        <v/>
      </c>
      <c r="M164">
        <f>$D$2*M163-$D$3*M162 + $D$4*K124+$D$5*K125</f>
        <v/>
      </c>
      <c r="N164">
        <f>$E$2 *N154 - $E$3 *N144 + $E$4 *K113 + $E$5 * K103</f>
        <v/>
      </c>
      <c r="O164">
        <f>$F$2 * O144 - $F$3 * O124 + $F$4 * K104 + $F$5 * K84</f>
        <v/>
      </c>
      <c r="Q164">
        <f>L164-M164</f>
        <v/>
      </c>
      <c r="R164">
        <f>L164-N164</f>
        <v/>
      </c>
      <c r="S164">
        <f>L164-O164</f>
        <v/>
      </c>
    </row>
    <row r="165">
      <c r="J165" t="n">
        <v>163</v>
      </c>
      <c r="K165" t="n">
        <v>1</v>
      </c>
      <c r="L165">
        <f>$B$2*K165*(1-EXP(-(J165-$J$42-$B$3)/$B$4)*$B$4/($B$4-$B$5)+EXP(-(J165-$J$42-$B$3)/$B$5)*$B$5/($B$4-$B$5))</f>
        <v/>
      </c>
      <c r="M165">
        <f>$D$2*M164-$D$3*M163 + $D$4*K125+$D$5*K126</f>
        <v/>
      </c>
      <c r="N165">
        <f>$E$2 *N155 - $E$3 *N145 + $E$4 *K114 + $E$5 * K104</f>
        <v/>
      </c>
      <c r="O165">
        <f>$F$2 * O145 - $F$3 * O125 + $F$4 * K105 + $F$5 * K85</f>
        <v/>
      </c>
      <c r="Q165">
        <f>L165-M165</f>
        <v/>
      </c>
      <c r="R165">
        <f>L165-N165</f>
        <v/>
      </c>
      <c r="S165">
        <f>L165-O165</f>
        <v/>
      </c>
    </row>
    <row r="166">
      <c r="J166" t="n">
        <v>164</v>
      </c>
      <c r="K166" t="n">
        <v>1</v>
      </c>
      <c r="L166">
        <f>$B$2*K166*(1-EXP(-(J166-$J$42-$B$3)/$B$4)*$B$4/($B$4-$B$5)+EXP(-(J166-$J$42-$B$3)/$B$5)*$B$5/($B$4-$B$5))</f>
        <v/>
      </c>
      <c r="M166">
        <f>$D$2*M165-$D$3*M164 + $D$4*K126+$D$5*K127</f>
        <v/>
      </c>
      <c r="N166">
        <f>$E$2 *N156 - $E$3 *N146 + $E$4 *K115 + $E$5 * K105</f>
        <v/>
      </c>
      <c r="O166">
        <f>$F$2 * O146 - $F$3 * O126 + $F$4 * K106 + $F$5 * K86</f>
        <v/>
      </c>
      <c r="Q166">
        <f>L166-M166</f>
        <v/>
      </c>
      <c r="R166">
        <f>L166-N166</f>
        <v/>
      </c>
      <c r="S166">
        <f>L166-O166</f>
        <v/>
      </c>
    </row>
    <row r="167">
      <c r="J167" t="n">
        <v>165</v>
      </c>
      <c r="K167" t="n">
        <v>1</v>
      </c>
      <c r="L167">
        <f>$B$2*K167*(1-EXP(-(J167-$J$42-$B$3)/$B$4)*$B$4/($B$4-$B$5)+EXP(-(J167-$J$42-$B$3)/$B$5)*$B$5/($B$4-$B$5))</f>
        <v/>
      </c>
      <c r="M167">
        <f>$D$2*M166-$D$3*M165 + $D$4*K127+$D$5*K128</f>
        <v/>
      </c>
      <c r="N167">
        <f>$E$2 *N157 - $E$3 *N147 + $E$4 *K116 + $E$5 * K106</f>
        <v/>
      </c>
      <c r="O167">
        <f>$F$2 * O147 - $F$3 * O127 + $F$4 * K107 + $F$5 * K87</f>
        <v/>
      </c>
      <c r="Q167">
        <f>L167-M167</f>
        <v/>
      </c>
      <c r="R167">
        <f>L167-N167</f>
        <v/>
      </c>
      <c r="S167">
        <f>L167-O167</f>
        <v/>
      </c>
    </row>
    <row r="168">
      <c r="J168" t="n">
        <v>166</v>
      </c>
      <c r="K168" t="n">
        <v>1</v>
      </c>
      <c r="L168">
        <f>$B$2*K168*(1-EXP(-(J168-$J$42-$B$3)/$B$4)*$B$4/($B$4-$B$5)+EXP(-(J168-$J$42-$B$3)/$B$5)*$B$5/($B$4-$B$5))</f>
        <v/>
      </c>
      <c r="M168">
        <f>$D$2*M167-$D$3*M166 + $D$4*K128+$D$5*K129</f>
        <v/>
      </c>
      <c r="N168">
        <f>$E$2 *N158 - $E$3 *N148 + $E$4 *K117 + $E$5 * K107</f>
        <v/>
      </c>
      <c r="O168">
        <f>$F$2 * O148 - $F$3 * O128 + $F$4 * K108 + $F$5 * K88</f>
        <v/>
      </c>
      <c r="Q168">
        <f>L168-M168</f>
        <v/>
      </c>
      <c r="R168">
        <f>L168-N168</f>
        <v/>
      </c>
      <c r="S168">
        <f>L168-O168</f>
        <v/>
      </c>
    </row>
    <row r="169">
      <c r="J169" t="n">
        <v>167</v>
      </c>
      <c r="K169" t="n">
        <v>1</v>
      </c>
      <c r="L169">
        <f>$B$2*K169*(1-EXP(-(J169-$J$42-$B$3)/$B$4)*$B$4/($B$4-$B$5)+EXP(-(J169-$J$42-$B$3)/$B$5)*$B$5/($B$4-$B$5))</f>
        <v/>
      </c>
      <c r="M169">
        <f>$D$2*M168-$D$3*M167 + $D$4*K129+$D$5*K130</f>
        <v/>
      </c>
      <c r="N169">
        <f>$E$2 *N159 - $E$3 *N149 + $E$4 *K118 + $E$5 * K108</f>
        <v/>
      </c>
      <c r="O169">
        <f>$F$2 * O149 - $F$3 * O129 + $F$4 * K109 + $F$5 * K89</f>
        <v/>
      </c>
      <c r="Q169">
        <f>L169-M169</f>
        <v/>
      </c>
      <c r="R169">
        <f>L169-N169</f>
        <v/>
      </c>
      <c r="S169">
        <f>L169-O169</f>
        <v/>
      </c>
    </row>
    <row r="170">
      <c r="J170" t="n">
        <v>168</v>
      </c>
      <c r="K170" t="n">
        <v>1</v>
      </c>
      <c r="L170">
        <f>$B$2*K170*(1-EXP(-(J170-$J$42-$B$3)/$B$4)*$B$4/($B$4-$B$5)+EXP(-(J170-$J$42-$B$3)/$B$5)*$B$5/($B$4-$B$5))</f>
        <v/>
      </c>
      <c r="M170">
        <f>$D$2*M169-$D$3*M168 + $D$4*K130+$D$5*K131</f>
        <v/>
      </c>
      <c r="N170">
        <f>$E$2 *N160 - $E$3 *N150 + $E$4 *K119 + $E$5 * K109</f>
        <v/>
      </c>
      <c r="O170">
        <f>$F$2 * O150 - $F$3 * O130 + $F$4 * K110 + $F$5 * K90</f>
        <v/>
      </c>
      <c r="Q170">
        <f>L170-M170</f>
        <v/>
      </c>
      <c r="R170">
        <f>L170-N170</f>
        <v/>
      </c>
      <c r="S170">
        <f>L170-O170</f>
        <v/>
      </c>
    </row>
    <row r="171">
      <c r="J171" t="n">
        <v>169</v>
      </c>
      <c r="K171" t="n">
        <v>1</v>
      </c>
      <c r="L171">
        <f>$B$2*K171*(1-EXP(-(J171-$J$42-$B$3)/$B$4)*$B$4/($B$4-$B$5)+EXP(-(J171-$J$42-$B$3)/$B$5)*$B$5/($B$4-$B$5))</f>
        <v/>
      </c>
      <c r="M171">
        <f>$D$2*M170-$D$3*M169 + $D$4*K131+$D$5*K132</f>
        <v/>
      </c>
      <c r="N171">
        <f>$E$2 *N161 - $E$3 *N151 + $E$4 *K120 + $E$5 * K110</f>
        <v/>
      </c>
      <c r="O171">
        <f>$F$2 * O151 - $F$3 * O131 + $F$4 * K111 + $F$5 * K91</f>
        <v/>
      </c>
      <c r="Q171">
        <f>L171-M171</f>
        <v/>
      </c>
      <c r="R171">
        <f>L171-N171</f>
        <v/>
      </c>
      <c r="S171">
        <f>L171-O171</f>
        <v/>
      </c>
    </row>
    <row r="172">
      <c r="J172" t="n">
        <v>170</v>
      </c>
      <c r="K172" t="n">
        <v>1</v>
      </c>
      <c r="L172">
        <f>$B$2*K172*(1-EXP(-(J172-$J$42-$B$3)/$B$4)*$B$4/($B$4-$B$5)+EXP(-(J172-$J$42-$B$3)/$B$5)*$B$5/($B$4-$B$5))</f>
        <v/>
      </c>
      <c r="M172">
        <f>$D$2*M171-$D$3*M170 + $D$4*K132+$D$5*K133</f>
        <v/>
      </c>
      <c r="N172">
        <f>$E$2 *N162 - $E$3 *N152 + $E$4 *K121 + $E$5 * K111</f>
        <v/>
      </c>
      <c r="O172">
        <f>$F$2 * O152 - $F$3 * O132 + $F$4 * K112 + $F$5 * K92</f>
        <v/>
      </c>
      <c r="Q172">
        <f>L172-M172</f>
        <v/>
      </c>
      <c r="R172">
        <f>L172-N172</f>
        <v/>
      </c>
      <c r="S172">
        <f>L172-O172</f>
        <v/>
      </c>
    </row>
    <row r="173">
      <c r="J173" t="n">
        <v>171</v>
      </c>
      <c r="K173" t="n">
        <v>1</v>
      </c>
      <c r="L173">
        <f>$B$2*K173*(1-EXP(-(J173-$J$42-$B$3)/$B$4)*$B$4/($B$4-$B$5)+EXP(-(J173-$J$42-$B$3)/$B$5)*$B$5/($B$4-$B$5))</f>
        <v/>
      </c>
      <c r="M173">
        <f>$D$2*M172-$D$3*M171 + $D$4*K133+$D$5*K134</f>
        <v/>
      </c>
      <c r="N173">
        <f>$E$2 *N163 - $E$3 *N153 + $E$4 *K122 + $E$5 * K112</f>
        <v/>
      </c>
      <c r="O173">
        <f>$F$2 * O153 - $F$3 * O133 + $F$4 * K113 + $F$5 * K93</f>
        <v/>
      </c>
      <c r="Q173">
        <f>L173-M173</f>
        <v/>
      </c>
      <c r="R173">
        <f>L173-N173</f>
        <v/>
      </c>
      <c r="S173">
        <f>L173-O173</f>
        <v/>
      </c>
    </row>
    <row r="174">
      <c r="J174" t="n">
        <v>172</v>
      </c>
      <c r="K174" t="n">
        <v>1</v>
      </c>
      <c r="L174">
        <f>$B$2*K174*(1-EXP(-(J174-$J$42-$B$3)/$B$4)*$B$4/($B$4-$B$5)+EXP(-(J174-$J$42-$B$3)/$B$5)*$B$5/($B$4-$B$5))</f>
        <v/>
      </c>
      <c r="M174">
        <f>$D$2*M173-$D$3*M172 + $D$4*K134+$D$5*K135</f>
        <v/>
      </c>
      <c r="N174">
        <f>$E$2 *N164 - $E$3 *N154 + $E$4 *K123 + $E$5 * K113</f>
        <v/>
      </c>
      <c r="O174">
        <f>$F$2 * O154 - $F$3 * O134 + $F$4 * K114 + $F$5 * K94</f>
        <v/>
      </c>
      <c r="Q174">
        <f>L174-M174</f>
        <v/>
      </c>
      <c r="R174">
        <f>L174-N174</f>
        <v/>
      </c>
      <c r="S174">
        <f>L174-O174</f>
        <v/>
      </c>
    </row>
    <row r="175">
      <c r="J175" t="n">
        <v>173</v>
      </c>
      <c r="K175" t="n">
        <v>1</v>
      </c>
      <c r="L175">
        <f>$B$2*K175*(1-EXP(-(J175-$J$42-$B$3)/$B$4)*$B$4/($B$4-$B$5)+EXP(-(J175-$J$42-$B$3)/$B$5)*$B$5/($B$4-$B$5))</f>
        <v/>
      </c>
      <c r="M175">
        <f>$D$2*M174-$D$3*M173 + $D$4*K135+$D$5*K136</f>
        <v/>
      </c>
      <c r="N175">
        <f>$E$2 *N165 - $E$3 *N155 + $E$4 *K124 + $E$5 * K114</f>
        <v/>
      </c>
      <c r="O175">
        <f>$F$2 * O155 - $F$3 * O135 + $F$4 * K115 + $F$5 * K95</f>
        <v/>
      </c>
      <c r="Q175">
        <f>L175-M175</f>
        <v/>
      </c>
      <c r="R175">
        <f>L175-N175</f>
        <v/>
      </c>
      <c r="S175">
        <f>L175-O175</f>
        <v/>
      </c>
    </row>
    <row r="176">
      <c r="J176" t="n">
        <v>174</v>
      </c>
      <c r="K176" t="n">
        <v>1</v>
      </c>
      <c r="L176">
        <f>$B$2*K176*(1-EXP(-(J176-$J$42-$B$3)/$B$4)*$B$4/($B$4-$B$5)+EXP(-(J176-$J$42-$B$3)/$B$5)*$B$5/($B$4-$B$5))</f>
        <v/>
      </c>
      <c r="M176">
        <f>$D$2*M175-$D$3*M174 + $D$4*K136+$D$5*K137</f>
        <v/>
      </c>
      <c r="N176">
        <f>$E$2 *N166 - $E$3 *N156 + $E$4 *K125 + $E$5 * K115</f>
        <v/>
      </c>
      <c r="O176">
        <f>$F$2 * O156 - $F$3 * O136 + $F$4 * K116 + $F$5 * K96</f>
        <v/>
      </c>
      <c r="Q176">
        <f>L176-M176</f>
        <v/>
      </c>
      <c r="R176">
        <f>L176-N176</f>
        <v/>
      </c>
      <c r="S176">
        <f>L176-O176</f>
        <v/>
      </c>
    </row>
    <row r="177">
      <c r="J177" t="n">
        <v>175</v>
      </c>
      <c r="K177" t="n">
        <v>1</v>
      </c>
      <c r="L177">
        <f>$B$2*K177*(1-EXP(-(J177-$J$42-$B$3)/$B$4)*$B$4/($B$4-$B$5)+EXP(-(J177-$J$42-$B$3)/$B$5)*$B$5/($B$4-$B$5))</f>
        <v/>
      </c>
      <c r="M177">
        <f>$D$2*M176-$D$3*M175 + $D$4*K137+$D$5*K138</f>
        <v/>
      </c>
      <c r="N177">
        <f>$E$2 *N167 - $E$3 *N157 + $E$4 *K126 + $E$5 * K116</f>
        <v/>
      </c>
      <c r="O177">
        <f>$F$2 * O157 - $F$3 * O137 + $F$4 * K117 + $F$5 * K97</f>
        <v/>
      </c>
      <c r="Q177">
        <f>L177-M177</f>
        <v/>
      </c>
      <c r="R177">
        <f>L177-N177</f>
        <v/>
      </c>
      <c r="S177">
        <f>L177-O177</f>
        <v/>
      </c>
    </row>
    <row r="178">
      <c r="J178" t="n">
        <v>176</v>
      </c>
      <c r="K178" t="n">
        <v>1</v>
      </c>
      <c r="L178">
        <f>$B$2*K178*(1-EXP(-(J178-$J$42-$B$3)/$B$4)*$B$4/($B$4-$B$5)+EXP(-(J178-$J$42-$B$3)/$B$5)*$B$5/($B$4-$B$5))</f>
        <v/>
      </c>
      <c r="M178">
        <f>$D$2*M177-$D$3*M176 + $D$4*K138+$D$5*K139</f>
        <v/>
      </c>
      <c r="N178">
        <f>$E$2 *N168 - $E$3 *N158 + $E$4 *K127 + $E$5 * K117</f>
        <v/>
      </c>
      <c r="O178">
        <f>$F$2 * O158 - $F$3 * O138 + $F$4 * K118 + $F$5 * K98</f>
        <v/>
      </c>
      <c r="Q178">
        <f>L178-M178</f>
        <v/>
      </c>
      <c r="R178">
        <f>L178-N178</f>
        <v/>
      </c>
      <c r="S178">
        <f>L178-O178</f>
        <v/>
      </c>
    </row>
    <row r="179">
      <c r="J179" t="n">
        <v>177</v>
      </c>
      <c r="K179" t="n">
        <v>1</v>
      </c>
      <c r="L179">
        <f>$B$2*K179*(1-EXP(-(J179-$J$42-$B$3)/$B$4)*$B$4/($B$4-$B$5)+EXP(-(J179-$J$42-$B$3)/$B$5)*$B$5/($B$4-$B$5))</f>
        <v/>
      </c>
      <c r="M179">
        <f>$D$2*M178-$D$3*M177 + $D$4*K139+$D$5*K140</f>
        <v/>
      </c>
      <c r="N179">
        <f>$E$2 *N169 - $E$3 *N159 + $E$4 *K128 + $E$5 * K118</f>
        <v/>
      </c>
      <c r="O179">
        <f>$F$2 * O159 - $F$3 * O139 + $F$4 * K119 + $F$5 * K99</f>
        <v/>
      </c>
      <c r="Q179">
        <f>L179-M179</f>
        <v/>
      </c>
      <c r="R179">
        <f>L179-N179</f>
        <v/>
      </c>
      <c r="S179">
        <f>L179-O179</f>
        <v/>
      </c>
    </row>
    <row r="180">
      <c r="J180" t="n">
        <v>178</v>
      </c>
      <c r="K180" t="n">
        <v>1</v>
      </c>
      <c r="L180">
        <f>$B$2*K180*(1-EXP(-(J180-$J$42-$B$3)/$B$4)*$B$4/($B$4-$B$5)+EXP(-(J180-$J$42-$B$3)/$B$5)*$B$5/($B$4-$B$5))</f>
        <v/>
      </c>
      <c r="M180">
        <f>$D$2*M179-$D$3*M178 + $D$4*K140+$D$5*K141</f>
        <v/>
      </c>
      <c r="N180">
        <f>$E$2 *N170 - $E$3 *N160 + $E$4 *K129 + $E$5 * K119</f>
        <v/>
      </c>
      <c r="O180">
        <f>$F$2 * O160 - $F$3 * O140 + $F$4 * K120 + $F$5 * K100</f>
        <v/>
      </c>
      <c r="Q180">
        <f>L180-M180</f>
        <v/>
      </c>
      <c r="R180">
        <f>L180-N180</f>
        <v/>
      </c>
      <c r="S180">
        <f>L180-O180</f>
        <v/>
      </c>
    </row>
    <row r="181">
      <c r="J181" t="n">
        <v>179</v>
      </c>
      <c r="K181" t="n">
        <v>1</v>
      </c>
      <c r="L181">
        <f>$B$2*K181*(1-EXP(-(J181-$J$42-$B$3)/$B$4)*$B$4/($B$4-$B$5)+EXP(-(J181-$J$42-$B$3)/$B$5)*$B$5/($B$4-$B$5))</f>
        <v/>
      </c>
      <c r="M181">
        <f>$D$2*M180-$D$3*M179 + $D$4*K141+$D$5*K142</f>
        <v/>
      </c>
      <c r="N181">
        <f>$E$2 *N171 - $E$3 *N161 + $E$4 *K130 + $E$5 * K120</f>
        <v/>
      </c>
      <c r="O181">
        <f>$F$2 * O161 - $F$3 * O141 + $F$4 * K121 + $F$5 * K101</f>
        <v/>
      </c>
      <c r="Q181">
        <f>L181-M181</f>
        <v/>
      </c>
      <c r="R181">
        <f>L181-N181</f>
        <v/>
      </c>
      <c r="S181">
        <f>L181-O181</f>
        <v/>
      </c>
    </row>
    <row r="182">
      <c r="J182" t="n">
        <v>180</v>
      </c>
      <c r="K182" t="n">
        <v>1</v>
      </c>
      <c r="L182">
        <f>$B$2*K182*(1-EXP(-(J182-$J$42-$B$3)/$B$4)*$B$4/($B$4-$B$5)+EXP(-(J182-$J$42-$B$3)/$B$5)*$B$5/($B$4-$B$5))</f>
        <v/>
      </c>
      <c r="M182">
        <f>$D$2*M181-$D$3*M180 + $D$4*K142+$D$5*K143</f>
        <v/>
      </c>
      <c r="N182">
        <f>$E$2 *N172 - $E$3 *N162 + $E$4 *K131 + $E$5 * K121</f>
        <v/>
      </c>
      <c r="O182">
        <f>$F$2 * O162 - $F$3 * O142 + $F$4 * K122 + $F$5 * K102</f>
        <v/>
      </c>
      <c r="Q182">
        <f>L182-M182</f>
        <v/>
      </c>
      <c r="R182">
        <f>L182-N182</f>
        <v/>
      </c>
      <c r="S182">
        <f>L182-O182</f>
        <v/>
      </c>
    </row>
    <row r="183">
      <c r="J183" t="n">
        <v>181</v>
      </c>
      <c r="K183" t="n">
        <v>1</v>
      </c>
      <c r="L183">
        <f>$B$2*K183*(1-EXP(-(J183-$J$42-$B$3)/$B$4)*$B$4/($B$4-$B$5)+EXP(-(J183-$J$42-$B$3)/$B$5)*$B$5/($B$4-$B$5))</f>
        <v/>
      </c>
      <c r="M183">
        <f>$D$2*M182-$D$3*M181 + $D$4*K143+$D$5*K144</f>
        <v/>
      </c>
      <c r="N183">
        <f>$E$2 *N173 - $E$3 *N163 + $E$4 *K132 + $E$5 * K122</f>
        <v/>
      </c>
      <c r="O183">
        <f>$F$2 * O163 - $F$3 * O143 + $F$4 * K123 + $F$5 * K103</f>
        <v/>
      </c>
      <c r="Q183">
        <f>L183-M183</f>
        <v/>
      </c>
      <c r="R183">
        <f>L183-N183</f>
        <v/>
      </c>
      <c r="S183">
        <f>L183-O183</f>
        <v/>
      </c>
    </row>
    <row r="184">
      <c r="J184" t="n">
        <v>182</v>
      </c>
      <c r="K184" t="n">
        <v>1</v>
      </c>
      <c r="L184">
        <f>$B$2*K184*(1-EXP(-(J184-$J$42-$B$3)/$B$4)*$B$4/($B$4-$B$5)+EXP(-(J184-$J$42-$B$3)/$B$5)*$B$5/($B$4-$B$5))</f>
        <v/>
      </c>
      <c r="M184">
        <f>$D$2*M183-$D$3*M182 + $D$4*K144+$D$5*K145</f>
        <v/>
      </c>
      <c r="N184">
        <f>$E$2 *N174 - $E$3 *N164 + $E$4 *K133 + $E$5 * K123</f>
        <v/>
      </c>
      <c r="O184">
        <f>$F$2 * O164 - $F$3 * O144 + $F$4 * K124 + $F$5 * K104</f>
        <v/>
      </c>
      <c r="Q184">
        <f>L184-M184</f>
        <v/>
      </c>
      <c r="R184">
        <f>L184-N184</f>
        <v/>
      </c>
      <c r="S184">
        <f>L184-O184</f>
        <v/>
      </c>
    </row>
    <row r="185">
      <c r="J185" t="n">
        <v>183</v>
      </c>
      <c r="K185" t="n">
        <v>1</v>
      </c>
      <c r="L185">
        <f>$B$2*K185*(1-EXP(-(J185-$J$42-$B$3)/$B$4)*$B$4/($B$4-$B$5)+EXP(-(J185-$J$42-$B$3)/$B$5)*$B$5/($B$4-$B$5))</f>
        <v/>
      </c>
      <c r="M185">
        <f>$D$2*M184-$D$3*M183 + $D$4*K145+$D$5*K146</f>
        <v/>
      </c>
      <c r="N185">
        <f>$E$2 *N175 - $E$3 *N165 + $E$4 *K134 + $E$5 * K124</f>
        <v/>
      </c>
      <c r="O185">
        <f>$F$2 * O165 - $F$3 * O145 + $F$4 * K125 + $F$5 * K105</f>
        <v/>
      </c>
      <c r="Q185">
        <f>L185-M185</f>
        <v/>
      </c>
      <c r="R185">
        <f>L185-N185</f>
        <v/>
      </c>
      <c r="S185">
        <f>L185-O185</f>
        <v/>
      </c>
    </row>
    <row r="186">
      <c r="J186" t="n">
        <v>184</v>
      </c>
      <c r="K186" t="n">
        <v>1</v>
      </c>
      <c r="L186">
        <f>$B$2*K186*(1-EXP(-(J186-$J$42-$B$3)/$B$4)*$B$4/($B$4-$B$5)+EXP(-(J186-$J$42-$B$3)/$B$5)*$B$5/($B$4-$B$5))</f>
        <v/>
      </c>
      <c r="M186">
        <f>$D$2*M185-$D$3*M184 + $D$4*K146+$D$5*K147</f>
        <v/>
      </c>
      <c r="N186">
        <f>$E$2 *N176 - $E$3 *N166 + $E$4 *K135 + $E$5 * K125</f>
        <v/>
      </c>
      <c r="O186">
        <f>$F$2 * O166 - $F$3 * O146 + $F$4 * K126 + $F$5 * K106</f>
        <v/>
      </c>
      <c r="Q186">
        <f>L186-M186</f>
        <v/>
      </c>
      <c r="R186">
        <f>L186-N186</f>
        <v/>
      </c>
      <c r="S186">
        <f>L186-O186</f>
        <v/>
      </c>
    </row>
    <row r="187">
      <c r="J187" t="n">
        <v>185</v>
      </c>
      <c r="K187" t="n">
        <v>1</v>
      </c>
      <c r="L187">
        <f>$B$2*K187*(1-EXP(-(J187-$J$42-$B$3)/$B$4)*$B$4/($B$4-$B$5)+EXP(-(J187-$J$42-$B$3)/$B$5)*$B$5/($B$4-$B$5))</f>
        <v/>
      </c>
      <c r="M187">
        <f>$D$2*M186-$D$3*M185 + $D$4*K147+$D$5*K148</f>
        <v/>
      </c>
      <c r="N187">
        <f>$E$2 *N177 - $E$3 *N167 + $E$4 *K136 + $E$5 * K126</f>
        <v/>
      </c>
      <c r="O187">
        <f>$F$2 * O167 - $F$3 * O147 + $F$4 * K127 + $F$5 * K107</f>
        <v/>
      </c>
      <c r="Q187">
        <f>L187-M187</f>
        <v/>
      </c>
      <c r="R187">
        <f>L187-N187</f>
        <v/>
      </c>
      <c r="S187">
        <f>L187-O187</f>
        <v/>
      </c>
    </row>
    <row r="188">
      <c r="J188" t="n">
        <v>186</v>
      </c>
      <c r="K188" t="n">
        <v>1</v>
      </c>
      <c r="L188">
        <f>$B$2*K188*(1-EXP(-(J188-$J$42-$B$3)/$B$4)*$B$4/($B$4-$B$5)+EXP(-(J188-$J$42-$B$3)/$B$5)*$B$5/($B$4-$B$5))</f>
        <v/>
      </c>
      <c r="M188">
        <f>$D$2*M187-$D$3*M186 + $D$4*K148+$D$5*K149</f>
        <v/>
      </c>
      <c r="N188">
        <f>$E$2 *N178 - $E$3 *N168 + $E$4 *K137 + $E$5 * K127</f>
        <v/>
      </c>
      <c r="O188">
        <f>$F$2 * O168 - $F$3 * O148 + $F$4 * K128 + $F$5 * K108</f>
        <v/>
      </c>
      <c r="Q188">
        <f>L188-M188</f>
        <v/>
      </c>
      <c r="R188">
        <f>L188-N188</f>
        <v/>
      </c>
      <c r="S188">
        <f>L188-O188</f>
        <v/>
      </c>
    </row>
    <row r="189">
      <c r="J189" t="n">
        <v>187</v>
      </c>
      <c r="K189" t="n">
        <v>1</v>
      </c>
      <c r="L189">
        <f>$B$2*K189*(1-EXP(-(J189-$J$42-$B$3)/$B$4)*$B$4/($B$4-$B$5)+EXP(-(J189-$J$42-$B$3)/$B$5)*$B$5/($B$4-$B$5))</f>
        <v/>
      </c>
      <c r="M189">
        <f>$D$2*M188-$D$3*M187 + $D$4*K149+$D$5*K150</f>
        <v/>
      </c>
      <c r="N189">
        <f>$E$2 *N179 - $E$3 *N169 + $E$4 *K138 + $E$5 * K128</f>
        <v/>
      </c>
      <c r="O189">
        <f>$F$2 * O169 - $F$3 * O149 + $F$4 * K129 + $F$5 * K109</f>
        <v/>
      </c>
      <c r="Q189">
        <f>L189-M189</f>
        <v/>
      </c>
      <c r="R189">
        <f>L189-N189</f>
        <v/>
      </c>
      <c r="S189">
        <f>L189-O189</f>
        <v/>
      </c>
    </row>
    <row r="190">
      <c r="J190" t="n">
        <v>188</v>
      </c>
      <c r="K190" t="n">
        <v>1</v>
      </c>
      <c r="L190">
        <f>$B$2*K190*(1-EXP(-(J190-$J$42-$B$3)/$B$4)*$B$4/($B$4-$B$5)+EXP(-(J190-$J$42-$B$3)/$B$5)*$B$5/($B$4-$B$5))</f>
        <v/>
      </c>
      <c r="M190">
        <f>$D$2*M189-$D$3*M188 + $D$4*K150+$D$5*K151</f>
        <v/>
      </c>
      <c r="N190">
        <f>$E$2 *N180 - $E$3 *N170 + $E$4 *K139 + $E$5 * K129</f>
        <v/>
      </c>
      <c r="O190">
        <f>$F$2 * O170 - $F$3 * O150 + $F$4 * K130 + $F$5 * K110</f>
        <v/>
      </c>
      <c r="Q190">
        <f>L190-M190</f>
        <v/>
      </c>
      <c r="R190">
        <f>L190-N190</f>
        <v/>
      </c>
      <c r="S190">
        <f>L190-O190</f>
        <v/>
      </c>
    </row>
    <row r="191">
      <c r="J191" t="n">
        <v>189</v>
      </c>
      <c r="K191" t="n">
        <v>1</v>
      </c>
      <c r="L191">
        <f>$B$2*K191*(1-EXP(-(J191-$J$42-$B$3)/$B$4)*$B$4/($B$4-$B$5)+EXP(-(J191-$J$42-$B$3)/$B$5)*$B$5/($B$4-$B$5))</f>
        <v/>
      </c>
      <c r="M191">
        <f>$D$2*M190-$D$3*M189 + $D$4*K151+$D$5*K152</f>
        <v/>
      </c>
      <c r="N191">
        <f>$E$2 *N181 - $E$3 *N171 + $E$4 *K140 + $E$5 * K130</f>
        <v/>
      </c>
      <c r="O191">
        <f>$F$2 * O171 - $F$3 * O151 + $F$4 * K131 + $F$5 * K111</f>
        <v/>
      </c>
      <c r="Q191">
        <f>L191-M191</f>
        <v/>
      </c>
      <c r="R191">
        <f>L191-N191</f>
        <v/>
      </c>
      <c r="S191">
        <f>L191-O191</f>
        <v/>
      </c>
    </row>
    <row r="192">
      <c r="J192" t="n">
        <v>190</v>
      </c>
      <c r="K192" t="n">
        <v>1</v>
      </c>
      <c r="L192">
        <f>$B$2*K192*(1-EXP(-(J192-$J$42-$B$3)/$B$4)*$B$4/($B$4-$B$5)+EXP(-(J192-$J$42-$B$3)/$B$5)*$B$5/($B$4-$B$5))</f>
        <v/>
      </c>
      <c r="M192">
        <f>$D$2*M191-$D$3*M190 + $D$4*K152+$D$5*K153</f>
        <v/>
      </c>
      <c r="N192">
        <f>$E$2 *N182 - $E$3 *N172 + $E$4 *K141 + $E$5 * K131</f>
        <v/>
      </c>
      <c r="O192">
        <f>$F$2 * O172 - $F$3 * O152 + $F$4 * K132 + $F$5 * K112</f>
        <v/>
      </c>
      <c r="Q192">
        <f>L192-M192</f>
        <v/>
      </c>
      <c r="R192">
        <f>L192-N192</f>
        <v/>
      </c>
      <c r="S192">
        <f>L192-O192</f>
        <v/>
      </c>
    </row>
    <row r="193">
      <c r="J193" t="n">
        <v>191</v>
      </c>
      <c r="K193" t="n">
        <v>1</v>
      </c>
      <c r="L193">
        <f>$B$2*K193*(1-EXP(-(J193-$J$42-$B$3)/$B$4)*$B$4/($B$4-$B$5)+EXP(-(J193-$J$42-$B$3)/$B$5)*$B$5/($B$4-$B$5))</f>
        <v/>
      </c>
      <c r="M193">
        <f>$D$2*M192-$D$3*M191 + $D$4*K153+$D$5*K154</f>
        <v/>
      </c>
      <c r="N193">
        <f>$E$2 *N183 - $E$3 *N173 + $E$4 *K142 + $E$5 * K132</f>
        <v/>
      </c>
      <c r="O193">
        <f>$F$2 * O173 - $F$3 * O153 + $F$4 * K133 + $F$5 * K113</f>
        <v/>
      </c>
      <c r="Q193">
        <f>L193-M193</f>
        <v/>
      </c>
      <c r="R193">
        <f>L193-N193</f>
        <v/>
      </c>
      <c r="S193">
        <f>L193-O193</f>
        <v/>
      </c>
    </row>
    <row r="194">
      <c r="J194" t="n">
        <v>192</v>
      </c>
      <c r="K194" t="n">
        <v>1</v>
      </c>
      <c r="L194">
        <f>$B$2*K194*(1-EXP(-(J194-$J$42-$B$3)/$B$4)*$B$4/($B$4-$B$5)+EXP(-(J194-$J$42-$B$3)/$B$5)*$B$5/($B$4-$B$5))</f>
        <v/>
      </c>
      <c r="M194">
        <f>$D$2*M193-$D$3*M192 + $D$4*K154+$D$5*K155</f>
        <v/>
      </c>
      <c r="N194">
        <f>$E$2 *N184 - $E$3 *N174 + $E$4 *K143 + $E$5 * K133</f>
        <v/>
      </c>
      <c r="O194">
        <f>$F$2 * O174 - $F$3 * O154 + $F$4 * K134 + $F$5 * K114</f>
        <v/>
      </c>
      <c r="Q194">
        <f>L194-M194</f>
        <v/>
      </c>
      <c r="R194">
        <f>L194-N194</f>
        <v/>
      </c>
      <c r="S194">
        <f>L194-O194</f>
        <v/>
      </c>
    </row>
    <row r="195">
      <c r="J195" t="n">
        <v>193</v>
      </c>
      <c r="K195" t="n">
        <v>1</v>
      </c>
      <c r="L195">
        <f>$B$2*K195*(1-EXP(-(J195-$J$42-$B$3)/$B$4)*$B$4/($B$4-$B$5)+EXP(-(J195-$J$42-$B$3)/$B$5)*$B$5/($B$4-$B$5))</f>
        <v/>
      </c>
      <c r="M195">
        <f>$D$2*M194-$D$3*M193 + $D$4*K155+$D$5*K156</f>
        <v/>
      </c>
      <c r="N195">
        <f>$E$2 *N185 - $E$3 *N175 + $E$4 *K144 + $E$5 * K134</f>
        <v/>
      </c>
      <c r="O195">
        <f>$F$2 * O175 - $F$3 * O155 + $F$4 * K135 + $F$5 * K115</f>
        <v/>
      </c>
      <c r="Q195">
        <f>L195-M195</f>
        <v/>
      </c>
      <c r="R195">
        <f>L195-N195</f>
        <v/>
      </c>
      <c r="S195">
        <f>L195-O195</f>
        <v/>
      </c>
    </row>
    <row r="196">
      <c r="J196" t="n">
        <v>194</v>
      </c>
      <c r="K196" t="n">
        <v>1</v>
      </c>
      <c r="L196">
        <f>$B$2*K196*(1-EXP(-(J196-$J$42-$B$3)/$B$4)*$B$4/($B$4-$B$5)+EXP(-(J196-$J$42-$B$3)/$B$5)*$B$5/($B$4-$B$5))</f>
        <v/>
      </c>
      <c r="M196">
        <f>$D$2*M195-$D$3*M194 + $D$4*K156+$D$5*K157</f>
        <v/>
      </c>
      <c r="N196">
        <f>$E$2 *N186 - $E$3 *N176 + $E$4 *K145 + $E$5 * K135</f>
        <v/>
      </c>
      <c r="O196">
        <f>$F$2 * O176 - $F$3 * O156 + $F$4 * K136 + $F$5 * K116</f>
        <v/>
      </c>
      <c r="Q196">
        <f>L196-M196</f>
        <v/>
      </c>
      <c r="R196">
        <f>L196-N196</f>
        <v/>
      </c>
      <c r="S196">
        <f>L196-O196</f>
        <v/>
      </c>
    </row>
    <row r="197">
      <c r="J197" t="n">
        <v>195</v>
      </c>
      <c r="K197" t="n">
        <v>1</v>
      </c>
      <c r="L197">
        <f>$B$2*K197*(1-EXP(-(J197-$J$42-$B$3)/$B$4)*$B$4/($B$4-$B$5)+EXP(-(J197-$J$42-$B$3)/$B$5)*$B$5/($B$4-$B$5))</f>
        <v/>
      </c>
      <c r="M197">
        <f>$D$2*M196-$D$3*M195 + $D$4*K157+$D$5*K158</f>
        <v/>
      </c>
      <c r="N197">
        <f>$E$2 *N187 - $E$3 *N177 + $E$4 *K146 + $E$5 * K136</f>
        <v/>
      </c>
      <c r="O197">
        <f>$F$2 * O177 - $F$3 * O157 + $F$4 * K137 + $F$5 * K117</f>
        <v/>
      </c>
      <c r="Q197">
        <f>L197-M197</f>
        <v/>
      </c>
      <c r="R197">
        <f>L197-N197</f>
        <v/>
      </c>
      <c r="S197">
        <f>L197-O197</f>
        <v/>
      </c>
    </row>
    <row r="198">
      <c r="J198" t="n">
        <v>196</v>
      </c>
      <c r="K198" t="n">
        <v>1</v>
      </c>
      <c r="L198">
        <f>$B$2*K198*(1-EXP(-(J198-$J$42-$B$3)/$B$4)*$B$4/($B$4-$B$5)+EXP(-(J198-$J$42-$B$3)/$B$5)*$B$5/($B$4-$B$5))</f>
        <v/>
      </c>
      <c r="M198">
        <f>$D$2*M197-$D$3*M196 + $D$4*K158+$D$5*K159</f>
        <v/>
      </c>
      <c r="N198">
        <f>$E$2 *N188 - $E$3 *N178 + $E$4 *K147 + $E$5 * K137</f>
        <v/>
      </c>
      <c r="O198">
        <f>$F$2 * O178 - $F$3 * O158 + $F$4 * K138 + $F$5 * K118</f>
        <v/>
      </c>
      <c r="Q198">
        <f>L198-M198</f>
        <v/>
      </c>
      <c r="R198">
        <f>L198-N198</f>
        <v/>
      </c>
      <c r="S198">
        <f>L198-O198</f>
        <v/>
      </c>
    </row>
    <row r="199">
      <c r="J199" t="n">
        <v>197</v>
      </c>
      <c r="K199" t="n">
        <v>1</v>
      </c>
      <c r="L199">
        <f>$B$2*K199*(1-EXP(-(J199-$J$42-$B$3)/$B$4)*$B$4/($B$4-$B$5)+EXP(-(J199-$J$42-$B$3)/$B$5)*$B$5/($B$4-$B$5))</f>
        <v/>
      </c>
      <c r="M199">
        <f>$D$2*M198-$D$3*M197 + $D$4*K159+$D$5*K160</f>
        <v/>
      </c>
      <c r="N199">
        <f>$E$2 *N189 - $E$3 *N179 + $E$4 *K148 + $E$5 * K138</f>
        <v/>
      </c>
      <c r="O199">
        <f>$F$2 * O179 - $F$3 * O159 + $F$4 * K139 + $F$5 * K119</f>
        <v/>
      </c>
      <c r="Q199">
        <f>L199-M199</f>
        <v/>
      </c>
      <c r="R199">
        <f>L199-N199</f>
        <v/>
      </c>
      <c r="S199">
        <f>L199-O199</f>
        <v/>
      </c>
    </row>
    <row r="200">
      <c r="J200" t="n">
        <v>198</v>
      </c>
      <c r="K200" t="n">
        <v>1</v>
      </c>
      <c r="L200">
        <f>$B$2*K200*(1-EXP(-(J200-$J$42-$B$3)/$B$4)*$B$4/($B$4-$B$5)+EXP(-(J200-$J$42-$B$3)/$B$5)*$B$5/($B$4-$B$5))</f>
        <v/>
      </c>
      <c r="M200">
        <f>$D$2*M199-$D$3*M198 + $D$4*K160+$D$5*K161</f>
        <v/>
      </c>
      <c r="N200">
        <f>$E$2 *N190 - $E$3 *N180 + $E$4 *K149 + $E$5 * K139</f>
        <v/>
      </c>
      <c r="O200">
        <f>$F$2 * O180 - $F$3 * O160 + $F$4 * K140 + $F$5 * K120</f>
        <v/>
      </c>
      <c r="Q200">
        <f>L200-M200</f>
        <v/>
      </c>
      <c r="R200">
        <f>L200-N200</f>
        <v/>
      </c>
      <c r="S200">
        <f>L200-O200</f>
        <v/>
      </c>
    </row>
    <row r="201">
      <c r="J201" t="n">
        <v>199</v>
      </c>
      <c r="K201" t="n">
        <v>1</v>
      </c>
      <c r="L201">
        <f>$B$2*K201*(1-EXP(-(J201-$J$42-$B$3)/$B$4)*$B$4/($B$4-$B$5)+EXP(-(J201-$J$42-$B$3)/$B$5)*$B$5/($B$4-$B$5))</f>
        <v/>
      </c>
      <c r="M201">
        <f>$D$2*M200-$D$3*M199 + $D$4*K161+$D$5*K162</f>
        <v/>
      </c>
      <c r="N201">
        <f>$E$2 *N191 - $E$3 *N181 + $E$4 *K150 + $E$5 * K140</f>
        <v/>
      </c>
      <c r="O201">
        <f>$F$2 * O181 - $F$3 * O161 + $F$4 * K141 + $F$5 * K121</f>
        <v/>
      </c>
      <c r="Q201">
        <f>L201-M201</f>
        <v/>
      </c>
      <c r="R201">
        <f>L201-N201</f>
        <v/>
      </c>
      <c r="S201">
        <f>L201-O201</f>
        <v/>
      </c>
    </row>
    <row r="202">
      <c r="J202" t="n">
        <v>200</v>
      </c>
      <c r="K202" t="n">
        <v>1</v>
      </c>
      <c r="L202">
        <f>$B$2*K202*(1-EXP(-(J202-$J$42-$B$3)/$B$4)*$B$4/($B$4-$B$5)+EXP(-(J202-$J$42-$B$3)/$B$5)*$B$5/($B$4-$B$5))</f>
        <v/>
      </c>
      <c r="M202">
        <f>$D$2*M201-$D$3*M200 + $D$4*K162+$D$5*K163</f>
        <v/>
      </c>
      <c r="N202">
        <f>$E$2 *N192 - $E$3 *N182 + $E$4 *K151 + $E$5 * K141</f>
        <v/>
      </c>
      <c r="O202">
        <f>$F$2 * O182 - $F$3 * O162 + $F$4 * K142 + $F$5 * K122</f>
        <v/>
      </c>
      <c r="Q202">
        <f>L202-M202</f>
        <v/>
      </c>
      <c r="R202">
        <f>L202-N202</f>
        <v/>
      </c>
      <c r="S202">
        <f>L202-O202</f>
        <v/>
      </c>
    </row>
    <row r="203">
      <c r="J203" t="n">
        <v>201</v>
      </c>
      <c r="K203" t="n">
        <v>1</v>
      </c>
      <c r="L203">
        <f>$B$2*K203*(1-EXP(-(J203-$J$42-$B$3)/$B$4)*$B$4/($B$4-$B$5)+EXP(-(J203-$J$42-$B$3)/$B$5)*$B$5/($B$4-$B$5))</f>
        <v/>
      </c>
      <c r="M203">
        <f>$D$2*M202-$D$3*M201 + $D$4*K163+$D$5*K164</f>
        <v/>
      </c>
      <c r="N203">
        <f>$E$2 *N193 - $E$3 *N183 + $E$4 *K152 + $E$5 * K142</f>
        <v/>
      </c>
      <c r="O203">
        <f>$F$2 * O183 - $F$3 * O163 + $F$4 * K143 + $F$5 * K123</f>
        <v/>
      </c>
      <c r="Q203">
        <f>L203-M203</f>
        <v/>
      </c>
      <c r="R203">
        <f>L203-N203</f>
        <v/>
      </c>
      <c r="S203">
        <f>L203-O203</f>
        <v/>
      </c>
    </row>
    <row r="204">
      <c r="J204" t="n">
        <v>202</v>
      </c>
      <c r="K204" t="n">
        <v>1</v>
      </c>
      <c r="L204">
        <f>$B$2*K204*(1-EXP(-(J204-$J$42-$B$3)/$B$4)*$B$4/($B$4-$B$5)+EXP(-(J204-$J$42-$B$3)/$B$5)*$B$5/($B$4-$B$5))</f>
        <v/>
      </c>
      <c r="M204">
        <f>$D$2*M203-$D$3*M202 + $D$4*K164+$D$5*K165</f>
        <v/>
      </c>
      <c r="N204">
        <f>$E$2 *N194 - $E$3 *N184 + $E$4 *K153 + $E$5 * K143</f>
        <v/>
      </c>
      <c r="O204">
        <f>$F$2 * O184 - $F$3 * O164 + $F$4 * K144 + $F$5 * K124</f>
        <v/>
      </c>
      <c r="Q204">
        <f>L204-M204</f>
        <v/>
      </c>
      <c r="R204">
        <f>L204-N204</f>
        <v/>
      </c>
      <c r="S204">
        <f>L204-O204</f>
        <v/>
      </c>
    </row>
    <row r="205">
      <c r="J205" t="n">
        <v>203</v>
      </c>
      <c r="K205" t="n">
        <v>1</v>
      </c>
      <c r="L205">
        <f>$B$2*K205*(1-EXP(-(J205-$J$42-$B$3)/$B$4)*$B$4/($B$4-$B$5)+EXP(-(J205-$J$42-$B$3)/$B$5)*$B$5/($B$4-$B$5))</f>
        <v/>
      </c>
      <c r="M205">
        <f>$D$2*M204-$D$3*M203 + $D$4*K165+$D$5*K166</f>
        <v/>
      </c>
      <c r="N205">
        <f>$E$2 *N195 - $E$3 *N185 + $E$4 *K154 + $E$5 * K144</f>
        <v/>
      </c>
      <c r="O205">
        <f>$F$2 * O185 - $F$3 * O165 + $F$4 * K145 + $F$5 * K125</f>
        <v/>
      </c>
      <c r="Q205">
        <f>L205-M205</f>
        <v/>
      </c>
      <c r="R205">
        <f>L205-N205</f>
        <v/>
      </c>
      <c r="S205">
        <f>L205-O205</f>
        <v/>
      </c>
    </row>
    <row r="206">
      <c r="J206" t="n">
        <v>204</v>
      </c>
      <c r="K206" t="n">
        <v>1</v>
      </c>
      <c r="L206">
        <f>$B$2*K206*(1-EXP(-(J206-$J$42-$B$3)/$B$4)*$B$4/($B$4-$B$5)+EXP(-(J206-$J$42-$B$3)/$B$5)*$B$5/($B$4-$B$5))</f>
        <v/>
      </c>
      <c r="M206">
        <f>$D$2*M205-$D$3*M204 + $D$4*K166+$D$5*K167</f>
        <v/>
      </c>
      <c r="N206">
        <f>$E$2 *N196 - $E$3 *N186 + $E$4 *K155 + $E$5 * K145</f>
        <v/>
      </c>
      <c r="O206">
        <f>$F$2 * O186 - $F$3 * O166 + $F$4 * K146 + $F$5 * K126</f>
        <v/>
      </c>
      <c r="Q206">
        <f>L206-M206</f>
        <v/>
      </c>
      <c r="R206">
        <f>L206-N206</f>
        <v/>
      </c>
      <c r="S206">
        <f>L206-O206</f>
        <v/>
      </c>
    </row>
    <row r="207">
      <c r="J207" t="n">
        <v>205</v>
      </c>
      <c r="K207" t="n">
        <v>1</v>
      </c>
      <c r="L207">
        <f>$B$2*K207*(1-EXP(-(J207-$J$42-$B$3)/$B$4)*$B$4/($B$4-$B$5)+EXP(-(J207-$J$42-$B$3)/$B$5)*$B$5/($B$4-$B$5))</f>
        <v/>
      </c>
      <c r="M207">
        <f>$D$2*M206-$D$3*M205 + $D$4*K167+$D$5*K168</f>
        <v/>
      </c>
      <c r="N207">
        <f>$E$2 *N197 - $E$3 *N187 + $E$4 *K156 + $E$5 * K146</f>
        <v/>
      </c>
      <c r="O207">
        <f>$F$2 * O187 - $F$3 * O167 + $F$4 * K147 + $F$5 * K127</f>
        <v/>
      </c>
      <c r="Q207">
        <f>L207-M207</f>
        <v/>
      </c>
      <c r="R207">
        <f>L207-N207</f>
        <v/>
      </c>
      <c r="S207">
        <f>L207-O207</f>
        <v/>
      </c>
    </row>
    <row r="208">
      <c r="J208" t="n">
        <v>206</v>
      </c>
      <c r="K208" t="n">
        <v>1</v>
      </c>
      <c r="L208">
        <f>$B$2*K208*(1-EXP(-(J208-$J$42-$B$3)/$B$4)*$B$4/($B$4-$B$5)+EXP(-(J208-$J$42-$B$3)/$B$5)*$B$5/($B$4-$B$5))</f>
        <v/>
      </c>
      <c r="M208">
        <f>$D$2*M207-$D$3*M206 + $D$4*K168+$D$5*K169</f>
        <v/>
      </c>
      <c r="N208">
        <f>$E$2 *N198 - $E$3 *N188 + $E$4 *K157 + $E$5 * K147</f>
        <v/>
      </c>
      <c r="O208">
        <f>$F$2 * O188 - $F$3 * O168 + $F$4 * K148 + $F$5 * K128</f>
        <v/>
      </c>
      <c r="Q208">
        <f>L208-M208</f>
        <v/>
      </c>
      <c r="R208">
        <f>L208-N208</f>
        <v/>
      </c>
      <c r="S208">
        <f>L208-O208</f>
        <v/>
      </c>
    </row>
    <row r="209">
      <c r="J209" t="n">
        <v>207</v>
      </c>
      <c r="K209" t="n">
        <v>1</v>
      </c>
      <c r="L209">
        <f>$B$2*K209*(1-EXP(-(J209-$J$42-$B$3)/$B$4)*$B$4/($B$4-$B$5)+EXP(-(J209-$J$42-$B$3)/$B$5)*$B$5/($B$4-$B$5))</f>
        <v/>
      </c>
      <c r="M209">
        <f>$D$2*M208-$D$3*M207 + $D$4*K169+$D$5*K170</f>
        <v/>
      </c>
      <c r="N209">
        <f>$E$2 *N199 - $E$3 *N189 + $E$4 *K158 + $E$5 * K148</f>
        <v/>
      </c>
      <c r="O209">
        <f>$F$2 * O189 - $F$3 * O169 + $F$4 * K149 + $F$5 * K129</f>
        <v/>
      </c>
      <c r="Q209">
        <f>L209-M209</f>
        <v/>
      </c>
      <c r="R209">
        <f>L209-N209</f>
        <v/>
      </c>
      <c r="S209">
        <f>L209-O209</f>
        <v/>
      </c>
    </row>
    <row r="210">
      <c r="J210" t="n">
        <v>208</v>
      </c>
      <c r="K210" t="n">
        <v>1</v>
      </c>
      <c r="L210">
        <f>$B$2*K210*(1-EXP(-(J210-$J$42-$B$3)/$B$4)*$B$4/($B$4-$B$5)+EXP(-(J210-$J$42-$B$3)/$B$5)*$B$5/($B$4-$B$5))</f>
        <v/>
      </c>
      <c r="M210">
        <f>$D$2*M209-$D$3*M208 + $D$4*K170+$D$5*K171</f>
        <v/>
      </c>
      <c r="N210">
        <f>$E$2 *N200 - $E$3 *N190 + $E$4 *K159 + $E$5 * K149</f>
        <v/>
      </c>
      <c r="O210">
        <f>$F$2 * O190 - $F$3 * O170 + $F$4 * K150 + $F$5 * K130</f>
        <v/>
      </c>
      <c r="Q210">
        <f>L210-M210</f>
        <v/>
      </c>
      <c r="R210">
        <f>L210-N210</f>
        <v/>
      </c>
      <c r="S210">
        <f>L210-O210</f>
        <v/>
      </c>
    </row>
    <row r="211">
      <c r="J211" t="n">
        <v>209</v>
      </c>
      <c r="K211" t="n">
        <v>1</v>
      </c>
      <c r="L211">
        <f>$B$2*K211*(1-EXP(-(J211-$J$42-$B$3)/$B$4)*$B$4/($B$4-$B$5)+EXP(-(J211-$J$42-$B$3)/$B$5)*$B$5/($B$4-$B$5))</f>
        <v/>
      </c>
      <c r="M211">
        <f>$D$2*M210-$D$3*M209 + $D$4*K171+$D$5*K172</f>
        <v/>
      </c>
      <c r="N211">
        <f>$E$2 *N201 - $E$3 *N191 + $E$4 *K160 + $E$5 * K150</f>
        <v/>
      </c>
      <c r="O211">
        <f>$F$2 * O191 - $F$3 * O171 + $F$4 * K151 + $F$5 * K131</f>
        <v/>
      </c>
      <c r="Q211">
        <f>L211-M211</f>
        <v/>
      </c>
      <c r="R211">
        <f>L211-N211</f>
        <v/>
      </c>
      <c r="S211">
        <f>L211-O211</f>
        <v/>
      </c>
    </row>
    <row r="212">
      <c r="J212" t="n">
        <v>210</v>
      </c>
      <c r="K212" t="n">
        <v>1</v>
      </c>
      <c r="L212">
        <f>$B$2*K212*(1-EXP(-(J212-$J$42-$B$3)/$B$4)*$B$4/($B$4-$B$5)+EXP(-(J212-$J$42-$B$3)/$B$5)*$B$5/($B$4-$B$5))</f>
        <v/>
      </c>
      <c r="M212">
        <f>$D$2*M211-$D$3*M210 + $D$4*K172+$D$5*K173</f>
        <v/>
      </c>
      <c r="N212">
        <f>$E$2 *N202 - $E$3 *N192 + $E$4 *K161 + $E$5 * K151</f>
        <v/>
      </c>
      <c r="O212">
        <f>$F$2 * O192 - $F$3 * O172 + $F$4 * K152 + $F$5 * K132</f>
        <v/>
      </c>
      <c r="Q212">
        <f>L212-M212</f>
        <v/>
      </c>
      <c r="R212">
        <f>L212-N212</f>
        <v/>
      </c>
      <c r="S212">
        <f>L212-O212</f>
        <v/>
      </c>
    </row>
    <row r="213">
      <c r="J213" t="n">
        <v>211</v>
      </c>
      <c r="K213" t="n">
        <v>1</v>
      </c>
      <c r="L213">
        <f>$B$2*K213*(1-EXP(-(J213-$J$42-$B$3)/$B$4)*$B$4/($B$4-$B$5)+EXP(-(J213-$J$42-$B$3)/$B$5)*$B$5/($B$4-$B$5))</f>
        <v/>
      </c>
      <c r="M213">
        <f>$D$2*M212-$D$3*M211 + $D$4*K173+$D$5*K174</f>
        <v/>
      </c>
      <c r="N213">
        <f>$E$2 *N203 - $E$3 *N193 + $E$4 *K162 + $E$5 * K152</f>
        <v/>
      </c>
      <c r="O213">
        <f>$F$2 * O193 - $F$3 * O173 + $F$4 * K153 + $F$5 * K133</f>
        <v/>
      </c>
      <c r="Q213">
        <f>L213-M213</f>
        <v/>
      </c>
      <c r="R213">
        <f>L213-N213</f>
        <v/>
      </c>
      <c r="S213">
        <f>L213-O213</f>
        <v/>
      </c>
    </row>
    <row r="214">
      <c r="J214" t="n">
        <v>212</v>
      </c>
      <c r="K214" t="n">
        <v>1</v>
      </c>
      <c r="L214">
        <f>$B$2*K214*(1-EXP(-(J214-$J$42-$B$3)/$B$4)*$B$4/($B$4-$B$5)+EXP(-(J214-$J$42-$B$3)/$B$5)*$B$5/($B$4-$B$5))</f>
        <v/>
      </c>
      <c r="M214">
        <f>$D$2*M213-$D$3*M212 + $D$4*K174+$D$5*K175</f>
        <v/>
      </c>
      <c r="N214">
        <f>$E$2 *N204 - $E$3 *N194 + $E$4 *K163 + $E$5 * K153</f>
        <v/>
      </c>
      <c r="O214">
        <f>$F$2 * O194 - $F$3 * O174 + $F$4 * K154 + $F$5 * K134</f>
        <v/>
      </c>
      <c r="Q214">
        <f>L214-M214</f>
        <v/>
      </c>
      <c r="R214">
        <f>L214-N214</f>
        <v/>
      </c>
      <c r="S214">
        <f>L214-O214</f>
        <v/>
      </c>
    </row>
    <row r="215">
      <c r="J215" t="n">
        <v>213</v>
      </c>
      <c r="K215" t="n">
        <v>1</v>
      </c>
      <c r="L215">
        <f>$B$2*K215*(1-EXP(-(J215-$J$42-$B$3)/$B$4)*$B$4/($B$4-$B$5)+EXP(-(J215-$J$42-$B$3)/$B$5)*$B$5/($B$4-$B$5))</f>
        <v/>
      </c>
      <c r="M215">
        <f>$D$2*M214-$D$3*M213 + $D$4*K175+$D$5*K176</f>
        <v/>
      </c>
      <c r="N215">
        <f>$E$2 *N205 - $E$3 *N195 + $E$4 *K164 + $E$5 * K154</f>
        <v/>
      </c>
      <c r="O215">
        <f>$F$2 * O195 - $F$3 * O175 + $F$4 * K155 + $F$5 * K135</f>
        <v/>
      </c>
      <c r="Q215">
        <f>L215-M215</f>
        <v/>
      </c>
      <c r="R215">
        <f>L215-N215</f>
        <v/>
      </c>
      <c r="S215">
        <f>L215-O215</f>
        <v/>
      </c>
    </row>
    <row r="216">
      <c r="J216" t="n">
        <v>214</v>
      </c>
      <c r="K216" t="n">
        <v>1</v>
      </c>
      <c r="L216">
        <f>$B$2*K216*(1-EXP(-(J216-$J$42-$B$3)/$B$4)*$B$4/($B$4-$B$5)+EXP(-(J216-$J$42-$B$3)/$B$5)*$B$5/($B$4-$B$5))</f>
        <v/>
      </c>
      <c r="M216">
        <f>$D$2*M215-$D$3*M214 + $D$4*K176+$D$5*K177</f>
        <v/>
      </c>
      <c r="N216">
        <f>$E$2 *N206 - $E$3 *N196 + $E$4 *K165 + $E$5 * K155</f>
        <v/>
      </c>
      <c r="O216">
        <f>$F$2 * O196 - $F$3 * O176 + $F$4 * K156 + $F$5 * K136</f>
        <v/>
      </c>
      <c r="Q216">
        <f>L216-M216</f>
        <v/>
      </c>
      <c r="R216">
        <f>L216-N216</f>
        <v/>
      </c>
      <c r="S216">
        <f>L216-O216</f>
        <v/>
      </c>
    </row>
    <row r="217">
      <c r="J217" t="n">
        <v>215</v>
      </c>
      <c r="K217" t="n">
        <v>1</v>
      </c>
      <c r="L217">
        <f>$B$2*K217*(1-EXP(-(J217-$J$42-$B$3)/$B$4)*$B$4/($B$4-$B$5)+EXP(-(J217-$J$42-$B$3)/$B$5)*$B$5/($B$4-$B$5))</f>
        <v/>
      </c>
      <c r="M217">
        <f>$D$2*M216-$D$3*M215 + $D$4*K177+$D$5*K178</f>
        <v/>
      </c>
      <c r="N217">
        <f>$E$2 *N207 - $E$3 *N197 + $E$4 *K166 + $E$5 * K156</f>
        <v/>
      </c>
      <c r="O217">
        <f>$F$2 * O197 - $F$3 * O177 + $F$4 * K157 + $F$5 * K137</f>
        <v/>
      </c>
      <c r="Q217">
        <f>L217-M217</f>
        <v/>
      </c>
      <c r="R217">
        <f>L217-N217</f>
        <v/>
      </c>
      <c r="S217">
        <f>L217-O217</f>
        <v/>
      </c>
    </row>
    <row r="218">
      <c r="J218" t="n">
        <v>216</v>
      </c>
      <c r="K218" t="n">
        <v>1</v>
      </c>
      <c r="L218">
        <f>$B$2*K218*(1-EXP(-(J218-$J$42-$B$3)/$B$4)*$B$4/($B$4-$B$5)+EXP(-(J218-$J$42-$B$3)/$B$5)*$B$5/($B$4-$B$5))</f>
        <v/>
      </c>
      <c r="M218">
        <f>$D$2*M217-$D$3*M216 + $D$4*K178+$D$5*K179</f>
        <v/>
      </c>
      <c r="N218">
        <f>$E$2 *N208 - $E$3 *N198 + $E$4 *K167 + $E$5 * K157</f>
        <v/>
      </c>
      <c r="O218">
        <f>$F$2 * O198 - $F$3 * O178 + $F$4 * K158 + $F$5 * K138</f>
        <v/>
      </c>
      <c r="Q218">
        <f>L218-M218</f>
        <v/>
      </c>
      <c r="R218">
        <f>L218-N218</f>
        <v/>
      </c>
      <c r="S218">
        <f>L218-O218</f>
        <v/>
      </c>
    </row>
    <row r="219">
      <c r="J219" t="n">
        <v>217</v>
      </c>
      <c r="K219" t="n">
        <v>1</v>
      </c>
      <c r="L219">
        <f>$B$2*K219*(1-EXP(-(J219-$J$42-$B$3)/$B$4)*$B$4/($B$4-$B$5)+EXP(-(J219-$J$42-$B$3)/$B$5)*$B$5/($B$4-$B$5))</f>
        <v/>
      </c>
      <c r="M219">
        <f>$D$2*M218-$D$3*M217 + $D$4*K179+$D$5*K180</f>
        <v/>
      </c>
      <c r="N219">
        <f>$E$2 *N209 - $E$3 *N199 + $E$4 *K168 + $E$5 * K158</f>
        <v/>
      </c>
      <c r="O219">
        <f>$F$2 * O199 - $F$3 * O179 + $F$4 * K159 + $F$5 * K139</f>
        <v/>
      </c>
      <c r="Q219">
        <f>L219-M219</f>
        <v/>
      </c>
      <c r="R219">
        <f>L219-N219</f>
        <v/>
      </c>
      <c r="S219">
        <f>L219-O219</f>
        <v/>
      </c>
    </row>
    <row r="220">
      <c r="J220" t="n">
        <v>218</v>
      </c>
      <c r="K220" t="n">
        <v>1</v>
      </c>
      <c r="L220">
        <f>$B$2*K220*(1-EXP(-(J220-$J$42-$B$3)/$B$4)*$B$4/($B$4-$B$5)+EXP(-(J220-$J$42-$B$3)/$B$5)*$B$5/($B$4-$B$5))</f>
        <v/>
      </c>
      <c r="M220">
        <f>$D$2*M219-$D$3*M218 + $D$4*K180+$D$5*K181</f>
        <v/>
      </c>
      <c r="N220">
        <f>$E$2 *N210 - $E$3 *N200 + $E$4 *K169 + $E$5 * K159</f>
        <v/>
      </c>
      <c r="O220">
        <f>$F$2 * O200 - $F$3 * O180 + $F$4 * K160 + $F$5 * K140</f>
        <v/>
      </c>
      <c r="Q220">
        <f>L220-M220</f>
        <v/>
      </c>
      <c r="R220">
        <f>L220-N220</f>
        <v/>
      </c>
      <c r="S220">
        <f>L220-O220</f>
        <v/>
      </c>
    </row>
    <row r="221">
      <c r="J221" t="n">
        <v>219</v>
      </c>
      <c r="K221" t="n">
        <v>1</v>
      </c>
      <c r="L221">
        <f>$B$2*K221*(1-EXP(-(J221-$J$42-$B$3)/$B$4)*$B$4/($B$4-$B$5)+EXP(-(J221-$J$42-$B$3)/$B$5)*$B$5/($B$4-$B$5))</f>
        <v/>
      </c>
      <c r="M221">
        <f>$D$2*M220-$D$3*M219 + $D$4*K181+$D$5*K182</f>
        <v/>
      </c>
      <c r="N221">
        <f>$E$2 *N211 - $E$3 *N201 + $E$4 *K170 + $E$5 * K160</f>
        <v/>
      </c>
      <c r="O221">
        <f>$F$2 * O201 - $F$3 * O181 + $F$4 * K161 + $F$5 * K141</f>
        <v/>
      </c>
      <c r="Q221">
        <f>L221-M221</f>
        <v/>
      </c>
      <c r="R221">
        <f>L221-N221</f>
        <v/>
      </c>
      <c r="S221">
        <f>L221-O221</f>
        <v/>
      </c>
    </row>
    <row r="222">
      <c r="J222" t="n">
        <v>220</v>
      </c>
      <c r="K222" t="n">
        <v>1</v>
      </c>
      <c r="L222">
        <f>$B$2*K222*(1-EXP(-(J222-$J$42-$B$3)/$B$4)*$B$4/($B$4-$B$5)+EXP(-(J222-$J$42-$B$3)/$B$5)*$B$5/($B$4-$B$5))</f>
        <v/>
      </c>
      <c r="M222">
        <f>$D$2*M221-$D$3*M220 + $D$4*K182+$D$5*K183</f>
        <v/>
      </c>
      <c r="N222">
        <f>$E$2 *N212 - $E$3 *N202 + $E$4 *K171 + $E$5 * K161</f>
        <v/>
      </c>
      <c r="O222">
        <f>$F$2 * O202 - $F$3 * O182 + $F$4 * K162 + $F$5 * K142</f>
        <v/>
      </c>
      <c r="Q222">
        <f>L222-M222</f>
        <v/>
      </c>
      <c r="R222">
        <f>L222-N222</f>
        <v/>
      </c>
      <c r="S222">
        <f>L222-O222</f>
        <v/>
      </c>
    </row>
    <row r="223">
      <c r="J223" t="n">
        <v>221</v>
      </c>
      <c r="K223" t="n">
        <v>1</v>
      </c>
      <c r="L223">
        <f>$B$2*K223*(1-EXP(-(J223-$J$42-$B$3)/$B$4)*$B$4/($B$4-$B$5)+EXP(-(J223-$J$42-$B$3)/$B$5)*$B$5/($B$4-$B$5))</f>
        <v/>
      </c>
      <c r="M223">
        <f>$D$2*M222-$D$3*M221 + $D$4*K183+$D$5*K184</f>
        <v/>
      </c>
      <c r="N223">
        <f>$E$2 *N213 - $E$3 *N203 + $E$4 *K172 + $E$5 * K162</f>
        <v/>
      </c>
      <c r="O223">
        <f>$F$2 * O203 - $F$3 * O183 + $F$4 * K163 + $F$5 * K143</f>
        <v/>
      </c>
      <c r="Q223">
        <f>L223-M223</f>
        <v/>
      </c>
      <c r="R223">
        <f>L223-N223</f>
        <v/>
      </c>
      <c r="S223">
        <f>L223-O223</f>
        <v/>
      </c>
    </row>
    <row r="224">
      <c r="J224" t="n">
        <v>222</v>
      </c>
      <c r="K224" t="n">
        <v>1</v>
      </c>
      <c r="L224">
        <f>$B$2*K224*(1-EXP(-(J224-$J$42-$B$3)/$B$4)*$B$4/($B$4-$B$5)+EXP(-(J224-$J$42-$B$3)/$B$5)*$B$5/($B$4-$B$5))</f>
        <v/>
      </c>
      <c r="M224">
        <f>$D$2*M223-$D$3*M222 + $D$4*K184+$D$5*K185</f>
        <v/>
      </c>
      <c r="N224">
        <f>$E$2 *N214 - $E$3 *N204 + $E$4 *K173 + $E$5 * K163</f>
        <v/>
      </c>
      <c r="O224">
        <f>$F$2 * O204 - $F$3 * O184 + $F$4 * K164 + $F$5 * K144</f>
        <v/>
      </c>
      <c r="Q224">
        <f>L224-M224</f>
        <v/>
      </c>
      <c r="R224">
        <f>L224-N224</f>
        <v/>
      </c>
      <c r="S224">
        <f>L224-O224</f>
        <v/>
      </c>
    </row>
    <row r="225">
      <c r="J225" t="n">
        <v>223</v>
      </c>
      <c r="K225" t="n">
        <v>1</v>
      </c>
      <c r="L225">
        <f>$B$2*K225*(1-EXP(-(J225-$J$42-$B$3)/$B$4)*$B$4/($B$4-$B$5)+EXP(-(J225-$J$42-$B$3)/$B$5)*$B$5/($B$4-$B$5))</f>
        <v/>
      </c>
      <c r="M225">
        <f>$D$2*M224-$D$3*M223 + $D$4*K185+$D$5*K186</f>
        <v/>
      </c>
      <c r="N225">
        <f>$E$2 *N215 - $E$3 *N205 + $E$4 *K174 + $E$5 * K164</f>
        <v/>
      </c>
      <c r="O225">
        <f>$F$2 * O205 - $F$3 * O185 + $F$4 * K165 + $F$5 * K145</f>
        <v/>
      </c>
      <c r="Q225">
        <f>L225-M225</f>
        <v/>
      </c>
      <c r="R225">
        <f>L225-N225</f>
        <v/>
      </c>
      <c r="S225">
        <f>L225-O225</f>
        <v/>
      </c>
    </row>
    <row r="226">
      <c r="J226" t="n">
        <v>224</v>
      </c>
      <c r="K226" t="n">
        <v>1</v>
      </c>
      <c r="L226">
        <f>$B$2*K226*(1-EXP(-(J226-$J$42-$B$3)/$B$4)*$B$4/($B$4-$B$5)+EXP(-(J226-$J$42-$B$3)/$B$5)*$B$5/($B$4-$B$5))</f>
        <v/>
      </c>
      <c r="M226">
        <f>$D$2*M225-$D$3*M224 + $D$4*K186+$D$5*K187</f>
        <v/>
      </c>
      <c r="N226">
        <f>$E$2 *N216 - $E$3 *N206 + $E$4 *K175 + $E$5 * K165</f>
        <v/>
      </c>
      <c r="O226">
        <f>$F$2 * O206 - $F$3 * O186 + $F$4 * K166 + $F$5 * K146</f>
        <v/>
      </c>
      <c r="Q226">
        <f>L226-M226</f>
        <v/>
      </c>
      <c r="R226">
        <f>L226-N226</f>
        <v/>
      </c>
      <c r="S226">
        <f>L226-O226</f>
        <v/>
      </c>
    </row>
    <row r="227">
      <c r="J227" t="n">
        <v>225</v>
      </c>
      <c r="K227" t="n">
        <v>1</v>
      </c>
      <c r="L227">
        <f>$B$2*K227*(1-EXP(-(J227-$J$42-$B$3)/$B$4)*$B$4/($B$4-$B$5)+EXP(-(J227-$J$42-$B$3)/$B$5)*$B$5/($B$4-$B$5))</f>
        <v/>
      </c>
      <c r="M227">
        <f>$D$2*M226-$D$3*M225 + $D$4*K187+$D$5*K188</f>
        <v/>
      </c>
      <c r="N227">
        <f>$E$2 *N217 - $E$3 *N207 + $E$4 *K176 + $E$5 * K166</f>
        <v/>
      </c>
      <c r="O227">
        <f>$F$2 * O207 - $F$3 * O187 + $F$4 * K167 + $F$5 * K147</f>
        <v/>
      </c>
      <c r="Q227">
        <f>L227-M227</f>
        <v/>
      </c>
      <c r="R227">
        <f>L227-N227</f>
        <v/>
      </c>
      <c r="S227">
        <f>L227-O227</f>
        <v/>
      </c>
    </row>
    <row r="228">
      <c r="J228" t="n">
        <v>226</v>
      </c>
      <c r="K228" t="n">
        <v>1</v>
      </c>
      <c r="L228">
        <f>$B$2*K228*(1-EXP(-(J228-$J$42-$B$3)/$B$4)*$B$4/($B$4-$B$5)+EXP(-(J228-$J$42-$B$3)/$B$5)*$B$5/($B$4-$B$5))</f>
        <v/>
      </c>
      <c r="M228">
        <f>$D$2*M227-$D$3*M226 + $D$4*K188+$D$5*K189</f>
        <v/>
      </c>
      <c r="N228">
        <f>$E$2 *N218 - $E$3 *N208 + $E$4 *K177 + $E$5 * K167</f>
        <v/>
      </c>
      <c r="O228">
        <f>$F$2 * O208 - $F$3 * O188 + $F$4 * K168 + $F$5 * K148</f>
        <v/>
      </c>
      <c r="Q228">
        <f>L228-M228</f>
        <v/>
      </c>
      <c r="R228">
        <f>L228-N228</f>
        <v/>
      </c>
      <c r="S228">
        <f>L228-O228</f>
        <v/>
      </c>
    </row>
    <row r="229">
      <c r="J229" t="n">
        <v>227</v>
      </c>
      <c r="K229" t="n">
        <v>1</v>
      </c>
      <c r="L229">
        <f>$B$2*K229*(1-EXP(-(J229-$J$42-$B$3)/$B$4)*$B$4/($B$4-$B$5)+EXP(-(J229-$J$42-$B$3)/$B$5)*$B$5/($B$4-$B$5))</f>
        <v/>
      </c>
      <c r="M229">
        <f>$D$2*M228-$D$3*M227 + $D$4*K189+$D$5*K190</f>
        <v/>
      </c>
      <c r="N229">
        <f>$E$2 *N219 - $E$3 *N209 + $E$4 *K178 + $E$5 * K168</f>
        <v/>
      </c>
      <c r="O229">
        <f>$F$2 * O209 - $F$3 * O189 + $F$4 * K169 + $F$5 * K149</f>
        <v/>
      </c>
      <c r="Q229">
        <f>L229-M229</f>
        <v/>
      </c>
      <c r="R229">
        <f>L229-N229</f>
        <v/>
      </c>
      <c r="S229">
        <f>L229-O229</f>
        <v/>
      </c>
    </row>
    <row r="230">
      <c r="J230" t="n">
        <v>228</v>
      </c>
      <c r="K230" t="n">
        <v>1</v>
      </c>
      <c r="L230">
        <f>$B$2*K230*(1-EXP(-(J230-$J$42-$B$3)/$B$4)*$B$4/($B$4-$B$5)+EXP(-(J230-$J$42-$B$3)/$B$5)*$B$5/($B$4-$B$5))</f>
        <v/>
      </c>
      <c r="M230">
        <f>$D$2*M229-$D$3*M228 + $D$4*K190+$D$5*K191</f>
        <v/>
      </c>
      <c r="N230">
        <f>$E$2 *N220 - $E$3 *N210 + $E$4 *K179 + $E$5 * K169</f>
        <v/>
      </c>
      <c r="O230">
        <f>$F$2 * O210 - $F$3 * O190 + $F$4 * K170 + $F$5 * K150</f>
        <v/>
      </c>
      <c r="Q230">
        <f>L230-M230</f>
        <v/>
      </c>
      <c r="R230">
        <f>L230-N230</f>
        <v/>
      </c>
      <c r="S230">
        <f>L230-O230</f>
        <v/>
      </c>
    </row>
    <row r="231">
      <c r="J231" t="n">
        <v>229</v>
      </c>
      <c r="K231" t="n">
        <v>1</v>
      </c>
      <c r="L231">
        <f>$B$2*K231*(1-EXP(-(J231-$J$42-$B$3)/$B$4)*$B$4/($B$4-$B$5)+EXP(-(J231-$J$42-$B$3)/$B$5)*$B$5/($B$4-$B$5))</f>
        <v/>
      </c>
      <c r="M231">
        <f>$D$2*M230-$D$3*M229 + $D$4*K191+$D$5*K192</f>
        <v/>
      </c>
      <c r="N231">
        <f>$E$2 *N221 - $E$3 *N211 + $E$4 *K180 + $E$5 * K170</f>
        <v/>
      </c>
      <c r="O231">
        <f>$F$2 * O211 - $F$3 * O191 + $F$4 * K171 + $F$5 * K151</f>
        <v/>
      </c>
      <c r="Q231">
        <f>L231-M231</f>
        <v/>
      </c>
      <c r="R231">
        <f>L231-N231</f>
        <v/>
      </c>
      <c r="S231">
        <f>L231-O231</f>
        <v/>
      </c>
    </row>
    <row r="232">
      <c r="J232" t="n">
        <v>230</v>
      </c>
      <c r="K232" t="n">
        <v>1</v>
      </c>
      <c r="L232">
        <f>$B$2*K232*(1-EXP(-(J232-$J$42-$B$3)/$B$4)*$B$4/($B$4-$B$5)+EXP(-(J232-$J$42-$B$3)/$B$5)*$B$5/($B$4-$B$5))</f>
        <v/>
      </c>
      <c r="M232">
        <f>$D$2*M231-$D$3*M230 + $D$4*K192+$D$5*K193</f>
        <v/>
      </c>
      <c r="N232">
        <f>$E$2 *N222 - $E$3 *N212 + $E$4 *K181 + $E$5 * K171</f>
        <v/>
      </c>
      <c r="O232">
        <f>$F$2 * O212 - $F$3 * O192 + $F$4 * K172 + $F$5 * K152</f>
        <v/>
      </c>
      <c r="Q232">
        <f>L232-M232</f>
        <v/>
      </c>
      <c r="R232">
        <f>L232-N232</f>
        <v/>
      </c>
      <c r="S232">
        <f>L232-O232</f>
        <v/>
      </c>
    </row>
    <row r="233">
      <c r="J233" t="n">
        <v>231</v>
      </c>
      <c r="K233" t="n">
        <v>1</v>
      </c>
      <c r="L233">
        <f>$B$2*K233*(1-EXP(-(J233-$J$42-$B$3)/$B$4)*$B$4/($B$4-$B$5)+EXP(-(J233-$J$42-$B$3)/$B$5)*$B$5/($B$4-$B$5))</f>
        <v/>
      </c>
      <c r="M233">
        <f>$D$2*M232-$D$3*M231 + $D$4*K193+$D$5*K194</f>
        <v/>
      </c>
      <c r="N233">
        <f>$E$2 *N223 - $E$3 *N213 + $E$4 *K182 + $E$5 * K172</f>
        <v/>
      </c>
      <c r="O233">
        <f>$F$2 * O213 - $F$3 * O193 + $F$4 * K173 + $F$5 * K153</f>
        <v/>
      </c>
      <c r="Q233">
        <f>L233-M233</f>
        <v/>
      </c>
      <c r="R233">
        <f>L233-N233</f>
        <v/>
      </c>
      <c r="S233">
        <f>L233-O233</f>
        <v/>
      </c>
    </row>
    <row r="234">
      <c r="J234" t="n">
        <v>232</v>
      </c>
      <c r="K234" t="n">
        <v>1</v>
      </c>
      <c r="L234">
        <f>$B$2*K234*(1-EXP(-(J234-$J$42-$B$3)/$B$4)*$B$4/($B$4-$B$5)+EXP(-(J234-$J$42-$B$3)/$B$5)*$B$5/($B$4-$B$5))</f>
        <v/>
      </c>
      <c r="M234">
        <f>$D$2*M233-$D$3*M232 + $D$4*K194+$D$5*K195</f>
        <v/>
      </c>
      <c r="N234">
        <f>$E$2 *N224 - $E$3 *N214 + $E$4 *K183 + $E$5 * K173</f>
        <v/>
      </c>
      <c r="O234">
        <f>$F$2 * O214 - $F$3 * O194 + $F$4 * K174 + $F$5 * K154</f>
        <v/>
      </c>
      <c r="Q234">
        <f>L234-M234</f>
        <v/>
      </c>
      <c r="R234">
        <f>L234-N234</f>
        <v/>
      </c>
      <c r="S234">
        <f>L234-O234</f>
        <v/>
      </c>
    </row>
    <row r="235">
      <c r="J235" t="n">
        <v>233</v>
      </c>
      <c r="K235" t="n">
        <v>1</v>
      </c>
      <c r="L235">
        <f>$B$2*K235*(1-EXP(-(J235-$J$42-$B$3)/$B$4)*$B$4/($B$4-$B$5)+EXP(-(J235-$J$42-$B$3)/$B$5)*$B$5/($B$4-$B$5))</f>
        <v/>
      </c>
      <c r="M235">
        <f>$D$2*M234-$D$3*M233 + $D$4*K195+$D$5*K196</f>
        <v/>
      </c>
      <c r="N235">
        <f>$E$2 *N225 - $E$3 *N215 + $E$4 *K184 + $E$5 * K174</f>
        <v/>
      </c>
      <c r="O235">
        <f>$F$2 * O215 - $F$3 * O195 + $F$4 * K175 + $F$5 * K155</f>
        <v/>
      </c>
      <c r="Q235">
        <f>L235-M235</f>
        <v/>
      </c>
      <c r="R235">
        <f>L235-N235</f>
        <v/>
      </c>
      <c r="S235">
        <f>L235-O235</f>
        <v/>
      </c>
    </row>
    <row r="236">
      <c r="J236" t="n">
        <v>234</v>
      </c>
      <c r="K236" t="n">
        <v>1</v>
      </c>
      <c r="L236">
        <f>$B$2*K236*(1-EXP(-(J236-$J$42-$B$3)/$B$4)*$B$4/($B$4-$B$5)+EXP(-(J236-$J$42-$B$3)/$B$5)*$B$5/($B$4-$B$5))</f>
        <v/>
      </c>
      <c r="M236">
        <f>$D$2*M235-$D$3*M234 + $D$4*K196+$D$5*K197</f>
        <v/>
      </c>
      <c r="N236">
        <f>$E$2 *N226 - $E$3 *N216 + $E$4 *K185 + $E$5 * K175</f>
        <v/>
      </c>
      <c r="O236">
        <f>$F$2 * O216 - $F$3 * O196 + $F$4 * K176 + $F$5 * K156</f>
        <v/>
      </c>
      <c r="Q236">
        <f>L236-M236</f>
        <v/>
      </c>
      <c r="R236">
        <f>L236-N236</f>
        <v/>
      </c>
      <c r="S236">
        <f>L236-O236</f>
        <v/>
      </c>
    </row>
    <row r="237">
      <c r="J237" t="n">
        <v>235</v>
      </c>
      <c r="K237" t="n">
        <v>1</v>
      </c>
      <c r="L237">
        <f>$B$2*K237*(1-EXP(-(J237-$J$42-$B$3)/$B$4)*$B$4/($B$4-$B$5)+EXP(-(J237-$J$42-$B$3)/$B$5)*$B$5/($B$4-$B$5))</f>
        <v/>
      </c>
      <c r="M237">
        <f>$D$2*M236-$D$3*M235 + $D$4*K197+$D$5*K198</f>
        <v/>
      </c>
      <c r="N237">
        <f>$E$2 *N227 - $E$3 *N217 + $E$4 *K186 + $E$5 * K176</f>
        <v/>
      </c>
      <c r="O237">
        <f>$F$2 * O217 - $F$3 * O197 + $F$4 * K177 + $F$5 * K157</f>
        <v/>
      </c>
      <c r="Q237">
        <f>L237-M237</f>
        <v/>
      </c>
      <c r="R237">
        <f>L237-N237</f>
        <v/>
      </c>
      <c r="S237">
        <f>L237-O237</f>
        <v/>
      </c>
    </row>
    <row r="238">
      <c r="J238" t="n">
        <v>236</v>
      </c>
      <c r="K238" t="n">
        <v>1</v>
      </c>
      <c r="L238">
        <f>$B$2*K238*(1-EXP(-(J238-$J$42-$B$3)/$B$4)*$B$4/($B$4-$B$5)+EXP(-(J238-$J$42-$B$3)/$B$5)*$B$5/($B$4-$B$5))</f>
        <v/>
      </c>
      <c r="M238">
        <f>$D$2*M237-$D$3*M236 + $D$4*K198+$D$5*K199</f>
        <v/>
      </c>
      <c r="N238">
        <f>$E$2 *N228 - $E$3 *N218 + $E$4 *K187 + $E$5 * K177</f>
        <v/>
      </c>
      <c r="O238">
        <f>$F$2 * O218 - $F$3 * O198 + $F$4 * K178 + $F$5 * K158</f>
        <v/>
      </c>
      <c r="Q238">
        <f>L238-M238</f>
        <v/>
      </c>
      <c r="R238">
        <f>L238-N238</f>
        <v/>
      </c>
      <c r="S238">
        <f>L238-O238</f>
        <v/>
      </c>
    </row>
    <row r="239">
      <c r="J239" t="n">
        <v>237</v>
      </c>
      <c r="K239" t="n">
        <v>1</v>
      </c>
      <c r="L239">
        <f>$B$2*K239*(1-EXP(-(J239-$J$42-$B$3)/$B$4)*$B$4/($B$4-$B$5)+EXP(-(J239-$J$42-$B$3)/$B$5)*$B$5/($B$4-$B$5))</f>
        <v/>
      </c>
      <c r="M239">
        <f>$D$2*M238-$D$3*M237 + $D$4*K199+$D$5*K200</f>
        <v/>
      </c>
      <c r="N239">
        <f>$E$2 *N229 - $E$3 *N219 + $E$4 *K188 + $E$5 * K178</f>
        <v/>
      </c>
      <c r="O239">
        <f>$F$2 * O219 - $F$3 * O199 + $F$4 * K179 + $F$5 * K159</f>
        <v/>
      </c>
      <c r="Q239">
        <f>L239-M239</f>
        <v/>
      </c>
      <c r="R239">
        <f>L239-N239</f>
        <v/>
      </c>
      <c r="S239">
        <f>L239-O239</f>
        <v/>
      </c>
    </row>
    <row r="240">
      <c r="J240" t="n">
        <v>238</v>
      </c>
      <c r="K240" t="n">
        <v>1</v>
      </c>
      <c r="L240">
        <f>$B$2*K240*(1-EXP(-(J240-$J$42-$B$3)/$B$4)*$B$4/($B$4-$B$5)+EXP(-(J240-$J$42-$B$3)/$B$5)*$B$5/($B$4-$B$5))</f>
        <v/>
      </c>
      <c r="M240">
        <f>$D$2*M239-$D$3*M238 + $D$4*K200+$D$5*K201</f>
        <v/>
      </c>
      <c r="N240">
        <f>$E$2 *N230 - $E$3 *N220 + $E$4 *K189 + $E$5 * K179</f>
        <v/>
      </c>
      <c r="O240">
        <f>$F$2 * O220 - $F$3 * O200 + $F$4 * K180 + $F$5 * K160</f>
        <v/>
      </c>
      <c r="Q240">
        <f>L240-M240</f>
        <v/>
      </c>
      <c r="R240">
        <f>L240-N240</f>
        <v/>
      </c>
      <c r="S240">
        <f>L240-O240</f>
        <v/>
      </c>
    </row>
    <row r="241">
      <c r="J241" t="n">
        <v>239</v>
      </c>
      <c r="K241" t="n">
        <v>1</v>
      </c>
      <c r="L241">
        <f>$B$2*K241*(1-EXP(-(J241-$J$42-$B$3)/$B$4)*$B$4/($B$4-$B$5)+EXP(-(J241-$J$42-$B$3)/$B$5)*$B$5/($B$4-$B$5))</f>
        <v/>
      </c>
      <c r="M241">
        <f>$D$2*M240-$D$3*M239 + $D$4*K201+$D$5*K202</f>
        <v/>
      </c>
      <c r="N241">
        <f>$E$2 *N231 - $E$3 *N221 + $E$4 *K190 + $E$5 * K180</f>
        <v/>
      </c>
      <c r="O241">
        <f>$F$2 * O221 - $F$3 * O201 + $F$4 * K181 + $F$5 * K161</f>
        <v/>
      </c>
      <c r="Q241">
        <f>L241-M241</f>
        <v/>
      </c>
      <c r="R241">
        <f>L241-N241</f>
        <v/>
      </c>
      <c r="S241">
        <f>L241-O241</f>
        <v/>
      </c>
    </row>
    <row r="242">
      <c r="J242" t="n">
        <v>240</v>
      </c>
      <c r="K242" t="n">
        <v>1</v>
      </c>
      <c r="L242">
        <f>$B$2*K242*(1-EXP(-(J242-$J$42-$B$3)/$B$4)*$B$4/($B$4-$B$5)+EXP(-(J242-$J$42-$B$3)/$B$5)*$B$5/($B$4-$B$5))</f>
        <v/>
      </c>
      <c r="M242">
        <f>$D$2*M241-$D$3*M240 + $D$4*K202+$D$5*K203</f>
        <v/>
      </c>
      <c r="N242">
        <f>$E$2 *N232 - $E$3 *N222 + $E$4 *K191 + $E$5 * K181</f>
        <v/>
      </c>
      <c r="O242">
        <f>$F$2 * O222 - $F$3 * O202 + $F$4 * K182 + $F$5 * K162</f>
        <v/>
      </c>
      <c r="Q242">
        <f>L242-M242</f>
        <v/>
      </c>
      <c r="R242">
        <f>L242-N242</f>
        <v/>
      </c>
      <c r="S242">
        <f>L242-O242</f>
        <v/>
      </c>
    </row>
    <row r="243">
      <c r="J243" t="n">
        <v>241</v>
      </c>
      <c r="K243" t="n">
        <v>1</v>
      </c>
      <c r="L243">
        <f>$B$2*K243*(1-EXP(-(J243-$J$42-$B$3)/$B$4)*$B$4/($B$4-$B$5)+EXP(-(J243-$J$42-$B$3)/$B$5)*$B$5/($B$4-$B$5))</f>
        <v/>
      </c>
      <c r="M243">
        <f>$D$2*M242-$D$3*M241 + $D$4*K203+$D$5*K204</f>
        <v/>
      </c>
      <c r="N243">
        <f>$E$2 *N233 - $E$3 *N223 + $E$4 *K192 + $E$5 * K182</f>
        <v/>
      </c>
      <c r="O243">
        <f>$F$2 * O223 - $F$3 * O203 + $F$4 * K183 + $F$5 * K163</f>
        <v/>
      </c>
      <c r="Q243">
        <f>L243-M243</f>
        <v/>
      </c>
      <c r="R243">
        <f>L243-N243</f>
        <v/>
      </c>
      <c r="S243">
        <f>L243-O243</f>
        <v/>
      </c>
    </row>
    <row r="244">
      <c r="J244" t="n">
        <v>242</v>
      </c>
      <c r="K244" t="n">
        <v>1</v>
      </c>
      <c r="L244">
        <f>$B$2*K244*(1-EXP(-(J244-$J$42-$B$3)/$B$4)*$B$4/($B$4-$B$5)+EXP(-(J244-$J$42-$B$3)/$B$5)*$B$5/($B$4-$B$5))</f>
        <v/>
      </c>
      <c r="M244">
        <f>$D$2*M243-$D$3*M242 + $D$4*K204+$D$5*K205</f>
        <v/>
      </c>
      <c r="N244">
        <f>$E$2 *N234 - $E$3 *N224 + $E$4 *K193 + $E$5 * K183</f>
        <v/>
      </c>
      <c r="O244">
        <f>$F$2 * O224 - $F$3 * O204 + $F$4 * K184 + $F$5 * K164</f>
        <v/>
      </c>
      <c r="Q244">
        <f>L244-M244</f>
        <v/>
      </c>
      <c r="R244">
        <f>L244-N244</f>
        <v/>
      </c>
      <c r="S244">
        <f>L244-O244</f>
        <v/>
      </c>
    </row>
    <row r="245">
      <c r="J245" t="n">
        <v>243</v>
      </c>
      <c r="K245" t="n">
        <v>1</v>
      </c>
      <c r="L245">
        <f>$B$2*K245*(1-EXP(-(J245-$J$42-$B$3)/$B$4)*$B$4/($B$4-$B$5)+EXP(-(J245-$J$42-$B$3)/$B$5)*$B$5/($B$4-$B$5))</f>
        <v/>
      </c>
      <c r="M245">
        <f>$D$2*M244-$D$3*M243 + $D$4*K205+$D$5*K206</f>
        <v/>
      </c>
      <c r="N245">
        <f>$E$2 *N235 - $E$3 *N225 + $E$4 *K194 + $E$5 * K184</f>
        <v/>
      </c>
      <c r="O245">
        <f>$F$2 * O225 - $F$3 * O205 + $F$4 * K185 + $F$5 * K165</f>
        <v/>
      </c>
      <c r="Q245">
        <f>L245-M245</f>
        <v/>
      </c>
      <c r="R245">
        <f>L245-N245</f>
        <v/>
      </c>
      <c r="S245">
        <f>L245-O245</f>
        <v/>
      </c>
    </row>
    <row r="246">
      <c r="J246" t="n">
        <v>244</v>
      </c>
      <c r="K246" t="n">
        <v>1</v>
      </c>
      <c r="L246">
        <f>$B$2*K246*(1-EXP(-(J246-$J$42-$B$3)/$B$4)*$B$4/($B$4-$B$5)+EXP(-(J246-$J$42-$B$3)/$B$5)*$B$5/($B$4-$B$5))</f>
        <v/>
      </c>
      <c r="M246">
        <f>$D$2*M245-$D$3*M244 + $D$4*K206+$D$5*K207</f>
        <v/>
      </c>
      <c r="N246">
        <f>$E$2 *N236 - $E$3 *N226 + $E$4 *K195 + $E$5 * K185</f>
        <v/>
      </c>
      <c r="O246">
        <f>$F$2 * O226 - $F$3 * O206 + $F$4 * K186 + $F$5 * K166</f>
        <v/>
      </c>
      <c r="Q246">
        <f>L246-M246</f>
        <v/>
      </c>
      <c r="R246">
        <f>L246-N246</f>
        <v/>
      </c>
      <c r="S246">
        <f>L246-O246</f>
        <v/>
      </c>
    </row>
    <row r="247">
      <c r="J247" t="n">
        <v>245</v>
      </c>
      <c r="K247" t="n">
        <v>1</v>
      </c>
      <c r="L247">
        <f>$B$2*K247*(1-EXP(-(J247-$J$42-$B$3)/$B$4)*$B$4/($B$4-$B$5)+EXP(-(J247-$J$42-$B$3)/$B$5)*$B$5/($B$4-$B$5))</f>
        <v/>
      </c>
      <c r="M247">
        <f>$D$2*M246-$D$3*M245 + $D$4*K207+$D$5*K208</f>
        <v/>
      </c>
      <c r="N247">
        <f>$E$2 *N237 - $E$3 *N227 + $E$4 *K196 + $E$5 * K186</f>
        <v/>
      </c>
      <c r="O247">
        <f>$F$2 * O227 - $F$3 * O207 + $F$4 * K187 + $F$5 * K167</f>
        <v/>
      </c>
      <c r="Q247">
        <f>L247-M247</f>
        <v/>
      </c>
      <c r="R247">
        <f>L247-N247</f>
        <v/>
      </c>
      <c r="S247">
        <f>L247-O247</f>
        <v/>
      </c>
    </row>
    <row r="248">
      <c r="J248" t="n">
        <v>246</v>
      </c>
      <c r="K248" t="n">
        <v>1</v>
      </c>
      <c r="L248">
        <f>$B$2*K248*(1-EXP(-(J248-$J$42-$B$3)/$B$4)*$B$4/($B$4-$B$5)+EXP(-(J248-$J$42-$B$3)/$B$5)*$B$5/($B$4-$B$5))</f>
        <v/>
      </c>
      <c r="M248">
        <f>$D$2*M247-$D$3*M246 + $D$4*K208+$D$5*K209</f>
        <v/>
      </c>
      <c r="N248">
        <f>$E$2 *N238 - $E$3 *N228 + $E$4 *K197 + $E$5 * K187</f>
        <v/>
      </c>
      <c r="O248">
        <f>$F$2 * O228 - $F$3 * O208 + $F$4 * K188 + $F$5 * K168</f>
        <v/>
      </c>
      <c r="Q248">
        <f>L248-M248</f>
        <v/>
      </c>
      <c r="R248">
        <f>L248-N248</f>
        <v/>
      </c>
      <c r="S248">
        <f>L248-O248</f>
        <v/>
      </c>
    </row>
    <row r="249">
      <c r="J249" t="n">
        <v>247</v>
      </c>
      <c r="K249" t="n">
        <v>1</v>
      </c>
      <c r="L249">
        <f>$B$2*K249*(1-EXP(-(J249-$J$42-$B$3)/$B$4)*$B$4/($B$4-$B$5)+EXP(-(J249-$J$42-$B$3)/$B$5)*$B$5/($B$4-$B$5))</f>
        <v/>
      </c>
      <c r="M249">
        <f>$D$2*M248-$D$3*M247 + $D$4*K209+$D$5*K210</f>
        <v/>
      </c>
      <c r="N249">
        <f>$E$2 *N239 - $E$3 *N229 + $E$4 *K198 + $E$5 * K188</f>
        <v/>
      </c>
      <c r="O249">
        <f>$F$2 * O229 - $F$3 * O209 + $F$4 * K189 + $F$5 * K169</f>
        <v/>
      </c>
      <c r="Q249">
        <f>L249-M249</f>
        <v/>
      </c>
      <c r="R249">
        <f>L249-N249</f>
        <v/>
      </c>
      <c r="S249">
        <f>L249-O249</f>
        <v/>
      </c>
    </row>
    <row r="250">
      <c r="J250" t="n">
        <v>248</v>
      </c>
      <c r="K250" t="n">
        <v>1</v>
      </c>
      <c r="L250">
        <f>$B$2*K250*(1-EXP(-(J250-$J$42-$B$3)/$B$4)*$B$4/($B$4-$B$5)+EXP(-(J250-$J$42-$B$3)/$B$5)*$B$5/($B$4-$B$5))</f>
        <v/>
      </c>
      <c r="M250">
        <f>$D$2*M249-$D$3*M248 + $D$4*K210+$D$5*K211</f>
        <v/>
      </c>
      <c r="N250">
        <f>$E$2 *N240 - $E$3 *N230 + $E$4 *K199 + $E$5 * K189</f>
        <v/>
      </c>
      <c r="O250">
        <f>$F$2 * O230 - $F$3 * O210 + $F$4 * K190 + $F$5 * K170</f>
        <v/>
      </c>
      <c r="Q250">
        <f>L250-M250</f>
        <v/>
      </c>
      <c r="R250">
        <f>L250-N250</f>
        <v/>
      </c>
      <c r="S250">
        <f>L250-O250</f>
        <v/>
      </c>
    </row>
    <row r="251">
      <c r="J251" t="n">
        <v>249</v>
      </c>
      <c r="K251" t="n">
        <v>1</v>
      </c>
      <c r="L251">
        <f>$B$2*K251*(1-EXP(-(J251-$J$42-$B$3)/$B$4)*$B$4/($B$4-$B$5)+EXP(-(J251-$J$42-$B$3)/$B$5)*$B$5/($B$4-$B$5))</f>
        <v/>
      </c>
      <c r="M251">
        <f>$D$2*M250-$D$3*M249 + $D$4*K211+$D$5*K212</f>
        <v/>
      </c>
      <c r="N251">
        <f>$E$2 *N241 - $E$3 *N231 + $E$4 *K200 + $E$5 * K190</f>
        <v/>
      </c>
      <c r="O251">
        <f>$F$2 * O231 - $F$3 * O211 + $F$4 * K191 + $F$5 * K171</f>
        <v/>
      </c>
      <c r="Q251">
        <f>L251-M251</f>
        <v/>
      </c>
      <c r="R251">
        <f>L251-N251</f>
        <v/>
      </c>
      <c r="S251">
        <f>L251-O251</f>
        <v/>
      </c>
    </row>
    <row r="252">
      <c r="J252" t="n">
        <v>250</v>
      </c>
      <c r="K252" t="n">
        <v>1</v>
      </c>
      <c r="L252">
        <f>$B$2*K252*(1-EXP(-(J252-$J$42-$B$3)/$B$4)*$B$4/($B$4-$B$5)+EXP(-(J252-$J$42-$B$3)/$B$5)*$B$5/($B$4-$B$5))</f>
        <v/>
      </c>
      <c r="M252">
        <f>$D$2*M251-$D$3*M250 + $D$4*K212+$D$5*K213</f>
        <v/>
      </c>
      <c r="N252">
        <f>$E$2 *N242 - $E$3 *N232 + $E$4 *K201 + $E$5 * K191</f>
        <v/>
      </c>
      <c r="O252">
        <f>$F$2 * O232 - $F$3 * O212 + $F$4 * K192 + $F$5 * K172</f>
        <v/>
      </c>
      <c r="Q252">
        <f>L252-M252</f>
        <v/>
      </c>
      <c r="R252">
        <f>L252-N252</f>
        <v/>
      </c>
      <c r="S252">
        <f>L252-O252</f>
        <v/>
      </c>
    </row>
    <row r="253">
      <c r="J253" t="n">
        <v>251</v>
      </c>
      <c r="K253" t="n">
        <v>1</v>
      </c>
      <c r="L253">
        <f>$B$2*K253*(1-EXP(-(J253-$J$42-$B$3)/$B$4)*$B$4/($B$4-$B$5)+EXP(-(J253-$J$42-$B$3)/$B$5)*$B$5/($B$4-$B$5))</f>
        <v/>
      </c>
      <c r="M253">
        <f>$D$2*M252-$D$3*M251 + $D$4*K213+$D$5*K214</f>
        <v/>
      </c>
      <c r="N253">
        <f>$E$2 *N243 - $E$3 *N233 + $E$4 *K202 + $E$5 * K192</f>
        <v/>
      </c>
      <c r="O253">
        <f>$F$2 * O233 - $F$3 * O213 + $F$4 * K193 + $F$5 * K173</f>
        <v/>
      </c>
      <c r="Q253">
        <f>L253-M253</f>
        <v/>
      </c>
      <c r="R253">
        <f>L253-N253</f>
        <v/>
      </c>
      <c r="S253">
        <f>L253-O253</f>
        <v/>
      </c>
    </row>
    <row r="254">
      <c r="J254" t="n">
        <v>252</v>
      </c>
      <c r="K254" t="n">
        <v>1</v>
      </c>
      <c r="L254">
        <f>$B$2*K254*(1-EXP(-(J254-$J$42-$B$3)/$B$4)*$B$4/($B$4-$B$5)+EXP(-(J254-$J$42-$B$3)/$B$5)*$B$5/($B$4-$B$5))</f>
        <v/>
      </c>
      <c r="M254">
        <f>$D$2*M253-$D$3*M252 + $D$4*K214+$D$5*K215</f>
        <v/>
      </c>
      <c r="N254">
        <f>$E$2 *N244 - $E$3 *N234 + $E$4 *K203 + $E$5 * K193</f>
        <v/>
      </c>
      <c r="O254">
        <f>$F$2 * O234 - $F$3 * O214 + $F$4 * K194 + $F$5 * K174</f>
        <v/>
      </c>
      <c r="Q254">
        <f>L254-M254</f>
        <v/>
      </c>
      <c r="R254">
        <f>L254-N254</f>
        <v/>
      </c>
      <c r="S254">
        <f>L254-O254</f>
        <v/>
      </c>
    </row>
    <row r="255">
      <c r="J255" t="n">
        <v>253</v>
      </c>
      <c r="K255" t="n">
        <v>1</v>
      </c>
      <c r="L255">
        <f>$B$2*K255*(1-EXP(-(J255-$J$42-$B$3)/$B$4)*$B$4/($B$4-$B$5)+EXP(-(J255-$J$42-$B$3)/$B$5)*$B$5/($B$4-$B$5))</f>
        <v/>
      </c>
      <c r="M255">
        <f>$D$2*M254-$D$3*M253 + $D$4*K215+$D$5*K216</f>
        <v/>
      </c>
      <c r="N255">
        <f>$E$2 *N245 - $E$3 *N235 + $E$4 *K204 + $E$5 * K194</f>
        <v/>
      </c>
      <c r="O255">
        <f>$F$2 * O235 - $F$3 * O215 + $F$4 * K195 + $F$5 * K175</f>
        <v/>
      </c>
      <c r="Q255">
        <f>L255-M255</f>
        <v/>
      </c>
      <c r="R255">
        <f>L255-N255</f>
        <v/>
      </c>
      <c r="S255">
        <f>L255-O255</f>
        <v/>
      </c>
    </row>
    <row r="256">
      <c r="J256" t="n">
        <v>254</v>
      </c>
      <c r="K256" t="n">
        <v>1</v>
      </c>
      <c r="L256">
        <f>$B$2*K256*(1-EXP(-(J256-$J$42-$B$3)/$B$4)*$B$4/($B$4-$B$5)+EXP(-(J256-$J$42-$B$3)/$B$5)*$B$5/($B$4-$B$5))</f>
        <v/>
      </c>
      <c r="M256">
        <f>$D$2*M255-$D$3*M254 + $D$4*K216+$D$5*K217</f>
        <v/>
      </c>
      <c r="N256">
        <f>$E$2 *N246 - $E$3 *N236 + $E$4 *K205 + $E$5 * K195</f>
        <v/>
      </c>
      <c r="O256">
        <f>$F$2 * O236 - $F$3 * O216 + $F$4 * K196 + $F$5 * K176</f>
        <v/>
      </c>
      <c r="Q256">
        <f>L256-M256</f>
        <v/>
      </c>
      <c r="R256">
        <f>L256-N256</f>
        <v/>
      </c>
      <c r="S256">
        <f>L256-O256</f>
        <v/>
      </c>
    </row>
    <row r="257">
      <c r="J257" t="n">
        <v>255</v>
      </c>
      <c r="K257" t="n">
        <v>1</v>
      </c>
      <c r="L257">
        <f>$B$2*K257*(1-EXP(-(J257-$J$42-$B$3)/$B$4)*$B$4/($B$4-$B$5)+EXP(-(J257-$J$42-$B$3)/$B$5)*$B$5/($B$4-$B$5))</f>
        <v/>
      </c>
      <c r="M257">
        <f>$D$2*M256-$D$3*M255 + $D$4*K217+$D$5*K218</f>
        <v/>
      </c>
      <c r="N257">
        <f>$E$2 *N247 - $E$3 *N237 + $E$4 *K206 + $E$5 * K196</f>
        <v/>
      </c>
      <c r="O257">
        <f>$F$2 * O237 - $F$3 * O217 + $F$4 * K197 + $F$5 * K177</f>
        <v/>
      </c>
      <c r="Q257">
        <f>L257-M257</f>
        <v/>
      </c>
      <c r="R257">
        <f>L257-N257</f>
        <v/>
      </c>
      <c r="S257">
        <f>L257-O257</f>
        <v/>
      </c>
    </row>
    <row r="258">
      <c r="J258" t="n">
        <v>256</v>
      </c>
      <c r="K258" t="n">
        <v>1</v>
      </c>
      <c r="L258">
        <f>$B$2*K258*(1-EXP(-(J258-$J$42-$B$3)/$B$4)*$B$4/($B$4-$B$5)+EXP(-(J258-$J$42-$B$3)/$B$5)*$B$5/($B$4-$B$5))</f>
        <v/>
      </c>
      <c r="M258">
        <f>$D$2*M257-$D$3*M256 + $D$4*K218+$D$5*K219</f>
        <v/>
      </c>
      <c r="N258">
        <f>$E$2 *N248 - $E$3 *N238 + $E$4 *K207 + $E$5 * K197</f>
        <v/>
      </c>
      <c r="O258">
        <f>$F$2 * O238 - $F$3 * O218 + $F$4 * K198 + $F$5 * K178</f>
        <v/>
      </c>
      <c r="Q258">
        <f>L258-M258</f>
        <v/>
      </c>
      <c r="R258">
        <f>L258-N258</f>
        <v/>
      </c>
      <c r="S258">
        <f>L258-O258</f>
        <v/>
      </c>
    </row>
    <row r="259">
      <c r="J259" t="n">
        <v>257</v>
      </c>
      <c r="K259" t="n">
        <v>1</v>
      </c>
      <c r="L259">
        <f>$B$2*K259*(1-EXP(-(J259-$J$42-$B$3)/$B$4)*$B$4/($B$4-$B$5)+EXP(-(J259-$J$42-$B$3)/$B$5)*$B$5/($B$4-$B$5))</f>
        <v/>
      </c>
      <c r="M259">
        <f>$D$2*M258-$D$3*M257 + $D$4*K219+$D$5*K220</f>
        <v/>
      </c>
      <c r="N259">
        <f>$E$2 *N249 - $E$3 *N239 + $E$4 *K208 + $E$5 * K198</f>
        <v/>
      </c>
      <c r="O259">
        <f>$F$2 * O239 - $F$3 * O219 + $F$4 * K199 + $F$5 * K179</f>
        <v/>
      </c>
      <c r="Q259">
        <f>L259-M259</f>
        <v/>
      </c>
      <c r="R259">
        <f>L259-N259</f>
        <v/>
      </c>
      <c r="S259">
        <f>L259-O259</f>
        <v/>
      </c>
    </row>
    <row r="260">
      <c r="J260" t="n">
        <v>258</v>
      </c>
      <c r="K260" t="n">
        <v>1</v>
      </c>
      <c r="L260">
        <f>$B$2*K260*(1-EXP(-(J260-$J$42-$B$3)/$B$4)*$B$4/($B$4-$B$5)+EXP(-(J260-$J$42-$B$3)/$B$5)*$B$5/($B$4-$B$5))</f>
        <v/>
      </c>
      <c r="M260">
        <f>$D$2*M259-$D$3*M258 + $D$4*K220+$D$5*K221</f>
        <v/>
      </c>
      <c r="N260">
        <f>$E$2 *N250 - $E$3 *N240 + $E$4 *K209 + $E$5 * K199</f>
        <v/>
      </c>
      <c r="O260">
        <f>$F$2 * O240 - $F$3 * O220 + $F$4 * K200 + $F$5 * K180</f>
        <v/>
      </c>
      <c r="Q260">
        <f>L260-M260</f>
        <v/>
      </c>
      <c r="R260">
        <f>L260-N260</f>
        <v/>
      </c>
      <c r="S260">
        <f>L260-O260</f>
        <v/>
      </c>
    </row>
    <row r="261">
      <c r="J261" t="n">
        <v>259</v>
      </c>
      <c r="K261" t="n">
        <v>1</v>
      </c>
      <c r="L261">
        <f>$B$2*K261*(1-EXP(-(J261-$J$42-$B$3)/$B$4)*$B$4/($B$4-$B$5)+EXP(-(J261-$J$42-$B$3)/$B$5)*$B$5/($B$4-$B$5))</f>
        <v/>
      </c>
      <c r="M261">
        <f>$D$2*M260-$D$3*M259 + $D$4*K221+$D$5*K222</f>
        <v/>
      </c>
      <c r="N261">
        <f>$E$2 *N251 - $E$3 *N241 + $E$4 *K210 + $E$5 * K200</f>
        <v/>
      </c>
      <c r="O261">
        <f>$F$2 * O241 - $F$3 * O221 + $F$4 * K201 + $F$5 * K181</f>
        <v/>
      </c>
      <c r="Q261">
        <f>L261-M261</f>
        <v/>
      </c>
      <c r="R261">
        <f>L261-N261</f>
        <v/>
      </c>
      <c r="S261">
        <f>L261-O261</f>
        <v/>
      </c>
    </row>
    <row r="262">
      <c r="J262" t="n">
        <v>260</v>
      </c>
      <c r="K262" t="n">
        <v>1</v>
      </c>
      <c r="L262">
        <f>$B$2*K262*(1-EXP(-(J262-$J$42-$B$3)/$B$4)*$B$4/($B$4-$B$5)+EXP(-(J262-$J$42-$B$3)/$B$5)*$B$5/($B$4-$B$5))</f>
        <v/>
      </c>
      <c r="M262">
        <f>$D$2*M261-$D$3*M260 + $D$4*K222+$D$5*K223</f>
        <v/>
      </c>
      <c r="N262">
        <f>$E$2 *N252 - $E$3 *N242 + $E$4 *K211 + $E$5 * K201</f>
        <v/>
      </c>
      <c r="O262">
        <f>$F$2 * O242 - $F$3 * O222 + $F$4 * K202 + $F$5 * K182</f>
        <v/>
      </c>
      <c r="Q262">
        <f>L262-M262</f>
        <v/>
      </c>
      <c r="R262">
        <f>L262-N262</f>
        <v/>
      </c>
      <c r="S262">
        <f>L262-O262</f>
        <v/>
      </c>
    </row>
    <row r="263">
      <c r="J263" t="n">
        <v>261</v>
      </c>
      <c r="K263" t="n">
        <v>1</v>
      </c>
      <c r="L263">
        <f>$B$2*K263*(1-EXP(-(J263-$J$42-$B$3)/$B$4)*$B$4/($B$4-$B$5)+EXP(-(J263-$J$42-$B$3)/$B$5)*$B$5/($B$4-$B$5))</f>
        <v/>
      </c>
      <c r="M263">
        <f>$D$2*M262-$D$3*M261 + $D$4*K223+$D$5*K224</f>
        <v/>
      </c>
      <c r="N263">
        <f>$E$2 *N253 - $E$3 *N243 + $E$4 *K212 + $E$5 * K202</f>
        <v/>
      </c>
      <c r="O263">
        <f>$F$2 * O243 - $F$3 * O223 + $F$4 * K203 + $F$5 * K183</f>
        <v/>
      </c>
      <c r="Q263">
        <f>L263-M263</f>
        <v/>
      </c>
      <c r="R263">
        <f>L263-N263</f>
        <v/>
      </c>
      <c r="S263">
        <f>L263-O263</f>
        <v/>
      </c>
    </row>
    <row r="264">
      <c r="J264" t="n">
        <v>262</v>
      </c>
      <c r="K264" t="n">
        <v>1</v>
      </c>
      <c r="L264">
        <f>$B$2*K264*(1-EXP(-(J264-$J$42-$B$3)/$B$4)*$B$4/($B$4-$B$5)+EXP(-(J264-$J$42-$B$3)/$B$5)*$B$5/($B$4-$B$5))</f>
        <v/>
      </c>
      <c r="M264">
        <f>$D$2*M263-$D$3*M262 + $D$4*K224+$D$5*K225</f>
        <v/>
      </c>
      <c r="N264">
        <f>$E$2 *N254 - $E$3 *N244 + $E$4 *K213 + $E$5 * K203</f>
        <v/>
      </c>
      <c r="O264">
        <f>$F$2 * O244 - $F$3 * O224 + $F$4 * K204 + $F$5 * K184</f>
        <v/>
      </c>
      <c r="Q264">
        <f>L264-M264</f>
        <v/>
      </c>
      <c r="R264">
        <f>L264-N264</f>
        <v/>
      </c>
      <c r="S264">
        <f>L264-O264</f>
        <v/>
      </c>
    </row>
    <row r="265">
      <c r="J265" t="n">
        <v>263</v>
      </c>
      <c r="K265" t="n">
        <v>1</v>
      </c>
      <c r="L265">
        <f>$B$2*K265*(1-EXP(-(J265-$J$42-$B$3)/$B$4)*$B$4/($B$4-$B$5)+EXP(-(J265-$J$42-$B$3)/$B$5)*$B$5/($B$4-$B$5))</f>
        <v/>
      </c>
      <c r="M265">
        <f>$D$2*M264-$D$3*M263 + $D$4*K225+$D$5*K226</f>
        <v/>
      </c>
      <c r="N265">
        <f>$E$2 *N255 - $E$3 *N245 + $E$4 *K214 + $E$5 * K204</f>
        <v/>
      </c>
      <c r="O265">
        <f>$F$2 * O245 - $F$3 * O225 + $F$4 * K205 + $F$5 * K185</f>
        <v/>
      </c>
      <c r="Q265">
        <f>L265-M265</f>
        <v/>
      </c>
      <c r="R265">
        <f>L265-N265</f>
        <v/>
      </c>
      <c r="S265">
        <f>L265-O265</f>
        <v/>
      </c>
    </row>
    <row r="266">
      <c r="J266" t="n">
        <v>264</v>
      </c>
      <c r="K266" t="n">
        <v>1</v>
      </c>
      <c r="L266">
        <f>$B$2*K266*(1-EXP(-(J266-$J$42-$B$3)/$B$4)*$B$4/($B$4-$B$5)+EXP(-(J266-$J$42-$B$3)/$B$5)*$B$5/($B$4-$B$5))</f>
        <v/>
      </c>
      <c r="M266">
        <f>$D$2*M265-$D$3*M264 + $D$4*K226+$D$5*K227</f>
        <v/>
      </c>
      <c r="N266">
        <f>$E$2 *N256 - $E$3 *N246 + $E$4 *K215 + $E$5 * K205</f>
        <v/>
      </c>
      <c r="O266">
        <f>$F$2 * O246 - $F$3 * O226 + $F$4 * K206 + $F$5 * K186</f>
        <v/>
      </c>
      <c r="Q266">
        <f>L266-M266</f>
        <v/>
      </c>
      <c r="R266">
        <f>L266-N266</f>
        <v/>
      </c>
      <c r="S266">
        <f>L266-O266</f>
        <v/>
      </c>
    </row>
    <row r="267">
      <c r="J267" t="n">
        <v>265</v>
      </c>
      <c r="K267" t="n">
        <v>1</v>
      </c>
      <c r="L267">
        <f>$B$2*K267*(1-EXP(-(J267-$J$42-$B$3)/$B$4)*$B$4/($B$4-$B$5)+EXP(-(J267-$J$42-$B$3)/$B$5)*$B$5/($B$4-$B$5))</f>
        <v/>
      </c>
      <c r="M267">
        <f>$D$2*M266-$D$3*M265 + $D$4*K227+$D$5*K228</f>
        <v/>
      </c>
      <c r="N267">
        <f>$E$2 *N257 - $E$3 *N247 + $E$4 *K216 + $E$5 * K206</f>
        <v/>
      </c>
      <c r="O267">
        <f>$F$2 * O247 - $F$3 * O227 + $F$4 * K207 + $F$5 * K187</f>
        <v/>
      </c>
      <c r="Q267">
        <f>L267-M267</f>
        <v/>
      </c>
      <c r="R267">
        <f>L267-N267</f>
        <v/>
      </c>
      <c r="S267">
        <f>L267-O267</f>
        <v/>
      </c>
    </row>
    <row r="268">
      <c r="J268" t="n">
        <v>266</v>
      </c>
      <c r="K268" t="n">
        <v>1</v>
      </c>
      <c r="L268">
        <f>$B$2*K268*(1-EXP(-(J268-$J$42-$B$3)/$B$4)*$B$4/($B$4-$B$5)+EXP(-(J268-$J$42-$B$3)/$B$5)*$B$5/($B$4-$B$5))</f>
        <v/>
      </c>
      <c r="M268">
        <f>$D$2*M267-$D$3*M266 + $D$4*K228+$D$5*K229</f>
        <v/>
      </c>
      <c r="N268">
        <f>$E$2 *N258 - $E$3 *N248 + $E$4 *K217 + $E$5 * K207</f>
        <v/>
      </c>
      <c r="O268">
        <f>$F$2 * O248 - $F$3 * O228 + $F$4 * K208 + $F$5 * K188</f>
        <v/>
      </c>
      <c r="Q268">
        <f>L268-M268</f>
        <v/>
      </c>
      <c r="R268">
        <f>L268-N268</f>
        <v/>
      </c>
      <c r="S268">
        <f>L268-O268</f>
        <v/>
      </c>
    </row>
    <row r="269">
      <c r="J269" t="n">
        <v>267</v>
      </c>
      <c r="K269" t="n">
        <v>1</v>
      </c>
      <c r="L269">
        <f>$B$2*K269*(1-EXP(-(J269-$J$42-$B$3)/$B$4)*$B$4/($B$4-$B$5)+EXP(-(J269-$J$42-$B$3)/$B$5)*$B$5/($B$4-$B$5))</f>
        <v/>
      </c>
      <c r="M269">
        <f>$D$2*M268-$D$3*M267 + $D$4*K229+$D$5*K230</f>
        <v/>
      </c>
      <c r="N269">
        <f>$E$2 *N259 - $E$3 *N249 + $E$4 *K218 + $E$5 * K208</f>
        <v/>
      </c>
      <c r="O269">
        <f>$F$2 * O249 - $F$3 * O229 + $F$4 * K209 + $F$5 * K189</f>
        <v/>
      </c>
      <c r="Q269">
        <f>L269-M269</f>
        <v/>
      </c>
      <c r="R269">
        <f>L269-N269</f>
        <v/>
      </c>
      <c r="S269">
        <f>L269-O269</f>
        <v/>
      </c>
    </row>
    <row r="270">
      <c r="J270" t="n">
        <v>268</v>
      </c>
      <c r="K270" t="n">
        <v>1</v>
      </c>
      <c r="L270">
        <f>$B$2*K270*(1-EXP(-(J270-$J$42-$B$3)/$B$4)*$B$4/($B$4-$B$5)+EXP(-(J270-$J$42-$B$3)/$B$5)*$B$5/($B$4-$B$5))</f>
        <v/>
      </c>
      <c r="M270">
        <f>$D$2*M269-$D$3*M268 + $D$4*K230+$D$5*K231</f>
        <v/>
      </c>
      <c r="N270">
        <f>$E$2 *N260 - $E$3 *N250 + $E$4 *K219 + $E$5 * K209</f>
        <v/>
      </c>
      <c r="O270">
        <f>$F$2 * O250 - $F$3 * O230 + $F$4 * K210 + $F$5 * K190</f>
        <v/>
      </c>
      <c r="Q270">
        <f>L270-M270</f>
        <v/>
      </c>
      <c r="R270">
        <f>L270-N270</f>
        <v/>
      </c>
      <c r="S270">
        <f>L270-O270</f>
        <v/>
      </c>
    </row>
    <row r="271">
      <c r="J271" t="n">
        <v>269</v>
      </c>
      <c r="K271" t="n">
        <v>1</v>
      </c>
      <c r="L271">
        <f>$B$2*K271*(1-EXP(-(J271-$J$42-$B$3)/$B$4)*$B$4/($B$4-$B$5)+EXP(-(J271-$J$42-$B$3)/$B$5)*$B$5/($B$4-$B$5))</f>
        <v/>
      </c>
      <c r="M271">
        <f>$D$2*M270-$D$3*M269 + $D$4*K231+$D$5*K232</f>
        <v/>
      </c>
      <c r="N271">
        <f>$E$2 *N261 - $E$3 *N251 + $E$4 *K220 + $E$5 * K210</f>
        <v/>
      </c>
      <c r="O271">
        <f>$F$2 * O251 - $F$3 * O231 + $F$4 * K211 + $F$5 * K191</f>
        <v/>
      </c>
      <c r="Q271">
        <f>L271-M271</f>
        <v/>
      </c>
      <c r="R271">
        <f>L271-N271</f>
        <v/>
      </c>
      <c r="S271">
        <f>L271-O271</f>
        <v/>
      </c>
    </row>
    <row r="272">
      <c r="J272" t="n">
        <v>270</v>
      </c>
      <c r="K272" t="n">
        <v>1</v>
      </c>
      <c r="L272">
        <f>$B$2*K272*(1-EXP(-(J272-$J$42-$B$3)/$B$4)*$B$4/($B$4-$B$5)+EXP(-(J272-$J$42-$B$3)/$B$5)*$B$5/($B$4-$B$5))</f>
        <v/>
      </c>
      <c r="M272">
        <f>$D$2*M271-$D$3*M270 + $D$4*K232+$D$5*K233</f>
        <v/>
      </c>
      <c r="N272">
        <f>$E$2 *N262 - $E$3 *N252 + $E$4 *K221 + $E$5 * K211</f>
        <v/>
      </c>
      <c r="O272">
        <f>$F$2 * O252 - $F$3 * O232 + $F$4 * K212 + $F$5 * K192</f>
        <v/>
      </c>
      <c r="Q272">
        <f>L272-M272</f>
        <v/>
      </c>
      <c r="R272">
        <f>L272-N272</f>
        <v/>
      </c>
      <c r="S272">
        <f>L272-O272</f>
        <v/>
      </c>
    </row>
    <row r="273">
      <c r="J273" t="n">
        <v>271</v>
      </c>
      <c r="K273" t="n">
        <v>1</v>
      </c>
      <c r="L273">
        <f>$B$2*K273*(1-EXP(-(J273-$J$42-$B$3)/$B$4)*$B$4/($B$4-$B$5)+EXP(-(J273-$J$42-$B$3)/$B$5)*$B$5/($B$4-$B$5))</f>
        <v/>
      </c>
      <c r="M273">
        <f>$D$2*M272-$D$3*M271 + $D$4*K233+$D$5*K234</f>
        <v/>
      </c>
      <c r="N273">
        <f>$E$2 *N263 - $E$3 *N253 + $E$4 *K222 + $E$5 * K212</f>
        <v/>
      </c>
      <c r="O273">
        <f>$F$2 * O253 - $F$3 * O233 + $F$4 * K213 + $F$5 * K193</f>
        <v/>
      </c>
      <c r="Q273">
        <f>L273-M273</f>
        <v/>
      </c>
      <c r="R273">
        <f>L273-N273</f>
        <v/>
      </c>
      <c r="S273">
        <f>L273-O273</f>
        <v/>
      </c>
    </row>
    <row r="274">
      <c r="J274" t="n">
        <v>272</v>
      </c>
      <c r="K274" t="n">
        <v>1</v>
      </c>
      <c r="L274">
        <f>$B$2*K274*(1-EXP(-(J274-$J$42-$B$3)/$B$4)*$B$4/($B$4-$B$5)+EXP(-(J274-$J$42-$B$3)/$B$5)*$B$5/($B$4-$B$5))</f>
        <v/>
      </c>
      <c r="M274">
        <f>$D$2*M273-$D$3*M272 + $D$4*K234+$D$5*K235</f>
        <v/>
      </c>
      <c r="N274">
        <f>$E$2 *N264 - $E$3 *N254 + $E$4 *K223 + $E$5 * K213</f>
        <v/>
      </c>
      <c r="O274">
        <f>$F$2 * O254 - $F$3 * O234 + $F$4 * K214 + $F$5 * K194</f>
        <v/>
      </c>
      <c r="Q274">
        <f>L274-M274</f>
        <v/>
      </c>
      <c r="R274">
        <f>L274-N274</f>
        <v/>
      </c>
      <c r="S274">
        <f>L274-O274</f>
        <v/>
      </c>
    </row>
    <row r="275">
      <c r="J275" t="n">
        <v>273</v>
      </c>
      <c r="K275" t="n">
        <v>1</v>
      </c>
      <c r="L275">
        <f>$B$2*K275*(1-EXP(-(J275-$J$42-$B$3)/$B$4)*$B$4/($B$4-$B$5)+EXP(-(J275-$J$42-$B$3)/$B$5)*$B$5/($B$4-$B$5))</f>
        <v/>
      </c>
      <c r="M275">
        <f>$D$2*M274-$D$3*M273 + $D$4*K235+$D$5*K236</f>
        <v/>
      </c>
      <c r="N275">
        <f>$E$2 *N265 - $E$3 *N255 + $E$4 *K224 + $E$5 * K214</f>
        <v/>
      </c>
      <c r="O275">
        <f>$F$2 * O255 - $F$3 * O235 + $F$4 * K215 + $F$5 * K195</f>
        <v/>
      </c>
      <c r="Q275">
        <f>L275-M275</f>
        <v/>
      </c>
      <c r="R275">
        <f>L275-N275</f>
        <v/>
      </c>
      <c r="S275">
        <f>L275-O275</f>
        <v/>
      </c>
    </row>
    <row r="276">
      <c r="J276" t="n">
        <v>274</v>
      </c>
      <c r="K276" t="n">
        <v>1</v>
      </c>
      <c r="L276">
        <f>$B$2*K276*(1-EXP(-(J276-$J$42-$B$3)/$B$4)*$B$4/($B$4-$B$5)+EXP(-(J276-$J$42-$B$3)/$B$5)*$B$5/($B$4-$B$5))</f>
        <v/>
      </c>
      <c r="M276">
        <f>$D$2*M275-$D$3*M274 + $D$4*K236+$D$5*K237</f>
        <v/>
      </c>
      <c r="N276">
        <f>$E$2 *N266 - $E$3 *N256 + $E$4 *K225 + $E$5 * K215</f>
        <v/>
      </c>
      <c r="O276">
        <f>$F$2 * O256 - $F$3 * O236 + $F$4 * K216 + $F$5 * K196</f>
        <v/>
      </c>
      <c r="Q276">
        <f>L276-M276</f>
        <v/>
      </c>
      <c r="R276">
        <f>L276-N276</f>
        <v/>
      </c>
      <c r="S276">
        <f>L276-O276</f>
        <v/>
      </c>
    </row>
    <row r="277">
      <c r="J277" t="n">
        <v>275</v>
      </c>
      <c r="K277" t="n">
        <v>1</v>
      </c>
      <c r="L277">
        <f>$B$2*K277*(1-EXP(-(J277-$J$42-$B$3)/$B$4)*$B$4/($B$4-$B$5)+EXP(-(J277-$J$42-$B$3)/$B$5)*$B$5/($B$4-$B$5))</f>
        <v/>
      </c>
      <c r="M277">
        <f>$D$2*M276-$D$3*M275 + $D$4*K237+$D$5*K238</f>
        <v/>
      </c>
      <c r="N277">
        <f>$E$2 *N267 - $E$3 *N257 + $E$4 *K226 + $E$5 * K216</f>
        <v/>
      </c>
      <c r="O277">
        <f>$F$2 * O257 - $F$3 * O237 + $F$4 * K217 + $F$5 * K197</f>
        <v/>
      </c>
      <c r="Q277">
        <f>L277-M277</f>
        <v/>
      </c>
      <c r="R277">
        <f>L277-N277</f>
        <v/>
      </c>
      <c r="S277">
        <f>L277-O277</f>
        <v/>
      </c>
    </row>
    <row r="278">
      <c r="J278" t="n">
        <v>276</v>
      </c>
      <c r="K278" t="n">
        <v>1</v>
      </c>
      <c r="L278">
        <f>$B$2*K278*(1-EXP(-(J278-$J$42-$B$3)/$B$4)*$B$4/($B$4-$B$5)+EXP(-(J278-$J$42-$B$3)/$B$5)*$B$5/($B$4-$B$5))</f>
        <v/>
      </c>
      <c r="M278">
        <f>$D$2*M277-$D$3*M276 + $D$4*K238+$D$5*K239</f>
        <v/>
      </c>
      <c r="N278">
        <f>$E$2 *N268 - $E$3 *N258 + $E$4 *K227 + $E$5 * K217</f>
        <v/>
      </c>
      <c r="O278">
        <f>$F$2 * O258 - $F$3 * O238 + $F$4 * K218 + $F$5 * K198</f>
        <v/>
      </c>
      <c r="Q278">
        <f>L278-M278</f>
        <v/>
      </c>
      <c r="R278">
        <f>L278-N278</f>
        <v/>
      </c>
      <c r="S278">
        <f>L278-O278</f>
        <v/>
      </c>
    </row>
    <row r="279">
      <c r="J279" t="n">
        <v>277</v>
      </c>
      <c r="K279" t="n">
        <v>1</v>
      </c>
      <c r="L279">
        <f>$B$2*K279*(1-EXP(-(J279-$J$42-$B$3)/$B$4)*$B$4/($B$4-$B$5)+EXP(-(J279-$J$42-$B$3)/$B$5)*$B$5/($B$4-$B$5))</f>
        <v/>
      </c>
      <c r="M279">
        <f>$D$2*M278-$D$3*M277 + $D$4*K239+$D$5*K240</f>
        <v/>
      </c>
      <c r="N279">
        <f>$E$2 *N269 - $E$3 *N259 + $E$4 *K228 + $E$5 * K218</f>
        <v/>
      </c>
      <c r="O279">
        <f>$F$2 * O259 - $F$3 * O239 + $F$4 * K219 + $F$5 * K199</f>
        <v/>
      </c>
      <c r="Q279">
        <f>L279-M279</f>
        <v/>
      </c>
      <c r="R279">
        <f>L279-N279</f>
        <v/>
      </c>
      <c r="S279">
        <f>L279-O279</f>
        <v/>
      </c>
    </row>
    <row r="280">
      <c r="J280" t="n">
        <v>278</v>
      </c>
      <c r="K280" t="n">
        <v>1</v>
      </c>
      <c r="L280">
        <f>$B$2*K280*(1-EXP(-(J280-$J$42-$B$3)/$B$4)*$B$4/($B$4-$B$5)+EXP(-(J280-$J$42-$B$3)/$B$5)*$B$5/($B$4-$B$5))</f>
        <v/>
      </c>
      <c r="M280">
        <f>$D$2*M279-$D$3*M278 + $D$4*K240+$D$5*K241</f>
        <v/>
      </c>
      <c r="N280">
        <f>$E$2 *N270 - $E$3 *N260 + $E$4 *K229 + $E$5 * K219</f>
        <v/>
      </c>
      <c r="O280">
        <f>$F$2 * O260 - $F$3 * O240 + $F$4 * K220 + $F$5 * K200</f>
        <v/>
      </c>
      <c r="Q280">
        <f>L280-M280</f>
        <v/>
      </c>
      <c r="R280">
        <f>L280-N280</f>
        <v/>
      </c>
      <c r="S280">
        <f>L280-O280</f>
        <v/>
      </c>
    </row>
    <row r="281">
      <c r="J281" t="n">
        <v>279</v>
      </c>
      <c r="K281" t="n">
        <v>1</v>
      </c>
      <c r="L281">
        <f>$B$2*K281*(1-EXP(-(J281-$J$42-$B$3)/$B$4)*$B$4/($B$4-$B$5)+EXP(-(J281-$J$42-$B$3)/$B$5)*$B$5/($B$4-$B$5))</f>
        <v/>
      </c>
      <c r="M281">
        <f>$D$2*M280-$D$3*M279 + $D$4*K241+$D$5*K242</f>
        <v/>
      </c>
      <c r="N281">
        <f>$E$2 *N271 - $E$3 *N261 + $E$4 *K230 + $E$5 * K220</f>
        <v/>
      </c>
      <c r="O281">
        <f>$F$2 * O261 - $F$3 * O241 + $F$4 * K221 + $F$5 * K201</f>
        <v/>
      </c>
      <c r="Q281">
        <f>L281-M281</f>
        <v/>
      </c>
      <c r="R281">
        <f>L281-N281</f>
        <v/>
      </c>
      <c r="S281">
        <f>L281-O281</f>
        <v/>
      </c>
    </row>
    <row r="282">
      <c r="J282" t="n">
        <v>280</v>
      </c>
      <c r="K282" t="n">
        <v>1</v>
      </c>
      <c r="L282">
        <f>$B$2*K282*(1-EXP(-(J282-$J$42-$B$3)/$B$4)*$B$4/($B$4-$B$5)+EXP(-(J282-$J$42-$B$3)/$B$5)*$B$5/($B$4-$B$5))</f>
        <v/>
      </c>
      <c r="M282">
        <f>$D$2*M281-$D$3*M280 + $D$4*K242+$D$5*K243</f>
        <v/>
      </c>
      <c r="N282">
        <f>$E$2 *N272 - $E$3 *N262 + $E$4 *K231 + $E$5 * K221</f>
        <v/>
      </c>
      <c r="O282">
        <f>$F$2 * O262 - $F$3 * O242 + $F$4 * K222 + $F$5 * K202</f>
        <v/>
      </c>
      <c r="Q282">
        <f>L282-M282</f>
        <v/>
      </c>
      <c r="R282">
        <f>L282-N282</f>
        <v/>
      </c>
      <c r="S282">
        <f>L282-O282</f>
        <v/>
      </c>
    </row>
    <row r="283">
      <c r="J283" t="n">
        <v>281</v>
      </c>
      <c r="K283" t="n">
        <v>1</v>
      </c>
      <c r="L283">
        <f>$B$2*K283*(1-EXP(-(J283-$J$42-$B$3)/$B$4)*$B$4/($B$4-$B$5)+EXP(-(J283-$J$42-$B$3)/$B$5)*$B$5/($B$4-$B$5))</f>
        <v/>
      </c>
      <c r="M283">
        <f>$D$2*M282-$D$3*M281 + $D$4*K243+$D$5*K244</f>
        <v/>
      </c>
      <c r="N283">
        <f>$E$2 *N273 - $E$3 *N263 + $E$4 *K232 + $E$5 * K222</f>
        <v/>
      </c>
      <c r="O283">
        <f>$F$2 * O263 - $F$3 * O243 + $F$4 * K223 + $F$5 * K203</f>
        <v/>
      </c>
      <c r="Q283">
        <f>L283-M283</f>
        <v/>
      </c>
      <c r="R283">
        <f>L283-N283</f>
        <v/>
      </c>
      <c r="S283">
        <f>L283-O283</f>
        <v/>
      </c>
    </row>
    <row r="284">
      <c r="J284" t="n">
        <v>282</v>
      </c>
      <c r="K284" t="n">
        <v>1</v>
      </c>
      <c r="L284">
        <f>$B$2*K284*(1-EXP(-(J284-$J$42-$B$3)/$B$4)*$B$4/($B$4-$B$5)+EXP(-(J284-$J$42-$B$3)/$B$5)*$B$5/($B$4-$B$5))</f>
        <v/>
      </c>
      <c r="M284">
        <f>$D$2*M283-$D$3*M282 + $D$4*K244+$D$5*K245</f>
        <v/>
      </c>
      <c r="N284">
        <f>$E$2 *N274 - $E$3 *N264 + $E$4 *K233 + $E$5 * K223</f>
        <v/>
      </c>
      <c r="O284">
        <f>$F$2 * O264 - $F$3 * O244 + $F$4 * K224 + $F$5 * K204</f>
        <v/>
      </c>
      <c r="Q284">
        <f>L284-M284</f>
        <v/>
      </c>
      <c r="R284">
        <f>L284-N284</f>
        <v/>
      </c>
      <c r="S284">
        <f>L284-O284</f>
        <v/>
      </c>
    </row>
    <row r="285">
      <c r="J285" t="n">
        <v>283</v>
      </c>
      <c r="K285" t="n">
        <v>1</v>
      </c>
      <c r="L285">
        <f>$B$2*K285*(1-EXP(-(J285-$J$42-$B$3)/$B$4)*$B$4/($B$4-$B$5)+EXP(-(J285-$J$42-$B$3)/$B$5)*$B$5/($B$4-$B$5))</f>
        <v/>
      </c>
      <c r="M285">
        <f>$D$2*M284-$D$3*M283 + $D$4*K245+$D$5*K246</f>
        <v/>
      </c>
      <c r="N285">
        <f>$E$2 *N275 - $E$3 *N265 + $E$4 *K234 + $E$5 * K224</f>
        <v/>
      </c>
      <c r="O285">
        <f>$F$2 * O265 - $F$3 * O245 + $F$4 * K225 + $F$5 * K205</f>
        <v/>
      </c>
      <c r="Q285">
        <f>L285-M285</f>
        <v/>
      </c>
      <c r="R285">
        <f>L285-N285</f>
        <v/>
      </c>
      <c r="S285">
        <f>L285-O285</f>
        <v/>
      </c>
    </row>
    <row r="286">
      <c r="J286" t="n">
        <v>284</v>
      </c>
      <c r="K286" t="n">
        <v>1</v>
      </c>
      <c r="L286">
        <f>$B$2*K286*(1-EXP(-(J286-$J$42-$B$3)/$B$4)*$B$4/($B$4-$B$5)+EXP(-(J286-$J$42-$B$3)/$B$5)*$B$5/($B$4-$B$5))</f>
        <v/>
      </c>
      <c r="M286">
        <f>$D$2*M285-$D$3*M284 + $D$4*K246+$D$5*K247</f>
        <v/>
      </c>
      <c r="N286">
        <f>$E$2 *N276 - $E$3 *N266 + $E$4 *K235 + $E$5 * K225</f>
        <v/>
      </c>
      <c r="O286">
        <f>$F$2 * O266 - $F$3 * O246 + $F$4 * K226 + $F$5 * K206</f>
        <v/>
      </c>
      <c r="Q286">
        <f>L286-M286</f>
        <v/>
      </c>
      <c r="R286">
        <f>L286-N286</f>
        <v/>
      </c>
      <c r="S286">
        <f>L286-O286</f>
        <v/>
      </c>
    </row>
    <row r="287">
      <c r="J287" t="n">
        <v>285</v>
      </c>
      <c r="K287" t="n">
        <v>1</v>
      </c>
      <c r="L287">
        <f>$B$2*K287*(1-EXP(-(J287-$J$42-$B$3)/$B$4)*$B$4/($B$4-$B$5)+EXP(-(J287-$J$42-$B$3)/$B$5)*$B$5/($B$4-$B$5))</f>
        <v/>
      </c>
      <c r="M287">
        <f>$D$2*M286-$D$3*M285 + $D$4*K247+$D$5*K248</f>
        <v/>
      </c>
      <c r="N287">
        <f>$E$2 *N277 - $E$3 *N267 + $E$4 *K236 + $E$5 * K226</f>
        <v/>
      </c>
      <c r="O287">
        <f>$F$2 * O267 - $F$3 * O247 + $F$4 * K227 + $F$5 * K207</f>
        <v/>
      </c>
      <c r="Q287">
        <f>L287-M287</f>
        <v/>
      </c>
      <c r="R287">
        <f>L287-N287</f>
        <v/>
      </c>
      <c r="S287">
        <f>L287-O287</f>
        <v/>
      </c>
    </row>
    <row r="288">
      <c r="J288" t="n">
        <v>286</v>
      </c>
      <c r="K288" t="n">
        <v>1</v>
      </c>
      <c r="L288">
        <f>$B$2*K288*(1-EXP(-(J288-$J$42-$B$3)/$B$4)*$B$4/($B$4-$B$5)+EXP(-(J288-$J$42-$B$3)/$B$5)*$B$5/($B$4-$B$5))</f>
        <v/>
      </c>
      <c r="M288">
        <f>$D$2*M287-$D$3*M286 + $D$4*K248+$D$5*K249</f>
        <v/>
      </c>
      <c r="N288">
        <f>$E$2 *N278 - $E$3 *N268 + $E$4 *K237 + $E$5 * K227</f>
        <v/>
      </c>
      <c r="O288">
        <f>$F$2 * O268 - $F$3 * O248 + $F$4 * K228 + $F$5 * K208</f>
        <v/>
      </c>
      <c r="Q288">
        <f>L288-M288</f>
        <v/>
      </c>
      <c r="R288">
        <f>L288-N288</f>
        <v/>
      </c>
      <c r="S288">
        <f>L288-O288</f>
        <v/>
      </c>
    </row>
    <row r="289">
      <c r="J289" t="n">
        <v>287</v>
      </c>
      <c r="K289" t="n">
        <v>1</v>
      </c>
      <c r="L289">
        <f>$B$2*K289*(1-EXP(-(J289-$J$42-$B$3)/$B$4)*$B$4/($B$4-$B$5)+EXP(-(J289-$J$42-$B$3)/$B$5)*$B$5/($B$4-$B$5))</f>
        <v/>
      </c>
      <c r="M289">
        <f>$D$2*M288-$D$3*M287 + $D$4*K249+$D$5*K250</f>
        <v/>
      </c>
      <c r="N289">
        <f>$E$2 *N279 - $E$3 *N269 + $E$4 *K238 + $E$5 * K228</f>
        <v/>
      </c>
      <c r="O289">
        <f>$F$2 * O269 - $F$3 * O249 + $F$4 * K229 + $F$5 * K209</f>
        <v/>
      </c>
      <c r="Q289">
        <f>L289-M289</f>
        <v/>
      </c>
      <c r="R289">
        <f>L289-N289</f>
        <v/>
      </c>
      <c r="S289">
        <f>L289-O289</f>
        <v/>
      </c>
    </row>
    <row r="290">
      <c r="J290" t="n">
        <v>288</v>
      </c>
      <c r="K290" t="n">
        <v>1</v>
      </c>
      <c r="L290">
        <f>$B$2*K290*(1-EXP(-(J290-$J$42-$B$3)/$B$4)*$B$4/($B$4-$B$5)+EXP(-(J290-$J$42-$B$3)/$B$5)*$B$5/($B$4-$B$5))</f>
        <v/>
      </c>
      <c r="M290">
        <f>$D$2*M289-$D$3*M288 + $D$4*K250+$D$5*K251</f>
        <v/>
      </c>
      <c r="N290">
        <f>$E$2 *N280 - $E$3 *N270 + $E$4 *K239 + $E$5 * K229</f>
        <v/>
      </c>
      <c r="O290">
        <f>$F$2 * O270 - $F$3 * O250 + $F$4 * K230 + $F$5 * K210</f>
        <v/>
      </c>
      <c r="Q290">
        <f>L290-M290</f>
        <v/>
      </c>
      <c r="R290">
        <f>L290-N290</f>
        <v/>
      </c>
      <c r="S290">
        <f>L290-O290</f>
        <v/>
      </c>
    </row>
    <row r="291">
      <c r="J291" t="n">
        <v>289</v>
      </c>
      <c r="K291" t="n">
        <v>1</v>
      </c>
      <c r="L291">
        <f>$B$2*K291*(1-EXP(-(J291-$J$42-$B$3)/$B$4)*$B$4/($B$4-$B$5)+EXP(-(J291-$J$42-$B$3)/$B$5)*$B$5/($B$4-$B$5))</f>
        <v/>
      </c>
      <c r="M291">
        <f>$D$2*M290-$D$3*M289 + $D$4*K251+$D$5*K252</f>
        <v/>
      </c>
      <c r="N291">
        <f>$E$2 *N281 - $E$3 *N271 + $E$4 *K240 + $E$5 * K230</f>
        <v/>
      </c>
      <c r="O291">
        <f>$F$2 * O271 - $F$3 * O251 + $F$4 * K231 + $F$5 * K211</f>
        <v/>
      </c>
      <c r="Q291">
        <f>L291-M291</f>
        <v/>
      </c>
      <c r="R291">
        <f>L291-N291</f>
        <v/>
      </c>
      <c r="S291">
        <f>L291-O291</f>
        <v/>
      </c>
    </row>
    <row r="292">
      <c r="J292" t="n">
        <v>290</v>
      </c>
      <c r="K292" t="n">
        <v>1</v>
      </c>
      <c r="L292">
        <f>$B$2*K292*(1-EXP(-(J292-$J$42-$B$3)/$B$4)*$B$4/($B$4-$B$5)+EXP(-(J292-$J$42-$B$3)/$B$5)*$B$5/($B$4-$B$5))</f>
        <v/>
      </c>
      <c r="M292">
        <f>$D$2*M291-$D$3*M290 + $D$4*K252+$D$5*K253</f>
        <v/>
      </c>
      <c r="N292">
        <f>$E$2 *N282 - $E$3 *N272 + $E$4 *K241 + $E$5 * K231</f>
        <v/>
      </c>
      <c r="O292">
        <f>$F$2 * O272 - $F$3 * O252 + $F$4 * K232 + $F$5 * K212</f>
        <v/>
      </c>
      <c r="Q292">
        <f>L292-M292</f>
        <v/>
      </c>
      <c r="R292">
        <f>L292-N292</f>
        <v/>
      </c>
      <c r="S292">
        <f>L292-O292</f>
        <v/>
      </c>
    </row>
    <row r="293">
      <c r="J293" t="n">
        <v>291</v>
      </c>
      <c r="K293" t="n">
        <v>1</v>
      </c>
      <c r="L293">
        <f>$B$2*K293*(1-EXP(-(J293-$J$42-$B$3)/$B$4)*$B$4/($B$4-$B$5)+EXP(-(J293-$J$42-$B$3)/$B$5)*$B$5/($B$4-$B$5))</f>
        <v/>
      </c>
      <c r="M293">
        <f>$D$2*M292-$D$3*M291 + $D$4*K253+$D$5*K254</f>
        <v/>
      </c>
      <c r="N293">
        <f>$E$2 *N283 - $E$3 *N273 + $E$4 *K242 + $E$5 * K232</f>
        <v/>
      </c>
      <c r="O293">
        <f>$F$2 * O273 - $F$3 * O253 + $F$4 * K233 + $F$5 * K213</f>
        <v/>
      </c>
      <c r="Q293">
        <f>L293-M293</f>
        <v/>
      </c>
      <c r="R293">
        <f>L293-N293</f>
        <v/>
      </c>
      <c r="S293">
        <f>L293-O293</f>
        <v/>
      </c>
    </row>
    <row r="294">
      <c r="J294" t="n">
        <v>292</v>
      </c>
      <c r="K294" t="n">
        <v>1</v>
      </c>
      <c r="L294">
        <f>$B$2*K294*(1-EXP(-(J294-$J$42-$B$3)/$B$4)*$B$4/($B$4-$B$5)+EXP(-(J294-$J$42-$B$3)/$B$5)*$B$5/($B$4-$B$5))</f>
        <v/>
      </c>
      <c r="M294">
        <f>$D$2*M293-$D$3*M292 + $D$4*K254+$D$5*K255</f>
        <v/>
      </c>
      <c r="N294">
        <f>$E$2 *N284 - $E$3 *N274 + $E$4 *K243 + $E$5 * K233</f>
        <v/>
      </c>
      <c r="O294">
        <f>$F$2 * O274 - $F$3 * O254 + $F$4 * K234 + $F$5 * K214</f>
        <v/>
      </c>
      <c r="Q294">
        <f>L294-M294</f>
        <v/>
      </c>
      <c r="R294">
        <f>L294-N294</f>
        <v/>
      </c>
      <c r="S294">
        <f>L294-O294</f>
        <v/>
      </c>
    </row>
    <row r="295">
      <c r="J295" t="n">
        <v>293</v>
      </c>
      <c r="K295" t="n">
        <v>1</v>
      </c>
      <c r="L295">
        <f>$B$2*K295*(1-EXP(-(J295-$J$42-$B$3)/$B$4)*$B$4/($B$4-$B$5)+EXP(-(J295-$J$42-$B$3)/$B$5)*$B$5/($B$4-$B$5))</f>
        <v/>
      </c>
      <c r="M295">
        <f>$D$2*M294-$D$3*M293 + $D$4*K255+$D$5*K256</f>
        <v/>
      </c>
      <c r="N295">
        <f>$E$2 *N285 - $E$3 *N275 + $E$4 *K244 + $E$5 * K234</f>
        <v/>
      </c>
      <c r="O295">
        <f>$F$2 * O275 - $F$3 * O255 + $F$4 * K235 + $F$5 * K215</f>
        <v/>
      </c>
      <c r="Q295">
        <f>L295-M295</f>
        <v/>
      </c>
      <c r="R295">
        <f>L295-N295</f>
        <v/>
      </c>
      <c r="S295">
        <f>L295-O295</f>
        <v/>
      </c>
    </row>
    <row r="296">
      <c r="J296" t="n">
        <v>294</v>
      </c>
      <c r="K296" t="n">
        <v>1</v>
      </c>
      <c r="L296">
        <f>$B$2*K296*(1-EXP(-(J296-$J$42-$B$3)/$B$4)*$B$4/($B$4-$B$5)+EXP(-(J296-$J$42-$B$3)/$B$5)*$B$5/($B$4-$B$5))</f>
        <v/>
      </c>
      <c r="M296">
        <f>$D$2*M295-$D$3*M294 + $D$4*K256+$D$5*K257</f>
        <v/>
      </c>
      <c r="N296">
        <f>$E$2 *N286 - $E$3 *N276 + $E$4 *K245 + $E$5 * K235</f>
        <v/>
      </c>
      <c r="O296">
        <f>$F$2 * O276 - $F$3 * O256 + $F$4 * K236 + $F$5 * K216</f>
        <v/>
      </c>
      <c r="Q296">
        <f>L296-M296</f>
        <v/>
      </c>
      <c r="R296">
        <f>L296-N296</f>
        <v/>
      </c>
      <c r="S296">
        <f>L296-O296</f>
        <v/>
      </c>
    </row>
    <row r="297">
      <c r="J297" t="n">
        <v>295</v>
      </c>
      <c r="K297" t="n">
        <v>1</v>
      </c>
      <c r="L297">
        <f>$B$2*K297*(1-EXP(-(J297-$J$42-$B$3)/$B$4)*$B$4/($B$4-$B$5)+EXP(-(J297-$J$42-$B$3)/$B$5)*$B$5/($B$4-$B$5))</f>
        <v/>
      </c>
      <c r="M297">
        <f>$D$2*M296-$D$3*M295 + $D$4*K257+$D$5*K258</f>
        <v/>
      </c>
      <c r="N297">
        <f>$E$2 *N287 - $E$3 *N277 + $E$4 *K246 + $E$5 * K236</f>
        <v/>
      </c>
      <c r="O297">
        <f>$F$2 * O277 - $F$3 * O257 + $F$4 * K237 + $F$5 * K217</f>
        <v/>
      </c>
      <c r="Q297">
        <f>L297-M297</f>
        <v/>
      </c>
      <c r="R297">
        <f>L297-N297</f>
        <v/>
      </c>
      <c r="S297">
        <f>L297-O297</f>
        <v/>
      </c>
    </row>
    <row r="298">
      <c r="J298" t="n">
        <v>296</v>
      </c>
      <c r="K298" t="n">
        <v>1</v>
      </c>
      <c r="L298">
        <f>$B$2*K298*(1-EXP(-(J298-$J$42-$B$3)/$B$4)*$B$4/($B$4-$B$5)+EXP(-(J298-$J$42-$B$3)/$B$5)*$B$5/($B$4-$B$5))</f>
        <v/>
      </c>
      <c r="M298">
        <f>$D$2*M297-$D$3*M296 + $D$4*K258+$D$5*K259</f>
        <v/>
      </c>
      <c r="N298">
        <f>$E$2 *N288 - $E$3 *N278 + $E$4 *K247 + $E$5 * K237</f>
        <v/>
      </c>
      <c r="O298">
        <f>$F$2 * O278 - $F$3 * O258 + $F$4 * K238 + $F$5 * K218</f>
        <v/>
      </c>
      <c r="Q298">
        <f>L298-M298</f>
        <v/>
      </c>
      <c r="R298">
        <f>L298-N298</f>
        <v/>
      </c>
      <c r="S298">
        <f>L298-O298</f>
        <v/>
      </c>
    </row>
    <row r="299">
      <c r="J299" t="n">
        <v>297</v>
      </c>
      <c r="K299" t="n">
        <v>1</v>
      </c>
      <c r="L299">
        <f>$B$2*K299*(1-EXP(-(J299-$J$42-$B$3)/$B$4)*$B$4/($B$4-$B$5)+EXP(-(J299-$J$42-$B$3)/$B$5)*$B$5/($B$4-$B$5))</f>
        <v/>
      </c>
      <c r="M299">
        <f>$D$2*M298-$D$3*M297 + $D$4*K259+$D$5*K260</f>
        <v/>
      </c>
      <c r="N299">
        <f>$E$2 *N289 - $E$3 *N279 + $E$4 *K248 + $E$5 * K238</f>
        <v/>
      </c>
      <c r="O299">
        <f>$F$2 * O279 - $F$3 * O259 + $F$4 * K239 + $F$5 * K219</f>
        <v/>
      </c>
      <c r="Q299">
        <f>L299-M299</f>
        <v/>
      </c>
      <c r="R299">
        <f>L299-N299</f>
        <v/>
      </c>
      <c r="S299">
        <f>L299-O299</f>
        <v/>
      </c>
    </row>
    <row r="300">
      <c r="J300" t="n">
        <v>298</v>
      </c>
      <c r="K300" t="n">
        <v>1</v>
      </c>
      <c r="L300">
        <f>$B$2*K300*(1-EXP(-(J300-$J$42-$B$3)/$B$4)*$B$4/($B$4-$B$5)+EXP(-(J300-$J$42-$B$3)/$B$5)*$B$5/($B$4-$B$5))</f>
        <v/>
      </c>
      <c r="M300">
        <f>$D$2*M299-$D$3*M298 + $D$4*K260+$D$5*K261</f>
        <v/>
      </c>
      <c r="N300">
        <f>$E$2 *N290 - $E$3 *N280 + $E$4 *K249 + $E$5 * K239</f>
        <v/>
      </c>
      <c r="O300">
        <f>$F$2 * O280 - $F$3 * O260 + $F$4 * K240 + $F$5 * K220</f>
        <v/>
      </c>
      <c r="Q300">
        <f>L300-M300</f>
        <v/>
      </c>
      <c r="R300">
        <f>L300-N300</f>
        <v/>
      </c>
      <c r="S300">
        <f>L300-O300</f>
        <v/>
      </c>
    </row>
    <row r="301">
      <c r="J301" t="n">
        <v>299</v>
      </c>
      <c r="K301" t="n">
        <v>1</v>
      </c>
      <c r="L301">
        <f>$B$2*K301*(1-EXP(-(J301-$J$42-$B$3)/$B$4)*$B$4/($B$4-$B$5)+EXP(-(J301-$J$42-$B$3)/$B$5)*$B$5/($B$4-$B$5))</f>
        <v/>
      </c>
      <c r="M301">
        <f>$D$2*M300-$D$3*M299 + $D$4*K261+$D$5*K262</f>
        <v/>
      </c>
      <c r="N301">
        <f>$E$2 *N291 - $E$3 *N281 + $E$4 *K250 + $E$5 * K240</f>
        <v/>
      </c>
      <c r="O301">
        <f>$F$2 * O281 - $F$3 * O261 + $F$4 * K241 + $F$5 * K221</f>
        <v/>
      </c>
      <c r="Q301">
        <f>L301-M301</f>
        <v/>
      </c>
      <c r="R301">
        <f>L301-N301</f>
        <v/>
      </c>
      <c r="S301">
        <f>L301-O301</f>
        <v/>
      </c>
    </row>
    <row r="302">
      <c r="J302" t="n">
        <v>300</v>
      </c>
      <c r="K302" t="n">
        <v>1</v>
      </c>
      <c r="L302">
        <f>$B$2*K302*(1-EXP(-(J302-$J$42-$B$3)/$B$4)*$B$4/($B$4-$B$5)+EXP(-(J302-$J$42-$B$3)/$B$5)*$B$5/($B$4-$B$5))</f>
        <v/>
      </c>
      <c r="M302">
        <f>$D$2*M301-$D$3*M300 + $D$4*K262+$D$5*K263</f>
        <v/>
      </c>
      <c r="N302">
        <f>$E$2 *N292 - $E$3 *N282 + $E$4 *K251 + $E$5 * K241</f>
        <v/>
      </c>
      <c r="O302">
        <f>$F$2 * O282 - $F$3 * O262 + $F$4 * K242 + $F$5 * K222</f>
        <v/>
      </c>
      <c r="Q302">
        <f>L302-M302</f>
        <v/>
      </c>
      <c r="R302">
        <f>L302-N302</f>
        <v/>
      </c>
      <c r="S302">
        <f>L302-O302</f>
        <v/>
      </c>
    </row>
    <row r="303">
      <c r="J303" t="n">
        <v>301</v>
      </c>
      <c r="K303" t="n">
        <v>1</v>
      </c>
      <c r="L303">
        <f>$B$2*K303*(1-EXP(-(J303-$J$42-$B$3)/$B$4)*$B$4/($B$4-$B$5)+EXP(-(J303-$J$42-$B$3)/$B$5)*$B$5/($B$4-$B$5))</f>
        <v/>
      </c>
      <c r="M303">
        <f>$D$2*M302-$D$3*M301 + $D$4*K263+$D$5*K264</f>
        <v/>
      </c>
      <c r="N303">
        <f>$E$2 *N293 - $E$3 *N283 + $E$4 *K252 + $E$5 * K242</f>
        <v/>
      </c>
      <c r="O303">
        <f>$F$2 * O283 - $F$3 * O263 + $F$4 * K243 + $F$5 * K223</f>
        <v/>
      </c>
      <c r="Q303">
        <f>L303-M303</f>
        <v/>
      </c>
      <c r="R303">
        <f>L303-N303</f>
        <v/>
      </c>
      <c r="S303">
        <f>L303-O303</f>
        <v/>
      </c>
    </row>
    <row r="304">
      <c r="J304" t="n">
        <v>302</v>
      </c>
      <c r="K304" t="n">
        <v>1</v>
      </c>
      <c r="L304">
        <f>$B$2*K304*(1-EXP(-(J304-$J$42-$B$3)/$B$4)*$B$4/($B$4-$B$5)+EXP(-(J304-$J$42-$B$3)/$B$5)*$B$5/($B$4-$B$5))</f>
        <v/>
      </c>
      <c r="M304">
        <f>$D$2*M303-$D$3*M302 + $D$4*K264+$D$5*K265</f>
        <v/>
      </c>
      <c r="N304">
        <f>$E$2 *N294 - $E$3 *N284 + $E$4 *K253 + $E$5 * K243</f>
        <v/>
      </c>
      <c r="O304">
        <f>$F$2 * O284 - $F$3 * O264 + $F$4 * K244 + $F$5 * K224</f>
        <v/>
      </c>
      <c r="Q304">
        <f>L304-M304</f>
        <v/>
      </c>
      <c r="R304">
        <f>L304-N304</f>
        <v/>
      </c>
      <c r="S304">
        <f>L304-O304</f>
        <v/>
      </c>
    </row>
    <row r="305">
      <c r="J305" t="n">
        <v>303</v>
      </c>
      <c r="K305" t="n">
        <v>1</v>
      </c>
      <c r="L305">
        <f>$B$2*K305*(1-EXP(-(J305-$J$42-$B$3)/$B$4)*$B$4/($B$4-$B$5)+EXP(-(J305-$J$42-$B$3)/$B$5)*$B$5/($B$4-$B$5))</f>
        <v/>
      </c>
      <c r="M305">
        <f>$D$2*M304-$D$3*M303 + $D$4*K265+$D$5*K266</f>
        <v/>
      </c>
      <c r="N305">
        <f>$E$2 *N295 - $E$3 *N285 + $E$4 *K254 + $E$5 * K244</f>
        <v/>
      </c>
      <c r="O305">
        <f>$F$2 * O285 - $F$3 * O265 + $F$4 * K245 + $F$5 * K225</f>
        <v/>
      </c>
      <c r="Q305">
        <f>L305-M305</f>
        <v/>
      </c>
      <c r="R305">
        <f>L305-N305</f>
        <v/>
      </c>
      <c r="S305">
        <f>L305-O305</f>
        <v/>
      </c>
    </row>
    <row r="306">
      <c r="J306" t="n">
        <v>304</v>
      </c>
      <c r="K306" t="n">
        <v>1</v>
      </c>
      <c r="L306">
        <f>$B$2*K306*(1-EXP(-(J306-$J$42-$B$3)/$B$4)*$B$4/($B$4-$B$5)+EXP(-(J306-$J$42-$B$3)/$B$5)*$B$5/($B$4-$B$5))</f>
        <v/>
      </c>
      <c r="M306">
        <f>$D$2*M305-$D$3*M304 + $D$4*K266+$D$5*K267</f>
        <v/>
      </c>
      <c r="N306">
        <f>$E$2 *N296 - $E$3 *N286 + $E$4 *K255 + $E$5 * K245</f>
        <v/>
      </c>
      <c r="O306">
        <f>$F$2 * O286 - $F$3 * O266 + $F$4 * K246 + $F$5 * K226</f>
        <v/>
      </c>
      <c r="Q306">
        <f>L306-M306</f>
        <v/>
      </c>
      <c r="R306">
        <f>L306-N306</f>
        <v/>
      </c>
      <c r="S306">
        <f>L306-O306</f>
        <v/>
      </c>
    </row>
    <row r="307">
      <c r="J307" t="n">
        <v>305</v>
      </c>
      <c r="K307" t="n">
        <v>1</v>
      </c>
      <c r="L307">
        <f>$B$2*K307*(1-EXP(-(J307-$J$42-$B$3)/$B$4)*$B$4/($B$4-$B$5)+EXP(-(J307-$J$42-$B$3)/$B$5)*$B$5/($B$4-$B$5))</f>
        <v/>
      </c>
      <c r="M307">
        <f>$D$2*M306-$D$3*M305 + $D$4*K267+$D$5*K268</f>
        <v/>
      </c>
      <c r="N307">
        <f>$E$2 *N297 - $E$3 *N287 + $E$4 *K256 + $E$5 * K246</f>
        <v/>
      </c>
      <c r="O307">
        <f>$F$2 * O287 - $F$3 * O267 + $F$4 * K247 + $F$5 * K227</f>
        <v/>
      </c>
      <c r="Q307">
        <f>L307-M307</f>
        <v/>
      </c>
      <c r="R307">
        <f>L307-N307</f>
        <v/>
      </c>
      <c r="S307">
        <f>L307-O307</f>
        <v/>
      </c>
    </row>
    <row r="308">
      <c r="J308" t="n">
        <v>306</v>
      </c>
      <c r="K308" t="n">
        <v>1</v>
      </c>
      <c r="L308">
        <f>$B$2*K308*(1-EXP(-(J308-$J$42-$B$3)/$B$4)*$B$4/($B$4-$B$5)+EXP(-(J308-$J$42-$B$3)/$B$5)*$B$5/($B$4-$B$5))</f>
        <v/>
      </c>
      <c r="M308">
        <f>$D$2*M307-$D$3*M306 + $D$4*K268+$D$5*K269</f>
        <v/>
      </c>
      <c r="N308">
        <f>$E$2 *N298 - $E$3 *N288 + $E$4 *K257 + $E$5 * K247</f>
        <v/>
      </c>
      <c r="O308">
        <f>$F$2 * O288 - $F$3 * O268 + $F$4 * K248 + $F$5 * K228</f>
        <v/>
      </c>
      <c r="Q308">
        <f>L308-M308</f>
        <v/>
      </c>
      <c r="R308">
        <f>L308-N308</f>
        <v/>
      </c>
      <c r="S308">
        <f>L308-O308</f>
        <v/>
      </c>
    </row>
    <row r="309">
      <c r="J309" t="n">
        <v>307</v>
      </c>
      <c r="K309" t="n">
        <v>1</v>
      </c>
      <c r="L309">
        <f>$B$2*K309*(1-EXP(-(J309-$J$42-$B$3)/$B$4)*$B$4/($B$4-$B$5)+EXP(-(J309-$J$42-$B$3)/$B$5)*$B$5/($B$4-$B$5))</f>
        <v/>
      </c>
      <c r="M309">
        <f>$D$2*M308-$D$3*M307 + $D$4*K269+$D$5*K270</f>
        <v/>
      </c>
      <c r="N309">
        <f>$E$2 *N299 - $E$3 *N289 + $E$4 *K258 + $E$5 * K248</f>
        <v/>
      </c>
      <c r="O309">
        <f>$F$2 * O289 - $F$3 * O269 + $F$4 * K249 + $F$5 * K229</f>
        <v/>
      </c>
      <c r="Q309">
        <f>L309-M309</f>
        <v/>
      </c>
      <c r="R309">
        <f>L309-N309</f>
        <v/>
      </c>
      <c r="S309">
        <f>L309-O309</f>
        <v/>
      </c>
    </row>
    <row r="310">
      <c r="J310" t="n">
        <v>308</v>
      </c>
      <c r="K310" t="n">
        <v>1</v>
      </c>
      <c r="L310">
        <f>$B$2*K310*(1-EXP(-(J310-$J$42-$B$3)/$B$4)*$B$4/($B$4-$B$5)+EXP(-(J310-$J$42-$B$3)/$B$5)*$B$5/($B$4-$B$5))</f>
        <v/>
      </c>
      <c r="M310">
        <f>$D$2*M309-$D$3*M308 + $D$4*K270+$D$5*K271</f>
        <v/>
      </c>
      <c r="N310">
        <f>$E$2 *N300 - $E$3 *N290 + $E$4 *K259 + $E$5 * K249</f>
        <v/>
      </c>
      <c r="O310">
        <f>$F$2 * O290 - $F$3 * O270 + $F$4 * K250 + $F$5 * K230</f>
        <v/>
      </c>
      <c r="Q310">
        <f>L310-M310</f>
        <v/>
      </c>
      <c r="R310">
        <f>L310-N310</f>
        <v/>
      </c>
      <c r="S310">
        <f>L310-O310</f>
        <v/>
      </c>
    </row>
    <row r="311">
      <c r="J311" t="n">
        <v>309</v>
      </c>
      <c r="K311" t="n">
        <v>1</v>
      </c>
      <c r="L311">
        <f>$B$2*K311*(1-EXP(-(J311-$J$42-$B$3)/$B$4)*$B$4/($B$4-$B$5)+EXP(-(J311-$J$42-$B$3)/$B$5)*$B$5/($B$4-$B$5))</f>
        <v/>
      </c>
      <c r="M311">
        <f>$D$2*M310-$D$3*M309 + $D$4*K271+$D$5*K272</f>
        <v/>
      </c>
      <c r="N311">
        <f>$E$2 *N301 - $E$3 *N291 + $E$4 *K260 + $E$5 * K250</f>
        <v/>
      </c>
      <c r="O311">
        <f>$F$2 * O291 - $F$3 * O271 + $F$4 * K251 + $F$5 * K231</f>
        <v/>
      </c>
      <c r="Q311">
        <f>L311-M311</f>
        <v/>
      </c>
      <c r="R311">
        <f>L311-N311</f>
        <v/>
      </c>
      <c r="S311">
        <f>L311-O311</f>
        <v/>
      </c>
    </row>
    <row r="312">
      <c r="J312" t="n">
        <v>310</v>
      </c>
      <c r="K312" t="n">
        <v>1</v>
      </c>
      <c r="L312">
        <f>$B$2*K312*(1-EXP(-(J312-$J$42-$B$3)/$B$4)*$B$4/($B$4-$B$5)+EXP(-(J312-$J$42-$B$3)/$B$5)*$B$5/($B$4-$B$5))</f>
        <v/>
      </c>
      <c r="M312">
        <f>$D$2*M311-$D$3*M310 + $D$4*K272+$D$5*K273</f>
        <v/>
      </c>
      <c r="N312">
        <f>$E$2 *N302 - $E$3 *N292 + $E$4 *K261 + $E$5 * K251</f>
        <v/>
      </c>
      <c r="O312">
        <f>$F$2 * O292 - $F$3 * O272 + $F$4 * K252 + $F$5 * K232</f>
        <v/>
      </c>
      <c r="Q312">
        <f>L312-M312</f>
        <v/>
      </c>
      <c r="R312">
        <f>L312-N312</f>
        <v/>
      </c>
      <c r="S312">
        <f>L312-O312</f>
        <v/>
      </c>
    </row>
    <row r="313">
      <c r="J313" t="n">
        <v>311</v>
      </c>
      <c r="K313" t="n">
        <v>1</v>
      </c>
      <c r="L313">
        <f>$B$2*K313*(1-EXP(-(J313-$J$42-$B$3)/$B$4)*$B$4/($B$4-$B$5)+EXP(-(J313-$J$42-$B$3)/$B$5)*$B$5/($B$4-$B$5))</f>
        <v/>
      </c>
      <c r="M313">
        <f>$D$2*M312-$D$3*M311 + $D$4*K273+$D$5*K274</f>
        <v/>
      </c>
      <c r="N313">
        <f>$E$2 *N303 - $E$3 *N293 + $E$4 *K262 + $E$5 * K252</f>
        <v/>
      </c>
      <c r="O313">
        <f>$F$2 * O293 - $F$3 * O273 + $F$4 * K253 + $F$5 * K233</f>
        <v/>
      </c>
      <c r="Q313">
        <f>L313-M313</f>
        <v/>
      </c>
      <c r="R313">
        <f>L313-N313</f>
        <v/>
      </c>
      <c r="S313">
        <f>L313-O313</f>
        <v/>
      </c>
    </row>
    <row r="314">
      <c r="J314" t="n">
        <v>312</v>
      </c>
      <c r="K314" t="n">
        <v>1</v>
      </c>
      <c r="L314">
        <f>$B$2*K314*(1-EXP(-(J314-$J$42-$B$3)/$B$4)*$B$4/($B$4-$B$5)+EXP(-(J314-$J$42-$B$3)/$B$5)*$B$5/($B$4-$B$5))</f>
        <v/>
      </c>
      <c r="M314">
        <f>$D$2*M313-$D$3*M312 + $D$4*K274+$D$5*K275</f>
        <v/>
      </c>
      <c r="N314">
        <f>$E$2 *N304 - $E$3 *N294 + $E$4 *K263 + $E$5 * K253</f>
        <v/>
      </c>
      <c r="O314">
        <f>$F$2 * O294 - $F$3 * O274 + $F$4 * K254 + $F$5 * K234</f>
        <v/>
      </c>
      <c r="Q314">
        <f>L314-M314</f>
        <v/>
      </c>
      <c r="R314">
        <f>L314-N314</f>
        <v/>
      </c>
      <c r="S314">
        <f>L314-O314</f>
        <v/>
      </c>
    </row>
    <row r="315">
      <c r="J315" t="n">
        <v>313</v>
      </c>
      <c r="K315" t="n">
        <v>1</v>
      </c>
      <c r="L315">
        <f>$B$2*K315*(1-EXP(-(J315-$J$42-$B$3)/$B$4)*$B$4/($B$4-$B$5)+EXP(-(J315-$J$42-$B$3)/$B$5)*$B$5/($B$4-$B$5))</f>
        <v/>
      </c>
      <c r="M315">
        <f>$D$2*M314-$D$3*M313 + $D$4*K275+$D$5*K276</f>
        <v/>
      </c>
      <c r="N315">
        <f>$E$2 *N305 - $E$3 *N295 + $E$4 *K264 + $E$5 * K254</f>
        <v/>
      </c>
      <c r="O315">
        <f>$F$2 * O295 - $F$3 * O275 + $F$4 * K255 + $F$5 * K235</f>
        <v/>
      </c>
      <c r="Q315">
        <f>L315-M315</f>
        <v/>
      </c>
      <c r="R315">
        <f>L315-N315</f>
        <v/>
      </c>
      <c r="S315">
        <f>L315-O315</f>
        <v/>
      </c>
    </row>
    <row r="316">
      <c r="J316" t="n">
        <v>314</v>
      </c>
      <c r="K316" t="n">
        <v>1</v>
      </c>
      <c r="L316">
        <f>$B$2*K316*(1-EXP(-(J316-$J$42-$B$3)/$B$4)*$B$4/($B$4-$B$5)+EXP(-(J316-$J$42-$B$3)/$B$5)*$B$5/($B$4-$B$5))</f>
        <v/>
      </c>
      <c r="M316">
        <f>$D$2*M315-$D$3*M314 + $D$4*K276+$D$5*K277</f>
        <v/>
      </c>
      <c r="N316">
        <f>$E$2 *N306 - $E$3 *N296 + $E$4 *K265 + $E$5 * K255</f>
        <v/>
      </c>
      <c r="O316">
        <f>$F$2 * O296 - $F$3 * O276 + $F$4 * K256 + $F$5 * K236</f>
        <v/>
      </c>
      <c r="Q316">
        <f>L316-M316</f>
        <v/>
      </c>
      <c r="R316">
        <f>L316-N316</f>
        <v/>
      </c>
      <c r="S316">
        <f>L316-O316</f>
        <v/>
      </c>
    </row>
    <row r="317">
      <c r="J317" t="n">
        <v>315</v>
      </c>
      <c r="K317" t="n">
        <v>1</v>
      </c>
      <c r="L317">
        <f>$B$2*K317*(1-EXP(-(J317-$J$42-$B$3)/$B$4)*$B$4/($B$4-$B$5)+EXP(-(J317-$J$42-$B$3)/$B$5)*$B$5/($B$4-$B$5))</f>
        <v/>
      </c>
      <c r="M317">
        <f>$D$2*M316-$D$3*M315 + $D$4*K277+$D$5*K278</f>
        <v/>
      </c>
      <c r="N317">
        <f>$E$2 *N307 - $E$3 *N297 + $E$4 *K266 + $E$5 * K256</f>
        <v/>
      </c>
      <c r="O317">
        <f>$F$2 * O297 - $F$3 * O277 + $F$4 * K257 + $F$5 * K237</f>
        <v/>
      </c>
      <c r="Q317">
        <f>L317-M317</f>
        <v/>
      </c>
      <c r="R317">
        <f>L317-N317</f>
        <v/>
      </c>
      <c r="S317">
        <f>L317-O317</f>
        <v/>
      </c>
    </row>
    <row r="318">
      <c r="J318" t="n">
        <v>316</v>
      </c>
      <c r="K318" t="n">
        <v>1</v>
      </c>
      <c r="L318">
        <f>$B$2*K318*(1-EXP(-(J318-$J$42-$B$3)/$B$4)*$B$4/($B$4-$B$5)+EXP(-(J318-$J$42-$B$3)/$B$5)*$B$5/($B$4-$B$5))</f>
        <v/>
      </c>
      <c r="M318">
        <f>$D$2*M317-$D$3*M316 + $D$4*K278+$D$5*K279</f>
        <v/>
      </c>
      <c r="N318">
        <f>$E$2 *N308 - $E$3 *N298 + $E$4 *K267 + $E$5 * K257</f>
        <v/>
      </c>
      <c r="O318">
        <f>$F$2 * O298 - $F$3 * O278 + $F$4 * K258 + $F$5 * K238</f>
        <v/>
      </c>
      <c r="Q318">
        <f>L318-M318</f>
        <v/>
      </c>
      <c r="R318">
        <f>L318-N318</f>
        <v/>
      </c>
      <c r="S318">
        <f>L318-O318</f>
        <v/>
      </c>
    </row>
    <row r="319">
      <c r="J319" t="n">
        <v>317</v>
      </c>
      <c r="K319" t="n">
        <v>1</v>
      </c>
      <c r="L319">
        <f>$B$2*K319*(1-EXP(-(J319-$J$42-$B$3)/$B$4)*$B$4/($B$4-$B$5)+EXP(-(J319-$J$42-$B$3)/$B$5)*$B$5/($B$4-$B$5))</f>
        <v/>
      </c>
      <c r="M319">
        <f>$D$2*M318-$D$3*M317 + $D$4*K279+$D$5*K280</f>
        <v/>
      </c>
      <c r="N319">
        <f>$E$2 *N309 - $E$3 *N299 + $E$4 *K268 + $E$5 * K258</f>
        <v/>
      </c>
      <c r="O319">
        <f>$F$2 * O299 - $F$3 * O279 + $F$4 * K259 + $F$5 * K239</f>
        <v/>
      </c>
      <c r="Q319">
        <f>L319-M319</f>
        <v/>
      </c>
      <c r="R319">
        <f>L319-N319</f>
        <v/>
      </c>
      <c r="S319">
        <f>L319-O319</f>
        <v/>
      </c>
    </row>
    <row r="320">
      <c r="J320" t="n">
        <v>318</v>
      </c>
      <c r="K320" t="n">
        <v>1</v>
      </c>
      <c r="L320">
        <f>$B$2*K320*(1-EXP(-(J320-$J$42-$B$3)/$B$4)*$B$4/($B$4-$B$5)+EXP(-(J320-$J$42-$B$3)/$B$5)*$B$5/($B$4-$B$5))</f>
        <v/>
      </c>
      <c r="M320">
        <f>$D$2*M319-$D$3*M318 + $D$4*K280+$D$5*K281</f>
        <v/>
      </c>
      <c r="N320">
        <f>$E$2 *N310 - $E$3 *N300 + $E$4 *K269 + $E$5 * K259</f>
        <v/>
      </c>
      <c r="O320">
        <f>$F$2 * O300 - $F$3 * O280 + $F$4 * K260 + $F$5 * K240</f>
        <v/>
      </c>
      <c r="Q320">
        <f>L320-M320</f>
        <v/>
      </c>
      <c r="R320">
        <f>L320-N320</f>
        <v/>
      </c>
      <c r="S320">
        <f>L320-O320</f>
        <v/>
      </c>
    </row>
    <row r="321">
      <c r="J321" t="n">
        <v>319</v>
      </c>
      <c r="K321" t="n">
        <v>1</v>
      </c>
      <c r="L321">
        <f>$B$2*K321*(1-EXP(-(J321-$J$42-$B$3)/$B$4)*$B$4/($B$4-$B$5)+EXP(-(J321-$J$42-$B$3)/$B$5)*$B$5/($B$4-$B$5))</f>
        <v/>
      </c>
      <c r="M321">
        <f>$D$2*M320-$D$3*M319 + $D$4*K281+$D$5*K282</f>
        <v/>
      </c>
      <c r="N321">
        <f>$E$2 *N311 - $E$3 *N301 + $E$4 *K270 + $E$5 * K260</f>
        <v/>
      </c>
      <c r="O321">
        <f>$F$2 * O301 - $F$3 * O281 + $F$4 * K261 + $F$5 * K241</f>
        <v/>
      </c>
      <c r="Q321">
        <f>L321-M321</f>
        <v/>
      </c>
      <c r="R321">
        <f>L321-N321</f>
        <v/>
      </c>
      <c r="S321">
        <f>L321-O321</f>
        <v/>
      </c>
    </row>
    <row r="322">
      <c r="J322" t="n">
        <v>320</v>
      </c>
      <c r="K322" t="n">
        <v>1</v>
      </c>
      <c r="L322">
        <f>$B$2*K322*(1-EXP(-(J322-$J$42-$B$3)/$B$4)*$B$4/($B$4-$B$5)+EXP(-(J322-$J$42-$B$3)/$B$5)*$B$5/($B$4-$B$5))</f>
        <v/>
      </c>
      <c r="M322">
        <f>$D$2*M321-$D$3*M320 + $D$4*K282+$D$5*K283</f>
        <v/>
      </c>
      <c r="N322">
        <f>$E$2 *N312 - $E$3 *N302 + $E$4 *K271 + $E$5 * K261</f>
        <v/>
      </c>
      <c r="O322">
        <f>$F$2 * O302 - $F$3 * O282 + $F$4 * K262 + $F$5 * K242</f>
        <v/>
      </c>
      <c r="Q322">
        <f>L322-M322</f>
        <v/>
      </c>
      <c r="R322">
        <f>L322-N322</f>
        <v/>
      </c>
      <c r="S322">
        <f>L322-O322</f>
        <v/>
      </c>
    </row>
    <row r="323">
      <c r="J323" t="n">
        <v>321</v>
      </c>
      <c r="K323" t="n">
        <v>1</v>
      </c>
      <c r="L323">
        <f>$B$2*K323*(1-EXP(-(J323-$J$42-$B$3)/$B$4)*$B$4/($B$4-$B$5)+EXP(-(J323-$J$42-$B$3)/$B$5)*$B$5/($B$4-$B$5))</f>
        <v/>
      </c>
      <c r="M323">
        <f>$D$2*M322-$D$3*M321 + $D$4*K283+$D$5*K284</f>
        <v/>
      </c>
      <c r="N323">
        <f>$E$2 *N313 - $E$3 *N303 + $E$4 *K272 + $E$5 * K262</f>
        <v/>
      </c>
      <c r="O323">
        <f>$F$2 * O303 - $F$3 * O283 + $F$4 * K263 + $F$5 * K243</f>
        <v/>
      </c>
      <c r="Q323">
        <f>L323-M323</f>
        <v/>
      </c>
      <c r="R323">
        <f>L323-N323</f>
        <v/>
      </c>
      <c r="S323">
        <f>L323-O323</f>
        <v/>
      </c>
    </row>
    <row r="324">
      <c r="J324" t="n">
        <v>322</v>
      </c>
      <c r="K324" t="n">
        <v>1</v>
      </c>
      <c r="L324">
        <f>$B$2*K324*(1-EXP(-(J324-$J$42-$B$3)/$B$4)*$B$4/($B$4-$B$5)+EXP(-(J324-$J$42-$B$3)/$B$5)*$B$5/($B$4-$B$5))</f>
        <v/>
      </c>
      <c r="M324">
        <f>$D$2*M323-$D$3*M322 + $D$4*K284+$D$5*K285</f>
        <v/>
      </c>
      <c r="N324">
        <f>$E$2 *N314 - $E$3 *N304 + $E$4 *K273 + $E$5 * K263</f>
        <v/>
      </c>
      <c r="O324">
        <f>$F$2 * O304 - $F$3 * O284 + $F$4 * K264 + $F$5 * K244</f>
        <v/>
      </c>
      <c r="Q324">
        <f>L324-M324</f>
        <v/>
      </c>
      <c r="R324">
        <f>L324-N324</f>
        <v/>
      </c>
      <c r="S324">
        <f>L324-O324</f>
        <v/>
      </c>
    </row>
    <row r="325">
      <c r="J325" t="n">
        <v>323</v>
      </c>
      <c r="K325" t="n">
        <v>1</v>
      </c>
      <c r="L325">
        <f>$B$2*K325*(1-EXP(-(J325-$J$42-$B$3)/$B$4)*$B$4/($B$4-$B$5)+EXP(-(J325-$J$42-$B$3)/$B$5)*$B$5/($B$4-$B$5))</f>
        <v/>
      </c>
      <c r="M325">
        <f>$D$2*M324-$D$3*M323 + $D$4*K285+$D$5*K286</f>
        <v/>
      </c>
      <c r="N325">
        <f>$E$2 *N315 - $E$3 *N305 + $E$4 *K274 + $E$5 * K264</f>
        <v/>
      </c>
      <c r="O325">
        <f>$F$2 * O305 - $F$3 * O285 + $F$4 * K265 + $F$5 * K245</f>
        <v/>
      </c>
      <c r="Q325">
        <f>L325-M325</f>
        <v/>
      </c>
      <c r="R325">
        <f>L325-N325</f>
        <v/>
      </c>
      <c r="S325">
        <f>L325-O325</f>
        <v/>
      </c>
    </row>
    <row r="326">
      <c r="J326" t="n">
        <v>324</v>
      </c>
      <c r="K326" t="n">
        <v>1</v>
      </c>
      <c r="L326">
        <f>$B$2*K326*(1-EXP(-(J326-$J$42-$B$3)/$B$4)*$B$4/($B$4-$B$5)+EXP(-(J326-$J$42-$B$3)/$B$5)*$B$5/($B$4-$B$5))</f>
        <v/>
      </c>
      <c r="M326">
        <f>$D$2*M325-$D$3*M324 + $D$4*K286+$D$5*K287</f>
        <v/>
      </c>
      <c r="N326">
        <f>$E$2 *N316 - $E$3 *N306 + $E$4 *K275 + $E$5 * K265</f>
        <v/>
      </c>
      <c r="O326">
        <f>$F$2 * O306 - $F$3 * O286 + $F$4 * K266 + $F$5 * K246</f>
        <v/>
      </c>
      <c r="Q326">
        <f>L326-M326</f>
        <v/>
      </c>
      <c r="R326">
        <f>L326-N326</f>
        <v/>
      </c>
      <c r="S326">
        <f>L326-O326</f>
        <v/>
      </c>
    </row>
    <row r="327">
      <c r="J327" t="n">
        <v>325</v>
      </c>
      <c r="K327" t="n">
        <v>1</v>
      </c>
      <c r="L327">
        <f>$B$2*K327*(1-EXP(-(J327-$J$42-$B$3)/$B$4)*$B$4/($B$4-$B$5)+EXP(-(J327-$J$42-$B$3)/$B$5)*$B$5/($B$4-$B$5))</f>
        <v/>
      </c>
      <c r="M327">
        <f>$D$2*M326-$D$3*M325 + $D$4*K287+$D$5*K288</f>
        <v/>
      </c>
      <c r="N327">
        <f>$E$2 *N317 - $E$3 *N307 + $E$4 *K276 + $E$5 * K266</f>
        <v/>
      </c>
      <c r="O327">
        <f>$F$2 * O307 - $F$3 * O287 + $F$4 * K267 + $F$5 * K247</f>
        <v/>
      </c>
      <c r="Q327">
        <f>L327-M327</f>
        <v/>
      </c>
      <c r="R327">
        <f>L327-N327</f>
        <v/>
      </c>
      <c r="S327">
        <f>L327-O327</f>
        <v/>
      </c>
    </row>
    <row r="328">
      <c r="J328" t="n">
        <v>326</v>
      </c>
      <c r="K328" t="n">
        <v>1</v>
      </c>
      <c r="L328">
        <f>$B$2*K328*(1-EXP(-(J328-$J$42-$B$3)/$B$4)*$B$4/($B$4-$B$5)+EXP(-(J328-$J$42-$B$3)/$B$5)*$B$5/($B$4-$B$5))</f>
        <v/>
      </c>
      <c r="M328">
        <f>$D$2*M327-$D$3*M326 + $D$4*K288+$D$5*K289</f>
        <v/>
      </c>
      <c r="N328">
        <f>$E$2 *N318 - $E$3 *N308 + $E$4 *K277 + $E$5 * K267</f>
        <v/>
      </c>
      <c r="O328">
        <f>$F$2 * O308 - $F$3 * O288 + $F$4 * K268 + $F$5 * K248</f>
        <v/>
      </c>
      <c r="Q328">
        <f>L328-M328</f>
        <v/>
      </c>
      <c r="R328">
        <f>L328-N328</f>
        <v/>
      </c>
      <c r="S328">
        <f>L328-O328</f>
        <v/>
      </c>
    </row>
    <row r="329">
      <c r="J329" t="n">
        <v>327</v>
      </c>
      <c r="K329" t="n">
        <v>1</v>
      </c>
      <c r="L329">
        <f>$B$2*K329*(1-EXP(-(J329-$J$42-$B$3)/$B$4)*$B$4/($B$4-$B$5)+EXP(-(J329-$J$42-$B$3)/$B$5)*$B$5/($B$4-$B$5))</f>
        <v/>
      </c>
      <c r="M329">
        <f>$D$2*M328-$D$3*M327 + $D$4*K289+$D$5*K290</f>
        <v/>
      </c>
      <c r="N329">
        <f>$E$2 *N319 - $E$3 *N309 + $E$4 *K278 + $E$5 * K268</f>
        <v/>
      </c>
      <c r="O329">
        <f>$F$2 * O309 - $F$3 * O289 + $F$4 * K269 + $F$5 * K249</f>
        <v/>
      </c>
      <c r="Q329">
        <f>L329-M329</f>
        <v/>
      </c>
      <c r="R329">
        <f>L329-N329</f>
        <v/>
      </c>
      <c r="S329">
        <f>L329-O329</f>
        <v/>
      </c>
    </row>
    <row r="330">
      <c r="J330" t="n">
        <v>328</v>
      </c>
      <c r="K330" t="n">
        <v>1</v>
      </c>
      <c r="L330">
        <f>$B$2*K330*(1-EXP(-(J330-$J$42-$B$3)/$B$4)*$B$4/($B$4-$B$5)+EXP(-(J330-$J$42-$B$3)/$B$5)*$B$5/($B$4-$B$5))</f>
        <v/>
      </c>
      <c r="M330">
        <f>$D$2*M329-$D$3*M328 + $D$4*K290+$D$5*K291</f>
        <v/>
      </c>
      <c r="N330">
        <f>$E$2 *N320 - $E$3 *N310 + $E$4 *K279 + $E$5 * K269</f>
        <v/>
      </c>
      <c r="O330">
        <f>$F$2 * O310 - $F$3 * O290 + $F$4 * K270 + $F$5 * K250</f>
        <v/>
      </c>
      <c r="Q330">
        <f>L330-M330</f>
        <v/>
      </c>
      <c r="R330">
        <f>L330-N330</f>
        <v/>
      </c>
      <c r="S330">
        <f>L330-O330</f>
        <v/>
      </c>
    </row>
    <row r="331">
      <c r="J331" t="n">
        <v>329</v>
      </c>
      <c r="K331" t="n">
        <v>1</v>
      </c>
      <c r="L331">
        <f>$B$2*K331*(1-EXP(-(J331-$J$42-$B$3)/$B$4)*$B$4/($B$4-$B$5)+EXP(-(J331-$J$42-$B$3)/$B$5)*$B$5/($B$4-$B$5))</f>
        <v/>
      </c>
      <c r="M331">
        <f>$D$2*M330-$D$3*M329 + $D$4*K291+$D$5*K292</f>
        <v/>
      </c>
      <c r="N331">
        <f>$E$2 *N321 - $E$3 *N311 + $E$4 *K280 + $E$5 * K270</f>
        <v/>
      </c>
      <c r="O331">
        <f>$F$2 * O311 - $F$3 * O291 + $F$4 * K271 + $F$5 * K251</f>
        <v/>
      </c>
      <c r="Q331">
        <f>L331-M331</f>
        <v/>
      </c>
      <c r="R331">
        <f>L331-N331</f>
        <v/>
      </c>
      <c r="S331">
        <f>L331-O331</f>
        <v/>
      </c>
    </row>
    <row r="332">
      <c r="J332" t="n">
        <v>330</v>
      </c>
      <c r="K332" t="n">
        <v>1</v>
      </c>
      <c r="L332">
        <f>$B$2*K332*(1-EXP(-(J332-$J$42-$B$3)/$B$4)*$B$4/($B$4-$B$5)+EXP(-(J332-$J$42-$B$3)/$B$5)*$B$5/($B$4-$B$5))</f>
        <v/>
      </c>
      <c r="M332">
        <f>$D$2*M331-$D$3*M330 + $D$4*K292+$D$5*K293</f>
        <v/>
      </c>
      <c r="N332">
        <f>$E$2 *N322 - $E$3 *N312 + $E$4 *K281 + $E$5 * K271</f>
        <v/>
      </c>
      <c r="O332">
        <f>$F$2 * O312 - $F$3 * O292 + $F$4 * K272 + $F$5 * K252</f>
        <v/>
      </c>
      <c r="Q332">
        <f>L332-M332</f>
        <v/>
      </c>
      <c r="R332">
        <f>L332-N332</f>
        <v/>
      </c>
      <c r="S332">
        <f>L332-O332</f>
        <v/>
      </c>
    </row>
    <row r="333">
      <c r="J333" t="n">
        <v>331</v>
      </c>
      <c r="K333" t="n">
        <v>1</v>
      </c>
      <c r="L333">
        <f>$B$2*K333*(1-EXP(-(J333-$J$42-$B$3)/$B$4)*$B$4/($B$4-$B$5)+EXP(-(J333-$J$42-$B$3)/$B$5)*$B$5/($B$4-$B$5))</f>
        <v/>
      </c>
      <c r="M333">
        <f>$D$2*M332-$D$3*M331 + $D$4*K293+$D$5*K294</f>
        <v/>
      </c>
      <c r="N333">
        <f>$E$2 *N323 - $E$3 *N313 + $E$4 *K282 + $E$5 * K272</f>
        <v/>
      </c>
      <c r="O333">
        <f>$F$2 * O313 - $F$3 * O293 + $F$4 * K273 + $F$5 * K253</f>
        <v/>
      </c>
      <c r="Q333">
        <f>L333-M333</f>
        <v/>
      </c>
      <c r="R333">
        <f>L333-N333</f>
        <v/>
      </c>
      <c r="S333">
        <f>L333-O333</f>
        <v/>
      </c>
    </row>
    <row r="334">
      <c r="J334" t="n">
        <v>332</v>
      </c>
      <c r="K334" t="n">
        <v>1</v>
      </c>
      <c r="L334">
        <f>$B$2*K334*(1-EXP(-(J334-$J$42-$B$3)/$B$4)*$B$4/($B$4-$B$5)+EXP(-(J334-$J$42-$B$3)/$B$5)*$B$5/($B$4-$B$5))</f>
        <v/>
      </c>
      <c r="M334">
        <f>$D$2*M333-$D$3*M332 + $D$4*K294+$D$5*K295</f>
        <v/>
      </c>
      <c r="N334">
        <f>$E$2 *N324 - $E$3 *N314 + $E$4 *K283 + $E$5 * K273</f>
        <v/>
      </c>
      <c r="O334">
        <f>$F$2 * O314 - $F$3 * O294 + $F$4 * K274 + $F$5 * K254</f>
        <v/>
      </c>
      <c r="Q334">
        <f>L334-M334</f>
        <v/>
      </c>
      <c r="R334">
        <f>L334-N334</f>
        <v/>
      </c>
      <c r="S334">
        <f>L334-O334</f>
        <v/>
      </c>
    </row>
    <row r="335">
      <c r="J335" t="n">
        <v>333</v>
      </c>
      <c r="K335" t="n">
        <v>1</v>
      </c>
      <c r="L335">
        <f>$B$2*K335*(1-EXP(-(J335-$J$42-$B$3)/$B$4)*$B$4/($B$4-$B$5)+EXP(-(J335-$J$42-$B$3)/$B$5)*$B$5/($B$4-$B$5))</f>
        <v/>
      </c>
      <c r="M335">
        <f>$D$2*M334-$D$3*M333 + $D$4*K295+$D$5*K296</f>
        <v/>
      </c>
      <c r="N335">
        <f>$E$2 *N325 - $E$3 *N315 + $E$4 *K284 + $E$5 * K274</f>
        <v/>
      </c>
      <c r="O335">
        <f>$F$2 * O315 - $F$3 * O295 + $F$4 * K275 + $F$5 * K255</f>
        <v/>
      </c>
      <c r="Q335">
        <f>L335-M335</f>
        <v/>
      </c>
      <c r="R335">
        <f>L335-N335</f>
        <v/>
      </c>
      <c r="S335">
        <f>L335-O335</f>
        <v/>
      </c>
    </row>
    <row r="336">
      <c r="J336" t="n">
        <v>334</v>
      </c>
      <c r="K336" t="n">
        <v>1</v>
      </c>
      <c r="L336">
        <f>$B$2*K336*(1-EXP(-(J336-$J$42-$B$3)/$B$4)*$B$4/($B$4-$B$5)+EXP(-(J336-$J$42-$B$3)/$B$5)*$B$5/($B$4-$B$5))</f>
        <v/>
      </c>
      <c r="M336">
        <f>$D$2*M335-$D$3*M334 + $D$4*K296+$D$5*K297</f>
        <v/>
      </c>
      <c r="N336">
        <f>$E$2 *N326 - $E$3 *N316 + $E$4 *K285 + $E$5 * K275</f>
        <v/>
      </c>
      <c r="O336">
        <f>$F$2 * O316 - $F$3 * O296 + $F$4 * K276 + $F$5 * K256</f>
        <v/>
      </c>
      <c r="Q336">
        <f>L336-M336</f>
        <v/>
      </c>
      <c r="R336">
        <f>L336-N336</f>
        <v/>
      </c>
      <c r="S336">
        <f>L336-O336</f>
        <v/>
      </c>
    </row>
    <row r="337">
      <c r="J337" t="n">
        <v>335</v>
      </c>
      <c r="K337" t="n">
        <v>1</v>
      </c>
      <c r="L337">
        <f>$B$2*K337*(1-EXP(-(J337-$J$42-$B$3)/$B$4)*$B$4/($B$4-$B$5)+EXP(-(J337-$J$42-$B$3)/$B$5)*$B$5/($B$4-$B$5))</f>
        <v/>
      </c>
      <c r="M337">
        <f>$D$2*M336-$D$3*M335 + $D$4*K297+$D$5*K298</f>
        <v/>
      </c>
      <c r="N337">
        <f>$E$2 *N327 - $E$3 *N317 + $E$4 *K286 + $E$5 * K276</f>
        <v/>
      </c>
      <c r="O337">
        <f>$F$2 * O317 - $F$3 * O297 + $F$4 * K277 + $F$5 * K257</f>
        <v/>
      </c>
      <c r="Q337">
        <f>L337-M337</f>
        <v/>
      </c>
      <c r="R337">
        <f>L337-N337</f>
        <v/>
      </c>
      <c r="S337">
        <f>L337-O337</f>
        <v/>
      </c>
    </row>
    <row r="338">
      <c r="J338" t="n">
        <v>336</v>
      </c>
      <c r="K338" t="n">
        <v>1</v>
      </c>
      <c r="L338">
        <f>$B$2*K338*(1-EXP(-(J338-$J$42-$B$3)/$B$4)*$B$4/($B$4-$B$5)+EXP(-(J338-$J$42-$B$3)/$B$5)*$B$5/($B$4-$B$5))</f>
        <v/>
      </c>
      <c r="M338">
        <f>$D$2*M337-$D$3*M336 + $D$4*K298+$D$5*K299</f>
        <v/>
      </c>
      <c r="N338">
        <f>$E$2 *N328 - $E$3 *N318 + $E$4 *K287 + $E$5 * K277</f>
        <v/>
      </c>
      <c r="O338">
        <f>$F$2 * O318 - $F$3 * O298 + $F$4 * K278 + $F$5 * K258</f>
        <v/>
      </c>
      <c r="Q338">
        <f>L338-M338</f>
        <v/>
      </c>
      <c r="R338">
        <f>L338-N338</f>
        <v/>
      </c>
      <c r="S338">
        <f>L338-O338</f>
        <v/>
      </c>
    </row>
    <row r="339">
      <c r="J339" t="n">
        <v>337</v>
      </c>
      <c r="K339" t="n">
        <v>1</v>
      </c>
      <c r="L339">
        <f>$B$2*K339*(1-EXP(-(J339-$J$42-$B$3)/$B$4)*$B$4/($B$4-$B$5)+EXP(-(J339-$J$42-$B$3)/$B$5)*$B$5/($B$4-$B$5))</f>
        <v/>
      </c>
      <c r="M339">
        <f>$D$2*M338-$D$3*M337 + $D$4*K299+$D$5*K300</f>
        <v/>
      </c>
      <c r="N339">
        <f>$E$2 *N329 - $E$3 *N319 + $E$4 *K288 + $E$5 * K278</f>
        <v/>
      </c>
      <c r="O339">
        <f>$F$2 * O319 - $F$3 * O299 + $F$4 * K279 + $F$5 * K259</f>
        <v/>
      </c>
      <c r="Q339">
        <f>L339-M339</f>
        <v/>
      </c>
      <c r="R339">
        <f>L339-N339</f>
        <v/>
      </c>
      <c r="S339">
        <f>L339-O339</f>
        <v/>
      </c>
    </row>
    <row r="340">
      <c r="J340" t="n">
        <v>338</v>
      </c>
      <c r="K340" t="n">
        <v>1</v>
      </c>
      <c r="L340">
        <f>$B$2*K340*(1-EXP(-(J340-$J$42-$B$3)/$B$4)*$B$4/($B$4-$B$5)+EXP(-(J340-$J$42-$B$3)/$B$5)*$B$5/($B$4-$B$5))</f>
        <v/>
      </c>
      <c r="M340">
        <f>$D$2*M339-$D$3*M338 + $D$4*K300+$D$5*K301</f>
        <v/>
      </c>
      <c r="N340">
        <f>$E$2 *N330 - $E$3 *N320 + $E$4 *K289 + $E$5 * K279</f>
        <v/>
      </c>
      <c r="O340">
        <f>$F$2 * O320 - $F$3 * O300 + $F$4 * K280 + $F$5 * K260</f>
        <v/>
      </c>
      <c r="Q340">
        <f>L340-M340</f>
        <v/>
      </c>
      <c r="R340">
        <f>L340-N340</f>
        <v/>
      </c>
      <c r="S340">
        <f>L340-O340</f>
        <v/>
      </c>
    </row>
    <row r="341">
      <c r="J341" t="n">
        <v>339</v>
      </c>
      <c r="K341" t="n">
        <v>1</v>
      </c>
      <c r="L341">
        <f>$B$2*K341*(1-EXP(-(J341-$J$42-$B$3)/$B$4)*$B$4/($B$4-$B$5)+EXP(-(J341-$J$42-$B$3)/$B$5)*$B$5/($B$4-$B$5))</f>
        <v/>
      </c>
      <c r="M341">
        <f>$D$2*M340-$D$3*M339 + $D$4*K301+$D$5*K302</f>
        <v/>
      </c>
      <c r="N341">
        <f>$E$2 *N331 - $E$3 *N321 + $E$4 *K290 + $E$5 * K280</f>
        <v/>
      </c>
      <c r="O341">
        <f>$F$2 * O321 - $F$3 * O301 + $F$4 * K281 + $F$5 * K261</f>
        <v/>
      </c>
      <c r="Q341">
        <f>L341-M341</f>
        <v/>
      </c>
      <c r="R341">
        <f>L341-N341</f>
        <v/>
      </c>
      <c r="S341">
        <f>L341-O341</f>
        <v/>
      </c>
    </row>
    <row r="342">
      <c r="J342" t="n">
        <v>340</v>
      </c>
      <c r="K342" t="n">
        <v>1</v>
      </c>
      <c r="L342">
        <f>$B$2*K342*(1-EXP(-(J342-$J$42-$B$3)/$B$4)*$B$4/($B$4-$B$5)+EXP(-(J342-$J$42-$B$3)/$B$5)*$B$5/($B$4-$B$5))</f>
        <v/>
      </c>
      <c r="M342">
        <f>$D$2*M341-$D$3*M340 + $D$4*K302+$D$5*K303</f>
        <v/>
      </c>
      <c r="N342">
        <f>$E$2 *N332 - $E$3 *N322 + $E$4 *K291 + $E$5 * K281</f>
        <v/>
      </c>
      <c r="O342">
        <f>$F$2 * O322 - $F$3 * O302 + $F$4 * K282 + $F$5 * K262</f>
        <v/>
      </c>
      <c r="Q342">
        <f>L342-M342</f>
        <v/>
      </c>
      <c r="R342">
        <f>L342-N342</f>
        <v/>
      </c>
      <c r="S342">
        <f>L342-O342</f>
        <v/>
      </c>
    </row>
    <row r="343">
      <c r="J343" t="n">
        <v>341</v>
      </c>
      <c r="K343" t="n">
        <v>1</v>
      </c>
      <c r="L343">
        <f>$B$2*K343*(1-EXP(-(J343-$J$42-$B$3)/$B$4)*$B$4/($B$4-$B$5)+EXP(-(J343-$J$42-$B$3)/$B$5)*$B$5/($B$4-$B$5))</f>
        <v/>
      </c>
      <c r="M343">
        <f>$D$2*M342-$D$3*M341 + $D$4*K303+$D$5*K304</f>
        <v/>
      </c>
      <c r="N343">
        <f>$E$2 *N333 - $E$3 *N323 + $E$4 *K292 + $E$5 * K282</f>
        <v/>
      </c>
      <c r="O343">
        <f>$F$2 * O323 - $F$3 * O303 + $F$4 * K283 + $F$5 * K263</f>
        <v/>
      </c>
      <c r="Q343">
        <f>L343-M343</f>
        <v/>
      </c>
      <c r="R343">
        <f>L343-N343</f>
        <v/>
      </c>
      <c r="S343">
        <f>L343-O343</f>
        <v/>
      </c>
    </row>
    <row r="344">
      <c r="J344" t="n">
        <v>342</v>
      </c>
      <c r="K344" t="n">
        <v>1</v>
      </c>
      <c r="L344">
        <f>$B$2*K344*(1-EXP(-(J344-$J$42-$B$3)/$B$4)*$B$4/($B$4-$B$5)+EXP(-(J344-$J$42-$B$3)/$B$5)*$B$5/($B$4-$B$5))</f>
        <v/>
      </c>
      <c r="M344">
        <f>$D$2*M343-$D$3*M342 + $D$4*K304+$D$5*K305</f>
        <v/>
      </c>
      <c r="N344">
        <f>$E$2 *N334 - $E$3 *N324 + $E$4 *K293 + $E$5 * K283</f>
        <v/>
      </c>
      <c r="O344">
        <f>$F$2 * O324 - $F$3 * O304 + $F$4 * K284 + $F$5 * K264</f>
        <v/>
      </c>
      <c r="Q344">
        <f>L344-M344</f>
        <v/>
      </c>
      <c r="R344">
        <f>L344-N344</f>
        <v/>
      </c>
      <c r="S344">
        <f>L344-O344</f>
        <v/>
      </c>
    </row>
    <row r="345">
      <c r="J345" t="n">
        <v>343</v>
      </c>
      <c r="K345" t="n">
        <v>1</v>
      </c>
      <c r="L345">
        <f>$B$2*K345*(1-EXP(-(J345-$J$42-$B$3)/$B$4)*$B$4/($B$4-$B$5)+EXP(-(J345-$J$42-$B$3)/$B$5)*$B$5/($B$4-$B$5))</f>
        <v/>
      </c>
      <c r="M345">
        <f>$D$2*M344-$D$3*M343 + $D$4*K305+$D$5*K306</f>
        <v/>
      </c>
      <c r="N345">
        <f>$E$2 *N335 - $E$3 *N325 + $E$4 *K294 + $E$5 * K284</f>
        <v/>
      </c>
      <c r="O345">
        <f>$F$2 * O325 - $F$3 * O305 + $F$4 * K285 + $F$5 * K265</f>
        <v/>
      </c>
      <c r="Q345">
        <f>L345-M345</f>
        <v/>
      </c>
      <c r="R345">
        <f>L345-N345</f>
        <v/>
      </c>
      <c r="S345">
        <f>L345-O345</f>
        <v/>
      </c>
    </row>
    <row r="346">
      <c r="J346" t="n">
        <v>344</v>
      </c>
      <c r="K346" t="n">
        <v>1</v>
      </c>
      <c r="L346">
        <f>$B$2*K346*(1-EXP(-(J346-$J$42-$B$3)/$B$4)*$B$4/($B$4-$B$5)+EXP(-(J346-$J$42-$B$3)/$B$5)*$B$5/($B$4-$B$5))</f>
        <v/>
      </c>
      <c r="M346">
        <f>$D$2*M345-$D$3*M344 + $D$4*K306+$D$5*K307</f>
        <v/>
      </c>
      <c r="N346">
        <f>$E$2 *N336 - $E$3 *N326 + $E$4 *K295 + $E$5 * K285</f>
        <v/>
      </c>
      <c r="O346">
        <f>$F$2 * O326 - $F$3 * O306 + $F$4 * K286 + $F$5 * K266</f>
        <v/>
      </c>
      <c r="Q346">
        <f>L346-M346</f>
        <v/>
      </c>
      <c r="R346">
        <f>L346-N346</f>
        <v/>
      </c>
      <c r="S346">
        <f>L346-O346</f>
        <v/>
      </c>
    </row>
    <row r="347">
      <c r="J347" t="n">
        <v>345</v>
      </c>
      <c r="K347" t="n">
        <v>1</v>
      </c>
      <c r="L347">
        <f>$B$2*K347*(1-EXP(-(J347-$J$42-$B$3)/$B$4)*$B$4/($B$4-$B$5)+EXP(-(J347-$J$42-$B$3)/$B$5)*$B$5/($B$4-$B$5))</f>
        <v/>
      </c>
      <c r="M347">
        <f>$D$2*M346-$D$3*M345 + $D$4*K307+$D$5*K308</f>
        <v/>
      </c>
      <c r="N347">
        <f>$E$2 *N337 - $E$3 *N327 + $E$4 *K296 + $E$5 * K286</f>
        <v/>
      </c>
      <c r="O347">
        <f>$F$2 * O327 - $F$3 * O307 + $F$4 * K287 + $F$5 * K267</f>
        <v/>
      </c>
      <c r="Q347">
        <f>L347-M347</f>
        <v/>
      </c>
      <c r="R347">
        <f>L347-N347</f>
        <v/>
      </c>
      <c r="S347">
        <f>L347-O347</f>
        <v/>
      </c>
    </row>
    <row r="348">
      <c r="J348" t="n">
        <v>346</v>
      </c>
      <c r="K348" t="n">
        <v>1</v>
      </c>
      <c r="L348">
        <f>$B$2*K348*(1-EXP(-(J348-$J$42-$B$3)/$B$4)*$B$4/($B$4-$B$5)+EXP(-(J348-$J$42-$B$3)/$B$5)*$B$5/($B$4-$B$5))</f>
        <v/>
      </c>
      <c r="M348">
        <f>$D$2*M347-$D$3*M346 + $D$4*K308+$D$5*K309</f>
        <v/>
      </c>
      <c r="N348">
        <f>$E$2 *N338 - $E$3 *N328 + $E$4 *K297 + $E$5 * K287</f>
        <v/>
      </c>
      <c r="O348">
        <f>$F$2 * O328 - $F$3 * O308 + $F$4 * K288 + $F$5 * K268</f>
        <v/>
      </c>
      <c r="Q348">
        <f>L348-M348</f>
        <v/>
      </c>
      <c r="R348">
        <f>L348-N348</f>
        <v/>
      </c>
      <c r="S348">
        <f>L348-O348</f>
        <v/>
      </c>
    </row>
    <row r="349">
      <c r="J349" t="n">
        <v>347</v>
      </c>
      <c r="K349" t="n">
        <v>1</v>
      </c>
      <c r="L349">
        <f>$B$2*K349*(1-EXP(-(J349-$J$42-$B$3)/$B$4)*$B$4/($B$4-$B$5)+EXP(-(J349-$J$42-$B$3)/$B$5)*$B$5/($B$4-$B$5))</f>
        <v/>
      </c>
      <c r="M349">
        <f>$D$2*M348-$D$3*M347 + $D$4*K309+$D$5*K310</f>
        <v/>
      </c>
      <c r="N349">
        <f>$E$2 *N339 - $E$3 *N329 + $E$4 *K298 + $E$5 * K288</f>
        <v/>
      </c>
      <c r="O349">
        <f>$F$2 * O329 - $F$3 * O309 + $F$4 * K289 + $F$5 * K269</f>
        <v/>
      </c>
      <c r="Q349">
        <f>L349-M349</f>
        <v/>
      </c>
      <c r="R349">
        <f>L349-N349</f>
        <v/>
      </c>
      <c r="S349">
        <f>L349-O349</f>
        <v/>
      </c>
    </row>
    <row r="350">
      <c r="J350" t="n">
        <v>348</v>
      </c>
      <c r="K350" t="n">
        <v>1</v>
      </c>
      <c r="L350">
        <f>$B$2*K350*(1-EXP(-(J350-$J$42-$B$3)/$B$4)*$B$4/($B$4-$B$5)+EXP(-(J350-$J$42-$B$3)/$B$5)*$B$5/($B$4-$B$5))</f>
        <v/>
      </c>
      <c r="M350">
        <f>$D$2*M349-$D$3*M348 + $D$4*K310+$D$5*K311</f>
        <v/>
      </c>
      <c r="N350">
        <f>$E$2 *N340 - $E$3 *N330 + $E$4 *K299 + $E$5 * K289</f>
        <v/>
      </c>
      <c r="O350">
        <f>$F$2 * O330 - $F$3 * O310 + $F$4 * K290 + $F$5 * K270</f>
        <v/>
      </c>
      <c r="Q350">
        <f>L350-M350</f>
        <v/>
      </c>
      <c r="R350">
        <f>L350-N350</f>
        <v/>
      </c>
      <c r="S350">
        <f>L350-O350</f>
        <v/>
      </c>
    </row>
    <row r="351">
      <c r="J351" t="n">
        <v>349</v>
      </c>
      <c r="K351" t="n">
        <v>1</v>
      </c>
      <c r="L351">
        <f>$B$2*K351*(1-EXP(-(J351-$J$42-$B$3)/$B$4)*$B$4/($B$4-$B$5)+EXP(-(J351-$J$42-$B$3)/$B$5)*$B$5/($B$4-$B$5))</f>
        <v/>
      </c>
      <c r="M351">
        <f>$D$2*M350-$D$3*M349 + $D$4*K311+$D$5*K312</f>
        <v/>
      </c>
      <c r="N351">
        <f>$E$2 *N341 - $E$3 *N331 + $E$4 *K300 + $E$5 * K290</f>
        <v/>
      </c>
      <c r="O351">
        <f>$F$2 * O331 - $F$3 * O311 + $F$4 * K291 + $F$5 * K271</f>
        <v/>
      </c>
      <c r="Q351">
        <f>L351-M351</f>
        <v/>
      </c>
      <c r="R351">
        <f>L351-N351</f>
        <v/>
      </c>
      <c r="S351">
        <f>L351-O351</f>
        <v/>
      </c>
    </row>
    <row r="352">
      <c r="J352" t="n">
        <v>350</v>
      </c>
      <c r="K352" t="n">
        <v>1</v>
      </c>
      <c r="L352">
        <f>$B$2*K352*(1-EXP(-(J352-$J$42-$B$3)/$B$4)*$B$4/($B$4-$B$5)+EXP(-(J352-$J$42-$B$3)/$B$5)*$B$5/($B$4-$B$5))</f>
        <v/>
      </c>
      <c r="M352">
        <f>$D$2*M351-$D$3*M350 + $D$4*K312+$D$5*K313</f>
        <v/>
      </c>
      <c r="N352">
        <f>$E$2 *N342 - $E$3 *N332 + $E$4 *K301 + $E$5 * K291</f>
        <v/>
      </c>
      <c r="O352">
        <f>$F$2 * O332 - $F$3 * O312 + $F$4 * K292 + $F$5 * K272</f>
        <v/>
      </c>
      <c r="Q352">
        <f>L352-M352</f>
        <v/>
      </c>
      <c r="R352">
        <f>L352-N352</f>
        <v/>
      </c>
      <c r="S352">
        <f>L352-O352</f>
        <v/>
      </c>
    </row>
    <row r="353">
      <c r="J353" t="n">
        <v>351</v>
      </c>
      <c r="K353" t="n">
        <v>1</v>
      </c>
      <c r="L353">
        <f>$B$2*K353*(1-EXP(-(J353-$J$42-$B$3)/$B$4)*$B$4/($B$4-$B$5)+EXP(-(J353-$J$42-$B$3)/$B$5)*$B$5/($B$4-$B$5))</f>
        <v/>
      </c>
      <c r="M353">
        <f>$D$2*M352-$D$3*M351 + $D$4*K313+$D$5*K314</f>
        <v/>
      </c>
      <c r="N353">
        <f>$E$2 *N343 - $E$3 *N333 + $E$4 *K302 + $E$5 * K292</f>
        <v/>
      </c>
      <c r="O353">
        <f>$F$2 * O333 - $F$3 * O313 + $F$4 * K293 + $F$5 * K273</f>
        <v/>
      </c>
      <c r="Q353">
        <f>L353-M353</f>
        <v/>
      </c>
      <c r="R353">
        <f>L353-N353</f>
        <v/>
      </c>
      <c r="S353">
        <f>L353-O353</f>
        <v/>
      </c>
    </row>
    <row r="354">
      <c r="J354" t="n">
        <v>352</v>
      </c>
      <c r="K354" t="n">
        <v>1</v>
      </c>
      <c r="L354">
        <f>$B$2*K354*(1-EXP(-(J354-$J$42-$B$3)/$B$4)*$B$4/($B$4-$B$5)+EXP(-(J354-$J$42-$B$3)/$B$5)*$B$5/($B$4-$B$5))</f>
        <v/>
      </c>
      <c r="M354">
        <f>$D$2*M353-$D$3*M352 + $D$4*K314+$D$5*K315</f>
        <v/>
      </c>
      <c r="N354">
        <f>$E$2 *N344 - $E$3 *N334 + $E$4 *K303 + $E$5 * K293</f>
        <v/>
      </c>
      <c r="O354">
        <f>$F$2 * O334 - $F$3 * O314 + $F$4 * K294 + $F$5 * K274</f>
        <v/>
      </c>
      <c r="Q354">
        <f>L354-M354</f>
        <v/>
      </c>
      <c r="R354">
        <f>L354-N354</f>
        <v/>
      </c>
      <c r="S354">
        <f>L354-O354</f>
        <v/>
      </c>
    </row>
    <row r="355">
      <c r="J355" t="n">
        <v>353</v>
      </c>
      <c r="K355" t="n">
        <v>1</v>
      </c>
      <c r="L355">
        <f>$B$2*K355*(1-EXP(-(J355-$J$42-$B$3)/$B$4)*$B$4/($B$4-$B$5)+EXP(-(J355-$J$42-$B$3)/$B$5)*$B$5/($B$4-$B$5))</f>
        <v/>
      </c>
      <c r="M355">
        <f>$D$2*M354-$D$3*M353 + $D$4*K315+$D$5*K316</f>
        <v/>
      </c>
      <c r="N355">
        <f>$E$2 *N345 - $E$3 *N335 + $E$4 *K304 + $E$5 * K294</f>
        <v/>
      </c>
      <c r="O355">
        <f>$F$2 * O335 - $F$3 * O315 + $F$4 * K295 + $F$5 * K275</f>
        <v/>
      </c>
      <c r="Q355">
        <f>L355-M355</f>
        <v/>
      </c>
      <c r="R355">
        <f>L355-N355</f>
        <v/>
      </c>
      <c r="S355">
        <f>L355-O355</f>
        <v/>
      </c>
    </row>
    <row r="356">
      <c r="J356" t="n">
        <v>354</v>
      </c>
      <c r="K356" t="n">
        <v>1</v>
      </c>
      <c r="L356">
        <f>$B$2*K356*(1-EXP(-(J356-$J$42-$B$3)/$B$4)*$B$4/($B$4-$B$5)+EXP(-(J356-$J$42-$B$3)/$B$5)*$B$5/($B$4-$B$5))</f>
        <v/>
      </c>
      <c r="M356">
        <f>$D$2*M355-$D$3*M354 + $D$4*K316+$D$5*K317</f>
        <v/>
      </c>
      <c r="N356">
        <f>$E$2 *N346 - $E$3 *N336 + $E$4 *K305 + $E$5 * K295</f>
        <v/>
      </c>
      <c r="O356">
        <f>$F$2 * O336 - $F$3 * O316 + $F$4 * K296 + $F$5 * K276</f>
        <v/>
      </c>
      <c r="Q356">
        <f>L356-M356</f>
        <v/>
      </c>
      <c r="R356">
        <f>L356-N356</f>
        <v/>
      </c>
      <c r="S356">
        <f>L356-O356</f>
        <v/>
      </c>
    </row>
    <row r="357">
      <c r="J357" t="n">
        <v>355</v>
      </c>
      <c r="K357" t="n">
        <v>1</v>
      </c>
      <c r="L357">
        <f>$B$2*K357*(1-EXP(-(J357-$J$42-$B$3)/$B$4)*$B$4/($B$4-$B$5)+EXP(-(J357-$J$42-$B$3)/$B$5)*$B$5/($B$4-$B$5))</f>
        <v/>
      </c>
      <c r="M357">
        <f>$D$2*M356-$D$3*M355 + $D$4*K317+$D$5*K318</f>
        <v/>
      </c>
      <c r="N357">
        <f>$E$2 *N347 - $E$3 *N337 + $E$4 *K306 + $E$5 * K296</f>
        <v/>
      </c>
      <c r="O357">
        <f>$F$2 * O337 - $F$3 * O317 + $F$4 * K297 + $F$5 * K277</f>
        <v/>
      </c>
      <c r="Q357">
        <f>L357-M357</f>
        <v/>
      </c>
      <c r="R357">
        <f>L357-N357</f>
        <v/>
      </c>
      <c r="S357">
        <f>L357-O357</f>
        <v/>
      </c>
    </row>
    <row r="358">
      <c r="J358" t="n">
        <v>356</v>
      </c>
      <c r="K358" t="n">
        <v>1</v>
      </c>
      <c r="L358">
        <f>$B$2*K358*(1-EXP(-(J358-$J$42-$B$3)/$B$4)*$B$4/($B$4-$B$5)+EXP(-(J358-$J$42-$B$3)/$B$5)*$B$5/($B$4-$B$5))</f>
        <v/>
      </c>
      <c r="M358">
        <f>$D$2*M357-$D$3*M356 + $D$4*K318+$D$5*K319</f>
        <v/>
      </c>
      <c r="N358">
        <f>$E$2 *N348 - $E$3 *N338 + $E$4 *K307 + $E$5 * K297</f>
        <v/>
      </c>
      <c r="O358">
        <f>$F$2 * O338 - $F$3 * O318 + $F$4 * K298 + $F$5 * K278</f>
        <v/>
      </c>
      <c r="Q358">
        <f>L358-M358</f>
        <v/>
      </c>
      <c r="R358">
        <f>L358-N358</f>
        <v/>
      </c>
      <c r="S358">
        <f>L358-O358</f>
        <v/>
      </c>
    </row>
    <row r="359">
      <c r="J359" t="n">
        <v>357</v>
      </c>
      <c r="K359" t="n">
        <v>1</v>
      </c>
      <c r="L359">
        <f>$B$2*K359*(1-EXP(-(J359-$J$42-$B$3)/$B$4)*$B$4/($B$4-$B$5)+EXP(-(J359-$J$42-$B$3)/$B$5)*$B$5/($B$4-$B$5))</f>
        <v/>
      </c>
      <c r="M359">
        <f>$D$2*M358-$D$3*M357 + $D$4*K319+$D$5*K320</f>
        <v/>
      </c>
      <c r="N359">
        <f>$E$2 *N349 - $E$3 *N339 + $E$4 *K308 + $E$5 * K298</f>
        <v/>
      </c>
      <c r="O359">
        <f>$F$2 * O339 - $F$3 * O319 + $F$4 * K299 + $F$5 * K279</f>
        <v/>
      </c>
      <c r="Q359">
        <f>L359-M359</f>
        <v/>
      </c>
      <c r="R359">
        <f>L359-N359</f>
        <v/>
      </c>
      <c r="S359">
        <f>L359-O359</f>
        <v/>
      </c>
    </row>
    <row r="360">
      <c r="J360" t="n">
        <v>358</v>
      </c>
      <c r="K360" t="n">
        <v>1</v>
      </c>
      <c r="L360">
        <f>$B$2*K360*(1-EXP(-(J360-$J$42-$B$3)/$B$4)*$B$4/($B$4-$B$5)+EXP(-(J360-$J$42-$B$3)/$B$5)*$B$5/($B$4-$B$5))</f>
        <v/>
      </c>
      <c r="M360">
        <f>$D$2*M359-$D$3*M358 + $D$4*K320+$D$5*K321</f>
        <v/>
      </c>
      <c r="N360">
        <f>$E$2 *N350 - $E$3 *N340 + $E$4 *K309 + $E$5 * K299</f>
        <v/>
      </c>
      <c r="O360">
        <f>$F$2 * O340 - $F$3 * O320 + $F$4 * K300 + $F$5 * K280</f>
        <v/>
      </c>
      <c r="Q360">
        <f>L360-M360</f>
        <v/>
      </c>
      <c r="R360">
        <f>L360-N360</f>
        <v/>
      </c>
      <c r="S360">
        <f>L360-O360</f>
        <v/>
      </c>
    </row>
    <row r="361">
      <c r="J361" t="n">
        <v>359</v>
      </c>
      <c r="K361" t="n">
        <v>1</v>
      </c>
      <c r="L361">
        <f>$B$2*K361*(1-EXP(-(J361-$J$42-$B$3)/$B$4)*$B$4/($B$4-$B$5)+EXP(-(J361-$J$42-$B$3)/$B$5)*$B$5/($B$4-$B$5))</f>
        <v/>
      </c>
      <c r="M361">
        <f>$D$2*M360-$D$3*M359 + $D$4*K321+$D$5*K322</f>
        <v/>
      </c>
      <c r="N361">
        <f>$E$2 *N351 - $E$3 *N341 + $E$4 *K310 + $E$5 * K300</f>
        <v/>
      </c>
      <c r="O361">
        <f>$F$2 * O341 - $F$3 * O321 + $F$4 * K301 + $F$5 * K281</f>
        <v/>
      </c>
      <c r="Q361">
        <f>L361-M361</f>
        <v/>
      </c>
      <c r="R361">
        <f>L361-N361</f>
        <v/>
      </c>
      <c r="S361">
        <f>L361-O361</f>
        <v/>
      </c>
    </row>
    <row r="362">
      <c r="J362" t="n">
        <v>360</v>
      </c>
      <c r="K362" t="n">
        <v>1</v>
      </c>
      <c r="L362">
        <f>$B$2*K362*(1-EXP(-(J362-$J$42-$B$3)/$B$4)*$B$4/($B$4-$B$5)+EXP(-(J362-$J$42-$B$3)/$B$5)*$B$5/($B$4-$B$5))</f>
        <v/>
      </c>
      <c r="M362">
        <f>$D$2*M361-$D$3*M360 + $D$4*K322+$D$5*K323</f>
        <v/>
      </c>
      <c r="N362">
        <f>$E$2 *N352 - $E$3 *N342 + $E$4 *K311 + $E$5 * K301</f>
        <v/>
      </c>
      <c r="O362">
        <f>$F$2 * O342 - $F$3 * O322 + $F$4 * K302 + $F$5 * K282</f>
        <v/>
      </c>
      <c r="Q362">
        <f>L362-M362</f>
        <v/>
      </c>
      <c r="R362">
        <f>L362-N362</f>
        <v/>
      </c>
      <c r="S362">
        <f>L362-O362</f>
        <v/>
      </c>
    </row>
    <row r="363">
      <c r="J363" t="n">
        <v>361</v>
      </c>
      <c r="K363" t="n">
        <v>1</v>
      </c>
      <c r="L363">
        <f>$B$2*K363*(1-EXP(-(J363-$J$42-$B$3)/$B$4)*$B$4/($B$4-$B$5)+EXP(-(J363-$J$42-$B$3)/$B$5)*$B$5/($B$4-$B$5))</f>
        <v/>
      </c>
      <c r="M363">
        <f>$D$2*M362-$D$3*M361 + $D$4*K323+$D$5*K324</f>
        <v/>
      </c>
      <c r="N363">
        <f>$E$2 *N353 - $E$3 *N343 + $E$4 *K312 + $E$5 * K302</f>
        <v/>
      </c>
      <c r="O363">
        <f>$F$2 * O343 - $F$3 * O323 + $F$4 * K303 + $F$5 * K283</f>
        <v/>
      </c>
      <c r="Q363">
        <f>L363-M363</f>
        <v/>
      </c>
      <c r="R363">
        <f>L363-N363</f>
        <v/>
      </c>
      <c r="S363">
        <f>L363-O363</f>
        <v/>
      </c>
    </row>
    <row r="364">
      <c r="J364" t="n">
        <v>362</v>
      </c>
      <c r="K364" t="n">
        <v>1</v>
      </c>
      <c r="L364">
        <f>$B$2*K364*(1-EXP(-(J364-$J$42-$B$3)/$B$4)*$B$4/($B$4-$B$5)+EXP(-(J364-$J$42-$B$3)/$B$5)*$B$5/($B$4-$B$5))</f>
        <v/>
      </c>
      <c r="M364">
        <f>$D$2*M363-$D$3*M362 + $D$4*K324+$D$5*K325</f>
        <v/>
      </c>
      <c r="N364">
        <f>$E$2 *N354 - $E$3 *N344 + $E$4 *K313 + $E$5 * K303</f>
        <v/>
      </c>
      <c r="O364">
        <f>$F$2 * O344 - $F$3 * O324 + $F$4 * K304 + $F$5 * K284</f>
        <v/>
      </c>
      <c r="Q364">
        <f>L364-M364</f>
        <v/>
      </c>
      <c r="R364">
        <f>L364-N364</f>
        <v/>
      </c>
      <c r="S364">
        <f>L364-O364</f>
        <v/>
      </c>
    </row>
    <row r="365">
      <c r="J365" t="n">
        <v>363</v>
      </c>
      <c r="K365" t="n">
        <v>1</v>
      </c>
      <c r="L365">
        <f>$B$2*K365*(1-EXP(-(J365-$J$42-$B$3)/$B$4)*$B$4/($B$4-$B$5)+EXP(-(J365-$J$42-$B$3)/$B$5)*$B$5/($B$4-$B$5))</f>
        <v/>
      </c>
      <c r="M365">
        <f>$D$2*M364-$D$3*M363 + $D$4*K325+$D$5*K326</f>
        <v/>
      </c>
      <c r="N365">
        <f>$E$2 *N355 - $E$3 *N345 + $E$4 *K314 + $E$5 * K304</f>
        <v/>
      </c>
      <c r="O365">
        <f>$F$2 * O345 - $F$3 * O325 + $F$4 * K305 + $F$5 * K285</f>
        <v/>
      </c>
      <c r="Q365">
        <f>L365-M365</f>
        <v/>
      </c>
      <c r="R365">
        <f>L365-N365</f>
        <v/>
      </c>
      <c r="S365">
        <f>L365-O365</f>
        <v/>
      </c>
    </row>
    <row r="366">
      <c r="J366" t="n">
        <v>364</v>
      </c>
      <c r="K366" t="n">
        <v>1</v>
      </c>
      <c r="L366">
        <f>$B$2*K366*(1-EXP(-(J366-$J$42-$B$3)/$B$4)*$B$4/($B$4-$B$5)+EXP(-(J366-$J$42-$B$3)/$B$5)*$B$5/($B$4-$B$5))</f>
        <v/>
      </c>
      <c r="M366">
        <f>$D$2*M365-$D$3*M364 + $D$4*K326+$D$5*K327</f>
        <v/>
      </c>
      <c r="N366">
        <f>$E$2 *N356 - $E$3 *N346 + $E$4 *K315 + $E$5 * K305</f>
        <v/>
      </c>
      <c r="O366">
        <f>$F$2 * O346 - $F$3 * O326 + $F$4 * K306 + $F$5 * K286</f>
        <v/>
      </c>
      <c r="Q366">
        <f>L366-M366</f>
        <v/>
      </c>
      <c r="R366">
        <f>L366-N366</f>
        <v/>
      </c>
      <c r="S366">
        <f>L366-O366</f>
        <v/>
      </c>
    </row>
    <row r="367">
      <c r="J367" t="n">
        <v>365</v>
      </c>
      <c r="K367" t="n">
        <v>1</v>
      </c>
      <c r="L367">
        <f>$B$2*K367*(1-EXP(-(J367-$J$42-$B$3)/$B$4)*$B$4/($B$4-$B$5)+EXP(-(J367-$J$42-$B$3)/$B$5)*$B$5/($B$4-$B$5))</f>
        <v/>
      </c>
      <c r="M367">
        <f>$D$2*M366-$D$3*M365 + $D$4*K327+$D$5*K328</f>
        <v/>
      </c>
      <c r="N367">
        <f>$E$2 *N357 - $E$3 *N347 + $E$4 *K316 + $E$5 * K306</f>
        <v/>
      </c>
      <c r="O367">
        <f>$F$2 * O347 - $F$3 * O327 + $F$4 * K307 + $F$5 * K287</f>
        <v/>
      </c>
      <c r="Q367">
        <f>L367-M367</f>
        <v/>
      </c>
      <c r="R367">
        <f>L367-N367</f>
        <v/>
      </c>
      <c r="S367">
        <f>L367-O367</f>
        <v/>
      </c>
    </row>
    <row r="368">
      <c r="J368" t="n">
        <v>366</v>
      </c>
      <c r="K368" t="n">
        <v>1</v>
      </c>
      <c r="L368">
        <f>$B$2*K368*(1-EXP(-(J368-$J$42-$B$3)/$B$4)*$B$4/($B$4-$B$5)+EXP(-(J368-$J$42-$B$3)/$B$5)*$B$5/($B$4-$B$5))</f>
        <v/>
      </c>
      <c r="M368">
        <f>$D$2*M367-$D$3*M366 + $D$4*K328+$D$5*K329</f>
        <v/>
      </c>
      <c r="N368">
        <f>$E$2 *N358 - $E$3 *N348 + $E$4 *K317 + $E$5 * K307</f>
        <v/>
      </c>
      <c r="O368">
        <f>$F$2 * O348 - $F$3 * O328 + $F$4 * K308 + $F$5 * K288</f>
        <v/>
      </c>
      <c r="Q368">
        <f>L368-M368</f>
        <v/>
      </c>
      <c r="R368">
        <f>L368-N368</f>
        <v/>
      </c>
      <c r="S368">
        <f>L368-O368</f>
        <v/>
      </c>
    </row>
    <row r="369">
      <c r="J369" t="n">
        <v>367</v>
      </c>
      <c r="K369" t="n">
        <v>1</v>
      </c>
      <c r="L369">
        <f>$B$2*K369*(1-EXP(-(J369-$J$42-$B$3)/$B$4)*$B$4/($B$4-$B$5)+EXP(-(J369-$J$42-$B$3)/$B$5)*$B$5/($B$4-$B$5))</f>
        <v/>
      </c>
      <c r="M369">
        <f>$D$2*M368-$D$3*M367 + $D$4*K329+$D$5*K330</f>
        <v/>
      </c>
      <c r="N369">
        <f>$E$2 *N359 - $E$3 *N349 + $E$4 *K318 + $E$5 * K308</f>
        <v/>
      </c>
      <c r="O369">
        <f>$F$2 * O349 - $F$3 * O329 + $F$4 * K309 + $F$5 * K289</f>
        <v/>
      </c>
      <c r="Q369">
        <f>L369-M369</f>
        <v/>
      </c>
      <c r="R369">
        <f>L369-N369</f>
        <v/>
      </c>
      <c r="S369">
        <f>L369-O369</f>
        <v/>
      </c>
    </row>
    <row r="370">
      <c r="J370" t="n">
        <v>368</v>
      </c>
      <c r="K370" t="n">
        <v>1</v>
      </c>
      <c r="L370">
        <f>$B$2*K370*(1-EXP(-(J370-$J$42-$B$3)/$B$4)*$B$4/($B$4-$B$5)+EXP(-(J370-$J$42-$B$3)/$B$5)*$B$5/($B$4-$B$5))</f>
        <v/>
      </c>
      <c r="M370">
        <f>$D$2*M369-$D$3*M368 + $D$4*K330+$D$5*K331</f>
        <v/>
      </c>
      <c r="N370">
        <f>$E$2 *N360 - $E$3 *N350 + $E$4 *K319 + $E$5 * K309</f>
        <v/>
      </c>
      <c r="O370">
        <f>$F$2 * O350 - $F$3 * O330 + $F$4 * K310 + $F$5 * K290</f>
        <v/>
      </c>
      <c r="Q370">
        <f>L370-M370</f>
        <v/>
      </c>
      <c r="R370">
        <f>L370-N370</f>
        <v/>
      </c>
      <c r="S370">
        <f>L370-O370</f>
        <v/>
      </c>
    </row>
    <row r="371">
      <c r="J371" t="n">
        <v>369</v>
      </c>
      <c r="K371" t="n">
        <v>1</v>
      </c>
      <c r="L371">
        <f>$B$2*K371*(1-EXP(-(J371-$J$42-$B$3)/$B$4)*$B$4/($B$4-$B$5)+EXP(-(J371-$J$42-$B$3)/$B$5)*$B$5/($B$4-$B$5))</f>
        <v/>
      </c>
      <c r="M371">
        <f>$D$2*M370-$D$3*M369 + $D$4*K331+$D$5*K332</f>
        <v/>
      </c>
      <c r="N371">
        <f>$E$2 *N361 - $E$3 *N351 + $E$4 *K320 + $E$5 * K310</f>
        <v/>
      </c>
      <c r="O371">
        <f>$F$2 * O351 - $F$3 * O331 + $F$4 * K311 + $F$5 * K291</f>
        <v/>
      </c>
      <c r="Q371">
        <f>L371-M371</f>
        <v/>
      </c>
      <c r="R371">
        <f>L371-N371</f>
        <v/>
      </c>
      <c r="S371">
        <f>L371-O371</f>
        <v/>
      </c>
    </row>
    <row r="372">
      <c r="J372" t="n">
        <v>370</v>
      </c>
      <c r="K372" t="n">
        <v>1</v>
      </c>
      <c r="L372">
        <f>$B$2*K372*(1-EXP(-(J372-$J$42-$B$3)/$B$4)*$B$4/($B$4-$B$5)+EXP(-(J372-$J$42-$B$3)/$B$5)*$B$5/($B$4-$B$5))</f>
        <v/>
      </c>
      <c r="M372">
        <f>$D$2*M371-$D$3*M370 + $D$4*K332+$D$5*K333</f>
        <v/>
      </c>
      <c r="N372">
        <f>$E$2 *N362 - $E$3 *N352 + $E$4 *K321 + $E$5 * K311</f>
        <v/>
      </c>
      <c r="O372">
        <f>$F$2 * O352 - $F$3 * O332 + $F$4 * K312 + $F$5 * K292</f>
        <v/>
      </c>
      <c r="Q372">
        <f>L372-M372</f>
        <v/>
      </c>
      <c r="R372">
        <f>L372-N372</f>
        <v/>
      </c>
      <c r="S372">
        <f>L372-O372</f>
        <v/>
      </c>
    </row>
    <row r="373">
      <c r="J373" t="n">
        <v>371</v>
      </c>
      <c r="K373" t="n">
        <v>1</v>
      </c>
      <c r="L373">
        <f>$B$2*K373*(1-EXP(-(J373-$J$42-$B$3)/$B$4)*$B$4/($B$4-$B$5)+EXP(-(J373-$J$42-$B$3)/$B$5)*$B$5/($B$4-$B$5))</f>
        <v/>
      </c>
      <c r="M373">
        <f>$D$2*M372-$D$3*M371 + $D$4*K333+$D$5*K334</f>
        <v/>
      </c>
      <c r="N373">
        <f>$E$2 *N363 - $E$3 *N353 + $E$4 *K322 + $E$5 * K312</f>
        <v/>
      </c>
      <c r="O373">
        <f>$F$2 * O353 - $F$3 * O333 + $F$4 * K313 + $F$5 * K293</f>
        <v/>
      </c>
      <c r="Q373">
        <f>L373-M373</f>
        <v/>
      </c>
      <c r="R373">
        <f>L373-N373</f>
        <v/>
      </c>
      <c r="S373">
        <f>L373-O373</f>
        <v/>
      </c>
    </row>
    <row r="374">
      <c r="J374" t="n">
        <v>372</v>
      </c>
      <c r="K374" t="n">
        <v>1</v>
      </c>
      <c r="L374">
        <f>$B$2*K374*(1-EXP(-(J374-$J$42-$B$3)/$B$4)*$B$4/($B$4-$B$5)+EXP(-(J374-$J$42-$B$3)/$B$5)*$B$5/($B$4-$B$5))</f>
        <v/>
      </c>
      <c r="M374">
        <f>$D$2*M373-$D$3*M372 + $D$4*K334+$D$5*K335</f>
        <v/>
      </c>
      <c r="N374">
        <f>$E$2 *N364 - $E$3 *N354 + $E$4 *K323 + $E$5 * K313</f>
        <v/>
      </c>
      <c r="O374">
        <f>$F$2 * O354 - $F$3 * O334 + $F$4 * K314 + $F$5 * K294</f>
        <v/>
      </c>
      <c r="Q374">
        <f>L374-M374</f>
        <v/>
      </c>
      <c r="R374">
        <f>L374-N374</f>
        <v/>
      </c>
      <c r="S374">
        <f>L374-O374</f>
        <v/>
      </c>
    </row>
    <row r="375">
      <c r="J375" t="n">
        <v>373</v>
      </c>
      <c r="K375" t="n">
        <v>1</v>
      </c>
      <c r="L375">
        <f>$B$2*K375*(1-EXP(-(J375-$J$42-$B$3)/$B$4)*$B$4/($B$4-$B$5)+EXP(-(J375-$J$42-$B$3)/$B$5)*$B$5/($B$4-$B$5))</f>
        <v/>
      </c>
      <c r="M375">
        <f>$D$2*M374-$D$3*M373 + $D$4*K335+$D$5*K336</f>
        <v/>
      </c>
      <c r="N375">
        <f>$E$2 *N365 - $E$3 *N355 + $E$4 *K324 + $E$5 * K314</f>
        <v/>
      </c>
      <c r="O375">
        <f>$F$2 * O355 - $F$3 * O335 + $F$4 * K315 + $F$5 * K295</f>
        <v/>
      </c>
      <c r="Q375">
        <f>L375-M375</f>
        <v/>
      </c>
      <c r="R375">
        <f>L375-N375</f>
        <v/>
      </c>
      <c r="S375">
        <f>L375-O375</f>
        <v/>
      </c>
    </row>
    <row r="376">
      <c r="J376" t="n">
        <v>374</v>
      </c>
      <c r="K376" t="n">
        <v>1</v>
      </c>
      <c r="L376">
        <f>$B$2*K376*(1-EXP(-(J376-$J$42-$B$3)/$B$4)*$B$4/($B$4-$B$5)+EXP(-(J376-$J$42-$B$3)/$B$5)*$B$5/($B$4-$B$5))</f>
        <v/>
      </c>
      <c r="M376">
        <f>$D$2*M375-$D$3*M374 + $D$4*K336+$D$5*K337</f>
        <v/>
      </c>
      <c r="N376">
        <f>$E$2 *N366 - $E$3 *N356 + $E$4 *K325 + $E$5 * K315</f>
        <v/>
      </c>
      <c r="O376">
        <f>$F$2 * O356 - $F$3 * O336 + $F$4 * K316 + $F$5 * K296</f>
        <v/>
      </c>
      <c r="Q376">
        <f>L376-M376</f>
        <v/>
      </c>
      <c r="R376">
        <f>L376-N376</f>
        <v/>
      </c>
      <c r="S376">
        <f>L376-O376</f>
        <v/>
      </c>
    </row>
    <row r="377">
      <c r="J377" t="n">
        <v>375</v>
      </c>
      <c r="K377" t="n">
        <v>1</v>
      </c>
      <c r="L377">
        <f>$B$2*K377*(1-EXP(-(J377-$J$42-$B$3)/$B$4)*$B$4/($B$4-$B$5)+EXP(-(J377-$J$42-$B$3)/$B$5)*$B$5/($B$4-$B$5))</f>
        <v/>
      </c>
      <c r="M377">
        <f>$D$2*M376-$D$3*M375 + $D$4*K337+$D$5*K338</f>
        <v/>
      </c>
      <c r="N377">
        <f>$E$2 *N367 - $E$3 *N357 + $E$4 *K326 + $E$5 * K316</f>
        <v/>
      </c>
      <c r="O377">
        <f>$F$2 * O357 - $F$3 * O337 + $F$4 * K317 + $F$5 * K297</f>
        <v/>
      </c>
      <c r="Q377">
        <f>L377-M377</f>
        <v/>
      </c>
      <c r="R377">
        <f>L377-N377</f>
        <v/>
      </c>
      <c r="S377">
        <f>L377-O377</f>
        <v/>
      </c>
    </row>
    <row r="378">
      <c r="J378" t="n">
        <v>376</v>
      </c>
      <c r="K378" t="n">
        <v>1</v>
      </c>
      <c r="L378">
        <f>$B$2*K378*(1-EXP(-(J378-$J$42-$B$3)/$B$4)*$B$4/($B$4-$B$5)+EXP(-(J378-$J$42-$B$3)/$B$5)*$B$5/($B$4-$B$5))</f>
        <v/>
      </c>
      <c r="M378">
        <f>$D$2*M377-$D$3*M376 + $D$4*K338+$D$5*K339</f>
        <v/>
      </c>
      <c r="N378">
        <f>$E$2 *N368 - $E$3 *N358 + $E$4 *K327 + $E$5 * K317</f>
        <v/>
      </c>
      <c r="O378">
        <f>$F$2 * O358 - $F$3 * O338 + $F$4 * K318 + $F$5 * K298</f>
        <v/>
      </c>
      <c r="Q378">
        <f>L378-M378</f>
        <v/>
      </c>
      <c r="R378">
        <f>L378-N378</f>
        <v/>
      </c>
      <c r="S378">
        <f>L378-O378</f>
        <v/>
      </c>
    </row>
    <row r="379">
      <c r="J379" t="n">
        <v>377</v>
      </c>
      <c r="K379" t="n">
        <v>1</v>
      </c>
      <c r="L379">
        <f>$B$2*K379*(1-EXP(-(J379-$J$42-$B$3)/$B$4)*$B$4/($B$4-$B$5)+EXP(-(J379-$J$42-$B$3)/$B$5)*$B$5/($B$4-$B$5))</f>
        <v/>
      </c>
      <c r="M379">
        <f>$D$2*M378-$D$3*M377 + $D$4*K339+$D$5*K340</f>
        <v/>
      </c>
      <c r="N379">
        <f>$E$2 *N369 - $E$3 *N359 + $E$4 *K328 + $E$5 * K318</f>
        <v/>
      </c>
      <c r="O379">
        <f>$F$2 * O359 - $F$3 * O339 + $F$4 * K319 + $F$5 * K299</f>
        <v/>
      </c>
      <c r="Q379">
        <f>L379-M379</f>
        <v/>
      </c>
      <c r="R379">
        <f>L379-N379</f>
        <v/>
      </c>
      <c r="S379">
        <f>L379-O379</f>
        <v/>
      </c>
    </row>
    <row r="380">
      <c r="J380" t="n">
        <v>378</v>
      </c>
      <c r="K380" t="n">
        <v>1</v>
      </c>
      <c r="L380">
        <f>$B$2*K380*(1-EXP(-(J380-$J$42-$B$3)/$B$4)*$B$4/($B$4-$B$5)+EXP(-(J380-$J$42-$B$3)/$B$5)*$B$5/($B$4-$B$5))</f>
        <v/>
      </c>
      <c r="M380">
        <f>$D$2*M379-$D$3*M378 + $D$4*K340+$D$5*K341</f>
        <v/>
      </c>
      <c r="N380">
        <f>$E$2 *N370 - $E$3 *N360 + $E$4 *K329 + $E$5 * K319</f>
        <v/>
      </c>
      <c r="O380">
        <f>$F$2 * O360 - $F$3 * O340 + $F$4 * K320 + $F$5 * K300</f>
        <v/>
      </c>
      <c r="Q380">
        <f>L380-M380</f>
        <v/>
      </c>
      <c r="R380">
        <f>L380-N380</f>
        <v/>
      </c>
      <c r="S380">
        <f>L380-O380</f>
        <v/>
      </c>
    </row>
    <row r="381">
      <c r="J381" t="n">
        <v>379</v>
      </c>
      <c r="K381" t="n">
        <v>1</v>
      </c>
      <c r="L381">
        <f>$B$2*K381*(1-EXP(-(J381-$J$42-$B$3)/$B$4)*$B$4/($B$4-$B$5)+EXP(-(J381-$J$42-$B$3)/$B$5)*$B$5/($B$4-$B$5))</f>
        <v/>
      </c>
      <c r="M381">
        <f>$D$2*M380-$D$3*M379 + $D$4*K341+$D$5*K342</f>
        <v/>
      </c>
      <c r="N381">
        <f>$E$2 *N371 - $E$3 *N361 + $E$4 *K330 + $E$5 * K320</f>
        <v/>
      </c>
      <c r="O381">
        <f>$F$2 * O361 - $F$3 * O341 + $F$4 * K321 + $F$5 * K301</f>
        <v/>
      </c>
      <c r="Q381">
        <f>L381-M381</f>
        <v/>
      </c>
      <c r="R381">
        <f>L381-N381</f>
        <v/>
      </c>
      <c r="S381">
        <f>L381-O381</f>
        <v/>
      </c>
    </row>
    <row r="382">
      <c r="J382" t="n">
        <v>380</v>
      </c>
      <c r="K382" t="n">
        <v>1</v>
      </c>
      <c r="L382">
        <f>$B$2*K382*(1-EXP(-(J382-$J$42-$B$3)/$B$4)*$B$4/($B$4-$B$5)+EXP(-(J382-$J$42-$B$3)/$B$5)*$B$5/($B$4-$B$5))</f>
        <v/>
      </c>
      <c r="M382">
        <f>$D$2*M381-$D$3*M380 + $D$4*K342+$D$5*K343</f>
        <v/>
      </c>
      <c r="N382">
        <f>$E$2 *N372 - $E$3 *N362 + $E$4 *K331 + $E$5 * K321</f>
        <v/>
      </c>
      <c r="O382">
        <f>$F$2 * O362 - $F$3 * O342 + $F$4 * K322 + $F$5 * K302</f>
        <v/>
      </c>
      <c r="Q382">
        <f>L382-M382</f>
        <v/>
      </c>
      <c r="R382">
        <f>L382-N382</f>
        <v/>
      </c>
      <c r="S382">
        <f>L382-O382</f>
        <v/>
      </c>
    </row>
    <row r="383">
      <c r="J383" t="n">
        <v>381</v>
      </c>
      <c r="K383" t="n">
        <v>1</v>
      </c>
      <c r="L383">
        <f>$B$2*K383*(1-EXP(-(J383-$J$42-$B$3)/$B$4)*$B$4/($B$4-$B$5)+EXP(-(J383-$J$42-$B$3)/$B$5)*$B$5/($B$4-$B$5))</f>
        <v/>
      </c>
      <c r="M383">
        <f>$D$2*M382-$D$3*M381 + $D$4*K343+$D$5*K344</f>
        <v/>
      </c>
      <c r="N383">
        <f>$E$2 *N373 - $E$3 *N363 + $E$4 *K332 + $E$5 * K322</f>
        <v/>
      </c>
      <c r="O383">
        <f>$F$2 * O363 - $F$3 * O343 + $F$4 * K323 + $F$5 * K303</f>
        <v/>
      </c>
      <c r="Q383">
        <f>L383-M383</f>
        <v/>
      </c>
      <c r="R383">
        <f>L383-N383</f>
        <v/>
      </c>
      <c r="S383">
        <f>L383-O383</f>
        <v/>
      </c>
    </row>
    <row r="384">
      <c r="J384" t="n">
        <v>382</v>
      </c>
      <c r="K384" t="n">
        <v>1</v>
      </c>
      <c r="L384">
        <f>$B$2*K384*(1-EXP(-(J384-$J$42-$B$3)/$B$4)*$B$4/($B$4-$B$5)+EXP(-(J384-$J$42-$B$3)/$B$5)*$B$5/($B$4-$B$5))</f>
        <v/>
      </c>
      <c r="M384">
        <f>$D$2*M383-$D$3*M382 + $D$4*K344+$D$5*K345</f>
        <v/>
      </c>
      <c r="N384">
        <f>$E$2 *N374 - $E$3 *N364 + $E$4 *K333 + $E$5 * K323</f>
        <v/>
      </c>
      <c r="O384">
        <f>$F$2 * O364 - $F$3 * O344 + $F$4 * K324 + $F$5 * K304</f>
        <v/>
      </c>
      <c r="Q384">
        <f>L384-M384</f>
        <v/>
      </c>
      <c r="R384">
        <f>L384-N384</f>
        <v/>
      </c>
      <c r="S384">
        <f>L384-O384</f>
        <v/>
      </c>
    </row>
    <row r="385">
      <c r="J385" t="n">
        <v>383</v>
      </c>
      <c r="K385" t="n">
        <v>1</v>
      </c>
      <c r="L385">
        <f>$B$2*K385*(1-EXP(-(J385-$J$42-$B$3)/$B$4)*$B$4/($B$4-$B$5)+EXP(-(J385-$J$42-$B$3)/$B$5)*$B$5/($B$4-$B$5))</f>
        <v/>
      </c>
      <c r="M385">
        <f>$D$2*M384-$D$3*M383 + $D$4*K345+$D$5*K346</f>
        <v/>
      </c>
      <c r="N385">
        <f>$E$2 *N375 - $E$3 *N365 + $E$4 *K334 + $E$5 * K324</f>
        <v/>
      </c>
      <c r="O385">
        <f>$F$2 * O365 - $F$3 * O345 + $F$4 * K325 + $F$5 * K305</f>
        <v/>
      </c>
      <c r="Q385">
        <f>L385-M385</f>
        <v/>
      </c>
      <c r="R385">
        <f>L385-N385</f>
        <v/>
      </c>
      <c r="S385">
        <f>L385-O385</f>
        <v/>
      </c>
    </row>
    <row r="386">
      <c r="J386" t="n">
        <v>384</v>
      </c>
      <c r="K386" t="n">
        <v>1</v>
      </c>
      <c r="L386">
        <f>$B$2*K386*(1-EXP(-(J386-$J$42-$B$3)/$B$4)*$B$4/($B$4-$B$5)+EXP(-(J386-$J$42-$B$3)/$B$5)*$B$5/($B$4-$B$5))</f>
        <v/>
      </c>
      <c r="M386">
        <f>$D$2*M385-$D$3*M384 + $D$4*K346+$D$5*K347</f>
        <v/>
      </c>
      <c r="N386">
        <f>$E$2 *N376 - $E$3 *N366 + $E$4 *K335 + $E$5 * K325</f>
        <v/>
      </c>
      <c r="O386">
        <f>$F$2 * O366 - $F$3 * O346 + $F$4 * K326 + $F$5 * K306</f>
        <v/>
      </c>
      <c r="Q386">
        <f>L386-M386</f>
        <v/>
      </c>
      <c r="R386">
        <f>L386-N386</f>
        <v/>
      </c>
      <c r="S386">
        <f>L386-O386</f>
        <v/>
      </c>
    </row>
    <row r="387">
      <c r="J387" t="n">
        <v>385</v>
      </c>
      <c r="K387" t="n">
        <v>1</v>
      </c>
      <c r="L387">
        <f>$B$2*K387*(1-EXP(-(J387-$J$42-$B$3)/$B$4)*$B$4/($B$4-$B$5)+EXP(-(J387-$J$42-$B$3)/$B$5)*$B$5/($B$4-$B$5))</f>
        <v/>
      </c>
      <c r="M387">
        <f>$D$2*M386-$D$3*M385 + $D$4*K347+$D$5*K348</f>
        <v/>
      </c>
      <c r="N387">
        <f>$E$2 *N377 - $E$3 *N367 + $E$4 *K336 + $E$5 * K326</f>
        <v/>
      </c>
      <c r="O387">
        <f>$F$2 * O367 - $F$3 * O347 + $F$4 * K327 + $F$5 * K307</f>
        <v/>
      </c>
      <c r="Q387">
        <f>L387-M387</f>
        <v/>
      </c>
      <c r="R387">
        <f>L387-N387</f>
        <v/>
      </c>
      <c r="S387">
        <f>L387-O387</f>
        <v/>
      </c>
    </row>
    <row r="388">
      <c r="J388" t="n">
        <v>386</v>
      </c>
      <c r="K388" t="n">
        <v>1</v>
      </c>
      <c r="L388">
        <f>$B$2*K388*(1-EXP(-(J388-$J$42-$B$3)/$B$4)*$B$4/($B$4-$B$5)+EXP(-(J388-$J$42-$B$3)/$B$5)*$B$5/($B$4-$B$5))</f>
        <v/>
      </c>
      <c r="M388">
        <f>$D$2*M387-$D$3*M386 + $D$4*K348+$D$5*K349</f>
        <v/>
      </c>
      <c r="N388">
        <f>$E$2 *N378 - $E$3 *N368 + $E$4 *K337 + $E$5 * K327</f>
        <v/>
      </c>
      <c r="O388">
        <f>$F$2 * O368 - $F$3 * O348 + $F$4 * K328 + $F$5 * K308</f>
        <v/>
      </c>
      <c r="Q388">
        <f>L388-M388</f>
        <v/>
      </c>
      <c r="R388">
        <f>L388-N388</f>
        <v/>
      </c>
      <c r="S388">
        <f>L388-O388</f>
        <v/>
      </c>
    </row>
    <row r="389">
      <c r="J389" t="n">
        <v>387</v>
      </c>
      <c r="K389" t="n">
        <v>1</v>
      </c>
      <c r="L389">
        <f>$B$2*K389*(1-EXP(-(J389-$J$42-$B$3)/$B$4)*$B$4/($B$4-$B$5)+EXP(-(J389-$J$42-$B$3)/$B$5)*$B$5/($B$4-$B$5))</f>
        <v/>
      </c>
      <c r="M389">
        <f>$D$2*M388-$D$3*M387 + $D$4*K349+$D$5*K350</f>
        <v/>
      </c>
      <c r="N389">
        <f>$E$2 *N379 - $E$3 *N369 + $E$4 *K338 + $E$5 * K328</f>
        <v/>
      </c>
      <c r="O389">
        <f>$F$2 * O369 - $F$3 * O349 + $F$4 * K329 + $F$5 * K309</f>
        <v/>
      </c>
      <c r="Q389">
        <f>L389-M389</f>
        <v/>
      </c>
      <c r="R389">
        <f>L389-N389</f>
        <v/>
      </c>
      <c r="S389">
        <f>L389-O389</f>
        <v/>
      </c>
    </row>
    <row r="390">
      <c r="J390" t="n">
        <v>388</v>
      </c>
      <c r="K390" t="n">
        <v>1</v>
      </c>
      <c r="L390">
        <f>$B$2*K390*(1-EXP(-(J390-$J$42-$B$3)/$B$4)*$B$4/($B$4-$B$5)+EXP(-(J390-$J$42-$B$3)/$B$5)*$B$5/($B$4-$B$5))</f>
        <v/>
      </c>
      <c r="M390">
        <f>$D$2*M389-$D$3*M388 + $D$4*K350+$D$5*K351</f>
        <v/>
      </c>
      <c r="N390">
        <f>$E$2 *N380 - $E$3 *N370 + $E$4 *K339 + $E$5 * K329</f>
        <v/>
      </c>
      <c r="O390">
        <f>$F$2 * O370 - $F$3 * O350 + $F$4 * K330 + $F$5 * K310</f>
        <v/>
      </c>
      <c r="Q390">
        <f>L390-M390</f>
        <v/>
      </c>
      <c r="R390">
        <f>L390-N390</f>
        <v/>
      </c>
      <c r="S390">
        <f>L390-O390</f>
        <v/>
      </c>
    </row>
    <row r="391">
      <c r="J391" t="n">
        <v>389</v>
      </c>
      <c r="K391" t="n">
        <v>1</v>
      </c>
      <c r="L391">
        <f>$B$2*K391*(1-EXP(-(J391-$J$42-$B$3)/$B$4)*$B$4/($B$4-$B$5)+EXP(-(J391-$J$42-$B$3)/$B$5)*$B$5/($B$4-$B$5))</f>
        <v/>
      </c>
      <c r="M391">
        <f>$D$2*M390-$D$3*M389 + $D$4*K351+$D$5*K352</f>
        <v/>
      </c>
      <c r="N391">
        <f>$E$2 *N381 - $E$3 *N371 + $E$4 *K340 + $E$5 * K330</f>
        <v/>
      </c>
      <c r="O391">
        <f>$F$2 * O371 - $F$3 * O351 + $F$4 * K331 + $F$5 * K311</f>
        <v/>
      </c>
      <c r="Q391">
        <f>L391-M391</f>
        <v/>
      </c>
      <c r="R391">
        <f>L391-N391</f>
        <v/>
      </c>
      <c r="S391">
        <f>L391-O391</f>
        <v/>
      </c>
    </row>
    <row r="392">
      <c r="J392" t="n">
        <v>390</v>
      </c>
      <c r="K392" t="n">
        <v>1</v>
      </c>
      <c r="L392">
        <f>$B$2*K392*(1-EXP(-(J392-$J$42-$B$3)/$B$4)*$B$4/($B$4-$B$5)+EXP(-(J392-$J$42-$B$3)/$B$5)*$B$5/($B$4-$B$5))</f>
        <v/>
      </c>
      <c r="M392">
        <f>$D$2*M391-$D$3*M390 + $D$4*K352+$D$5*K353</f>
        <v/>
      </c>
      <c r="N392">
        <f>$E$2 *N382 - $E$3 *N372 + $E$4 *K341 + $E$5 * K331</f>
        <v/>
      </c>
      <c r="O392">
        <f>$F$2 * O372 - $F$3 * O352 + $F$4 * K332 + $F$5 * K312</f>
        <v/>
      </c>
      <c r="Q392">
        <f>L392-M392</f>
        <v/>
      </c>
      <c r="R392">
        <f>L392-N392</f>
        <v/>
      </c>
      <c r="S392">
        <f>L392-O392</f>
        <v/>
      </c>
    </row>
    <row r="393">
      <c r="J393" t="n">
        <v>391</v>
      </c>
      <c r="K393" t="n">
        <v>1</v>
      </c>
      <c r="L393">
        <f>$B$2*K393*(1-EXP(-(J393-$J$42-$B$3)/$B$4)*$B$4/($B$4-$B$5)+EXP(-(J393-$J$42-$B$3)/$B$5)*$B$5/($B$4-$B$5))</f>
        <v/>
      </c>
      <c r="M393">
        <f>$D$2*M392-$D$3*M391 + $D$4*K353+$D$5*K354</f>
        <v/>
      </c>
      <c r="N393">
        <f>$E$2 *N383 - $E$3 *N373 + $E$4 *K342 + $E$5 * K332</f>
        <v/>
      </c>
      <c r="O393">
        <f>$F$2 * O373 - $F$3 * O353 + $F$4 * K333 + $F$5 * K313</f>
        <v/>
      </c>
      <c r="Q393">
        <f>L393-M393</f>
        <v/>
      </c>
      <c r="R393">
        <f>L393-N393</f>
        <v/>
      </c>
      <c r="S393">
        <f>L393-O393</f>
        <v/>
      </c>
    </row>
    <row r="394">
      <c r="J394" t="n">
        <v>392</v>
      </c>
      <c r="K394" t="n">
        <v>1</v>
      </c>
      <c r="L394">
        <f>$B$2*K394*(1-EXP(-(J394-$J$42-$B$3)/$B$4)*$B$4/($B$4-$B$5)+EXP(-(J394-$J$42-$B$3)/$B$5)*$B$5/($B$4-$B$5))</f>
        <v/>
      </c>
      <c r="M394">
        <f>$D$2*M393-$D$3*M392 + $D$4*K354+$D$5*K355</f>
        <v/>
      </c>
      <c r="N394">
        <f>$E$2 *N384 - $E$3 *N374 + $E$4 *K343 + $E$5 * K333</f>
        <v/>
      </c>
      <c r="O394">
        <f>$F$2 * O374 - $F$3 * O354 + $F$4 * K334 + $F$5 * K314</f>
        <v/>
      </c>
      <c r="Q394">
        <f>L394-M394</f>
        <v/>
      </c>
      <c r="R394">
        <f>L394-N394</f>
        <v/>
      </c>
      <c r="S394">
        <f>L394-O394</f>
        <v/>
      </c>
    </row>
    <row r="395">
      <c r="J395" t="n">
        <v>393</v>
      </c>
      <c r="K395" t="n">
        <v>1</v>
      </c>
      <c r="L395">
        <f>$B$2*K395*(1-EXP(-(J395-$J$42-$B$3)/$B$4)*$B$4/($B$4-$B$5)+EXP(-(J395-$J$42-$B$3)/$B$5)*$B$5/($B$4-$B$5))</f>
        <v/>
      </c>
      <c r="M395">
        <f>$D$2*M394-$D$3*M393 + $D$4*K355+$D$5*K356</f>
        <v/>
      </c>
      <c r="N395">
        <f>$E$2 *N385 - $E$3 *N375 + $E$4 *K344 + $E$5 * K334</f>
        <v/>
      </c>
      <c r="O395">
        <f>$F$2 * O375 - $F$3 * O355 + $F$4 * K335 + $F$5 * K315</f>
        <v/>
      </c>
      <c r="Q395">
        <f>L395-M395</f>
        <v/>
      </c>
      <c r="R395">
        <f>L395-N395</f>
        <v/>
      </c>
      <c r="S395">
        <f>L395-O395</f>
        <v/>
      </c>
    </row>
    <row r="396">
      <c r="J396" t="n">
        <v>394</v>
      </c>
      <c r="K396" t="n">
        <v>1</v>
      </c>
      <c r="L396">
        <f>$B$2*K396*(1-EXP(-(J396-$J$42-$B$3)/$B$4)*$B$4/($B$4-$B$5)+EXP(-(J396-$J$42-$B$3)/$B$5)*$B$5/($B$4-$B$5))</f>
        <v/>
      </c>
      <c r="M396">
        <f>$D$2*M395-$D$3*M394 + $D$4*K356+$D$5*K357</f>
        <v/>
      </c>
      <c r="N396">
        <f>$E$2 *N386 - $E$3 *N376 + $E$4 *K345 + $E$5 * K335</f>
        <v/>
      </c>
      <c r="O396">
        <f>$F$2 * O376 - $F$3 * O356 + $F$4 * K336 + $F$5 * K316</f>
        <v/>
      </c>
      <c r="Q396">
        <f>L396-M396</f>
        <v/>
      </c>
      <c r="R396">
        <f>L396-N396</f>
        <v/>
      </c>
      <c r="S396">
        <f>L396-O396</f>
        <v/>
      </c>
    </row>
    <row r="397">
      <c r="J397" t="n">
        <v>395</v>
      </c>
      <c r="K397" t="n">
        <v>1</v>
      </c>
      <c r="L397">
        <f>$B$2*K397*(1-EXP(-(J397-$J$42-$B$3)/$B$4)*$B$4/($B$4-$B$5)+EXP(-(J397-$J$42-$B$3)/$B$5)*$B$5/($B$4-$B$5))</f>
        <v/>
      </c>
      <c r="M397">
        <f>$D$2*M396-$D$3*M395 + $D$4*K357+$D$5*K358</f>
        <v/>
      </c>
      <c r="N397">
        <f>$E$2 *N387 - $E$3 *N377 + $E$4 *K346 + $E$5 * K336</f>
        <v/>
      </c>
      <c r="O397">
        <f>$F$2 * O377 - $F$3 * O357 + $F$4 * K337 + $F$5 * K317</f>
        <v/>
      </c>
      <c r="Q397">
        <f>L397-M397</f>
        <v/>
      </c>
      <c r="R397">
        <f>L397-N397</f>
        <v/>
      </c>
      <c r="S397">
        <f>L397-O397</f>
        <v/>
      </c>
    </row>
    <row r="398">
      <c r="J398" t="n">
        <v>396</v>
      </c>
      <c r="K398" t="n">
        <v>1</v>
      </c>
      <c r="L398">
        <f>$B$2*K398*(1-EXP(-(J398-$J$42-$B$3)/$B$4)*$B$4/($B$4-$B$5)+EXP(-(J398-$J$42-$B$3)/$B$5)*$B$5/($B$4-$B$5))</f>
        <v/>
      </c>
      <c r="M398">
        <f>$D$2*M397-$D$3*M396 + $D$4*K358+$D$5*K359</f>
        <v/>
      </c>
      <c r="N398">
        <f>$E$2 *N388 - $E$3 *N378 + $E$4 *K347 + $E$5 * K337</f>
        <v/>
      </c>
      <c r="O398">
        <f>$F$2 * O378 - $F$3 * O358 + $F$4 * K338 + $F$5 * K318</f>
        <v/>
      </c>
      <c r="Q398">
        <f>L398-M398</f>
        <v/>
      </c>
      <c r="R398">
        <f>L398-N398</f>
        <v/>
      </c>
      <c r="S398">
        <f>L398-O398</f>
        <v/>
      </c>
    </row>
    <row r="399">
      <c r="J399" t="n">
        <v>397</v>
      </c>
      <c r="K399" t="n">
        <v>1</v>
      </c>
      <c r="L399">
        <f>$B$2*K399*(1-EXP(-(J399-$J$42-$B$3)/$B$4)*$B$4/($B$4-$B$5)+EXP(-(J399-$J$42-$B$3)/$B$5)*$B$5/($B$4-$B$5))</f>
        <v/>
      </c>
      <c r="M399">
        <f>$D$2*M398-$D$3*M397 + $D$4*K359+$D$5*K360</f>
        <v/>
      </c>
      <c r="N399">
        <f>$E$2 *N389 - $E$3 *N379 + $E$4 *K348 + $E$5 * K338</f>
        <v/>
      </c>
      <c r="O399">
        <f>$F$2 * O379 - $F$3 * O359 + $F$4 * K339 + $F$5 * K319</f>
        <v/>
      </c>
      <c r="Q399">
        <f>L399-M399</f>
        <v/>
      </c>
      <c r="R399">
        <f>L399-N399</f>
        <v/>
      </c>
      <c r="S399">
        <f>L399-O399</f>
        <v/>
      </c>
    </row>
    <row r="400">
      <c r="J400" t="n">
        <v>398</v>
      </c>
      <c r="K400" t="n">
        <v>1</v>
      </c>
      <c r="L400">
        <f>$B$2*K400*(1-EXP(-(J400-$J$42-$B$3)/$B$4)*$B$4/($B$4-$B$5)+EXP(-(J400-$J$42-$B$3)/$B$5)*$B$5/($B$4-$B$5))</f>
        <v/>
      </c>
      <c r="M400">
        <f>$D$2*M399-$D$3*M398 + $D$4*K360+$D$5*K361</f>
        <v/>
      </c>
      <c r="N400">
        <f>$E$2 *N390 - $E$3 *N380 + $E$4 *K349 + $E$5 * K339</f>
        <v/>
      </c>
      <c r="O400">
        <f>$F$2 * O380 - $F$3 * O360 + $F$4 * K340 + $F$5 * K320</f>
        <v/>
      </c>
      <c r="Q400">
        <f>L400-M400</f>
        <v/>
      </c>
      <c r="R400">
        <f>L400-N400</f>
        <v/>
      </c>
      <c r="S400">
        <f>L400-O400</f>
        <v/>
      </c>
    </row>
    <row r="401">
      <c r="J401" t="n">
        <v>399</v>
      </c>
      <c r="K401" t="n">
        <v>1</v>
      </c>
      <c r="L401">
        <f>$B$2*K401*(1-EXP(-(J401-$J$42-$B$3)/$B$4)*$B$4/($B$4-$B$5)+EXP(-(J401-$J$42-$B$3)/$B$5)*$B$5/($B$4-$B$5))</f>
        <v/>
      </c>
      <c r="M401">
        <f>$D$2*M400-$D$3*M399 + $D$4*K361+$D$5*K362</f>
        <v/>
      </c>
      <c r="N401">
        <f>$E$2 *N391 - $E$3 *N381 + $E$4 *K350 + $E$5 * K340</f>
        <v/>
      </c>
      <c r="O401">
        <f>$F$2 * O381 - $F$3 * O361 + $F$4 * K341 + $F$5 * K321</f>
        <v/>
      </c>
      <c r="Q401">
        <f>L401-M401</f>
        <v/>
      </c>
      <c r="R401">
        <f>L401-N401</f>
        <v/>
      </c>
      <c r="S401">
        <f>L401-O401</f>
        <v/>
      </c>
    </row>
    <row r="402">
      <c r="J402" t="n">
        <v>400</v>
      </c>
      <c r="K402" t="n">
        <v>1</v>
      </c>
      <c r="L402">
        <f>$B$2*K402*(1-EXP(-(J402-$J$42-$B$3)/$B$4)*$B$4/($B$4-$B$5)+EXP(-(J402-$J$42-$B$3)/$B$5)*$B$5/($B$4-$B$5))</f>
        <v/>
      </c>
      <c r="M402">
        <f>$D$2*M401-$D$3*M400 + $D$4*K362+$D$5*K363</f>
        <v/>
      </c>
      <c r="N402">
        <f>$E$2 *N392 - $E$3 *N382 + $E$4 *K351 + $E$5 * K341</f>
        <v/>
      </c>
      <c r="O402">
        <f>$F$2 * O382 - $F$3 * O362 + $F$4 * K342 + $F$5 * K322</f>
        <v/>
      </c>
      <c r="Q402">
        <f>L402-M402</f>
        <v/>
      </c>
      <c r="R402">
        <f>L402-N402</f>
        <v/>
      </c>
      <c r="S402">
        <f>L402-O402</f>
        <v/>
      </c>
    </row>
  </sheetData>
  <mergeCells count="1">
    <mergeCell ref="A1:B1"/>
  </mergeCells>
  <pageMargins left="0.7" right="0.7" top="0.75" bottom="0.75" header="0.3" footer="0.3"/>
  <pageSetup orientation="portrait" paperSize="0" horizontalDpi="0" verticalDpi="0" copies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9"/>
  <sheetViews>
    <sheetView workbookViewId="0">
      <selection activeCell="J11" sqref="J11"/>
    </sheetView>
  </sheetViews>
  <sheetFormatPr baseColWidth="8" defaultRowHeight="14.4"/>
  <sheetData>
    <row r="1">
      <c r="A1" s="43" t="inlineStr">
        <is>
          <t>регулятор</t>
        </is>
      </c>
      <c r="D1" s="43" t="inlineStr">
        <is>
          <t>ЭНП</t>
        </is>
      </c>
      <c r="G1" s="43" t="inlineStr">
        <is>
          <t>ЭТТ</t>
        </is>
      </c>
    </row>
    <row r="2">
      <c r="A2" t="inlineStr">
        <is>
          <t>Kr</t>
        </is>
      </c>
      <c r="B2" t="n">
        <v>6</v>
      </c>
      <c r="C2" s="11" t="inlineStr">
        <is>
          <t>Тц</t>
        </is>
      </c>
      <c r="D2" s="10" t="n">
        <v>1</v>
      </c>
      <c r="E2" t="n">
        <v>5</v>
      </c>
      <c r="F2" s="9" t="n">
        <v>10</v>
      </c>
      <c r="G2" t="n">
        <v>1</v>
      </c>
      <c r="H2" t="n">
        <v>5</v>
      </c>
      <c r="I2" s="9" t="n">
        <v>10</v>
      </c>
    </row>
    <row r="3">
      <c r="A3" t="inlineStr">
        <is>
          <t>Ti</t>
        </is>
      </c>
      <c r="B3" t="n">
        <v>20</v>
      </c>
      <c r="C3" s="11" t="inlineStr">
        <is>
          <t>q0</t>
        </is>
      </c>
      <c r="D3" s="10">
        <f>$B$2*(1+$B$4)</f>
        <v/>
      </c>
      <c r="E3">
        <f>$B$2*(1+$B$4)</f>
        <v/>
      </c>
      <c r="F3" s="9">
        <f>$B$2*(1+$B$4)</f>
        <v/>
      </c>
      <c r="G3">
        <f>$B$2*(1+G$2/(2*$B$3)+$B$4/G$2)</f>
        <v/>
      </c>
      <c r="H3">
        <f>$B$2*(1+H$2/(2*$B$3)+$B$4/H$2)</f>
        <v/>
      </c>
      <c r="I3" s="9">
        <f>$B$2*(1+I$2/(2*$B$3)+$B$4/I$2)</f>
        <v/>
      </c>
    </row>
    <row r="4">
      <c r="A4" t="inlineStr">
        <is>
          <t>Td</t>
        </is>
      </c>
      <c r="B4" t="n">
        <v>5</v>
      </c>
      <c r="C4" s="11" t="inlineStr">
        <is>
          <t>q1</t>
        </is>
      </c>
      <c r="D4" s="10">
        <f>$B$2*(D$2/$B$3-1-2*$B$4)</f>
        <v/>
      </c>
      <c r="E4">
        <f>$B$2*(E$2/$B$3-1-2*$B$4)</f>
        <v/>
      </c>
      <c r="F4" s="9">
        <f>$B$2*(F$2/$B$3-1-2*$B$4)</f>
        <v/>
      </c>
      <c r="G4">
        <f>$B$2*(G$2/(2*$B$3)-1-2*$B$4/G$2)</f>
        <v/>
      </c>
      <c r="H4">
        <f>$B$2*(H$2/(2*$B$3)-1-2*$B$4/H$2)</f>
        <v/>
      </c>
      <c r="I4" s="9">
        <f>$B$2*(I$2/(2*$B$3)-1-2*$B$4/I$2)</f>
        <v/>
      </c>
    </row>
    <row r="5">
      <c r="C5" s="11" t="inlineStr">
        <is>
          <t>q2</t>
        </is>
      </c>
      <c r="D5" s="12">
        <f>$B$2*$B$4</f>
        <v/>
      </c>
      <c r="E5" s="13">
        <f>$B$2*$B$4</f>
        <v/>
      </c>
      <c r="F5" s="14">
        <f>$B$2*$B$4</f>
        <v/>
      </c>
      <c r="G5" s="13">
        <f>($B$2 * $B$4)/G2</f>
        <v/>
      </c>
      <c r="H5" s="13">
        <f>($B$2 * $B$4)/H2</f>
        <v/>
      </c>
      <c r="I5" s="14">
        <f>($B$2 * $B$4)/I2</f>
        <v/>
      </c>
    </row>
    <row r="7">
      <c r="C7" s="42" t="inlineStr">
        <is>
          <t>ЭНП</t>
        </is>
      </c>
      <c r="F7" s="42" t="inlineStr">
        <is>
          <t>ЭТТ</t>
        </is>
      </c>
      <c r="M7" s="42" t="inlineStr">
        <is>
          <t>ЭНП</t>
        </is>
      </c>
      <c r="P7" s="42" t="inlineStr">
        <is>
          <t>ЭТТ</t>
        </is>
      </c>
    </row>
    <row r="8">
      <c r="A8" t="inlineStr">
        <is>
          <t>t,с</t>
        </is>
      </c>
      <c r="B8" t="inlineStr">
        <is>
          <t>e</t>
        </is>
      </c>
      <c r="C8" t="inlineStr">
        <is>
          <t>T=1</t>
        </is>
      </c>
      <c r="D8" t="inlineStr">
        <is>
          <t>T=5</t>
        </is>
      </c>
      <c r="E8" t="inlineStr">
        <is>
          <t>T=10</t>
        </is>
      </c>
      <c r="F8" t="inlineStr">
        <is>
          <t>T=1</t>
        </is>
      </c>
      <c r="G8" t="inlineStr">
        <is>
          <t>T=5</t>
        </is>
      </c>
      <c r="H8" t="inlineStr">
        <is>
          <t>T=10</t>
        </is>
      </c>
      <c r="L8" t="inlineStr">
        <is>
          <t>e</t>
        </is>
      </c>
      <c r="M8" t="inlineStr">
        <is>
          <t>T=1</t>
        </is>
      </c>
      <c r="N8" t="inlineStr">
        <is>
          <t>T=5</t>
        </is>
      </c>
      <c r="O8" t="inlineStr">
        <is>
          <t>T=10</t>
        </is>
      </c>
      <c r="P8" t="inlineStr">
        <is>
          <t>T=1</t>
        </is>
      </c>
      <c r="Q8" t="inlineStr">
        <is>
          <t>T=5</t>
        </is>
      </c>
      <c r="R8" t="inlineStr">
        <is>
          <t>T=10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2</v>
      </c>
      <c r="B11" t="n">
        <v>0</v>
      </c>
      <c r="C11">
        <f>C10+D$3*$B11+D$4*$B10+D$5*$B9</f>
        <v/>
      </c>
      <c r="D11" t="n">
        <v>0</v>
      </c>
      <c r="E11" t="n">
        <v>0</v>
      </c>
      <c r="F11">
        <f>F10+G$3*$B11+G$4*$B10+G$5*$B9</f>
        <v/>
      </c>
      <c r="G11" t="n">
        <v>0</v>
      </c>
      <c r="H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3</v>
      </c>
      <c r="B12" t="n">
        <v>0</v>
      </c>
      <c r="C12">
        <f>C11+D$3*$B12+D$4*$B11+D$5*$B10</f>
        <v/>
      </c>
      <c r="D12" t="n">
        <v>0</v>
      </c>
      <c r="E12" t="n">
        <v>0</v>
      </c>
      <c r="F12">
        <f>F11+G$3*$B12+G$4*$B11+G$5*$B10</f>
        <v/>
      </c>
      <c r="G12" t="n">
        <v>0</v>
      </c>
      <c r="H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4</v>
      </c>
      <c r="B13" t="n">
        <v>0</v>
      </c>
      <c r="C13">
        <f>C12+D$3*$B13+D$4*$B12+D$5*$B11</f>
        <v/>
      </c>
      <c r="D13" t="n">
        <v>0</v>
      </c>
      <c r="E13" t="n">
        <v>0</v>
      </c>
      <c r="F13">
        <f>F12+G$3*$B13+G$4*$B12+G$5*$B11</f>
        <v/>
      </c>
      <c r="G13" t="n">
        <v>0</v>
      </c>
      <c r="H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5</v>
      </c>
      <c r="B14" t="n">
        <v>0</v>
      </c>
      <c r="C14">
        <f>C13+D$3*$B14+D$4*$B13+D$5*$B12</f>
        <v/>
      </c>
      <c r="D14" t="n">
        <v>0</v>
      </c>
      <c r="E14" t="n">
        <v>0</v>
      </c>
      <c r="F14">
        <f>F13+G$3*$B14+G$4*$B13+G$5*$B12</f>
        <v/>
      </c>
      <c r="G14" t="n">
        <v>0</v>
      </c>
      <c r="H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6</v>
      </c>
      <c r="B15" t="n">
        <v>0</v>
      </c>
      <c r="C15">
        <f>C14+D$3*$B15+D$4*$B14+D$5*$B13</f>
        <v/>
      </c>
      <c r="D15" t="n">
        <v>0</v>
      </c>
      <c r="E15" t="n">
        <v>0</v>
      </c>
      <c r="F15">
        <f>F14+G$3*$B15+G$4*$B14+G$5*$B13</f>
        <v/>
      </c>
      <c r="G15" t="n">
        <v>0</v>
      </c>
      <c r="H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7</v>
      </c>
      <c r="B16" t="n">
        <v>0</v>
      </c>
      <c r="C16">
        <f>C15+D$3*$B16+D$4*$B15+D$5*$B14</f>
        <v/>
      </c>
      <c r="D16" t="n">
        <v>0</v>
      </c>
      <c r="E16" t="n">
        <v>0</v>
      </c>
      <c r="F16">
        <f>F15+G$3*$B16+G$4*$B15+G$5*$B14</f>
        <v/>
      </c>
      <c r="G16" t="n">
        <v>0</v>
      </c>
      <c r="H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8</v>
      </c>
      <c r="B17" t="n">
        <v>0</v>
      </c>
      <c r="C17">
        <f>C16+D$3*$B17+D$4*$B16+D$5*$B15</f>
        <v/>
      </c>
      <c r="D17" t="n">
        <v>0</v>
      </c>
      <c r="E17" t="n">
        <v>0</v>
      </c>
      <c r="F17">
        <f>F16+G$3*$B17+G$4*$B16+G$5*$B15</f>
        <v/>
      </c>
      <c r="G17" t="n">
        <v>0</v>
      </c>
      <c r="H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9</v>
      </c>
      <c r="B18" t="n">
        <v>0</v>
      </c>
      <c r="C18">
        <f>C17+D$3*$B18+D$4*$B17+D$5*$B16</f>
        <v/>
      </c>
      <c r="D18" t="n">
        <v>0</v>
      </c>
      <c r="E18" t="n">
        <v>0</v>
      </c>
      <c r="F18">
        <f>F17+G$3*$B18+G$4*$B17+G$5*$B16</f>
        <v/>
      </c>
      <c r="G18" t="n">
        <v>0</v>
      </c>
      <c r="H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10</v>
      </c>
      <c r="B19" t="n">
        <v>0</v>
      </c>
      <c r="C19">
        <f>C18+D$3*$B19+D$4*$B18+D$5*$B17</f>
        <v/>
      </c>
      <c r="D19">
        <f>D14+E$3*$B19+E$4*$B14+E$5*$B9</f>
        <v/>
      </c>
      <c r="E19" t="n">
        <v>0</v>
      </c>
      <c r="F19">
        <f>F18+G$3*$B19+G$4*$B18+G$5*$B17</f>
        <v/>
      </c>
      <c r="G19">
        <f>G14+H$3*$B19+H$4*$B14+H$5*$B9</f>
        <v/>
      </c>
      <c r="H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11</v>
      </c>
      <c r="B20" t="n">
        <v>0</v>
      </c>
      <c r="C20">
        <f>C19+D$3*$B20+D$4*$B19+D$5*$B18</f>
        <v/>
      </c>
      <c r="D20">
        <f>D15+E$3*$B20+E$4*$B15+E$5*$B10</f>
        <v/>
      </c>
      <c r="E20" t="n">
        <v>0</v>
      </c>
      <c r="F20">
        <f>F19+G$3*$B20+G$4*$B19+G$5*$B18</f>
        <v/>
      </c>
      <c r="G20">
        <f>G15+H$3*$B20+H$4*$B15+H$5*$B10</f>
        <v/>
      </c>
      <c r="H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12</v>
      </c>
      <c r="B21" t="n">
        <v>0</v>
      </c>
      <c r="C21">
        <f>C20+D$3*$B21+D$4*$B20+D$5*$B19</f>
        <v/>
      </c>
      <c r="D21">
        <f>D16+E$3*$B21+E$4*$B16+E$5*$B11</f>
        <v/>
      </c>
      <c r="E21" t="n">
        <v>0</v>
      </c>
      <c r="F21">
        <f>F20+G$3*$B21+G$4*$B20+G$5*$B19</f>
        <v/>
      </c>
      <c r="G21">
        <f>G16+H$3*$B21+H$4*$B16+H$5*$B11</f>
        <v/>
      </c>
      <c r="H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13</v>
      </c>
      <c r="B22" t="n">
        <v>0</v>
      </c>
      <c r="C22">
        <f>C21+D$3*$B22+D$4*$B21+D$5*$B20</f>
        <v/>
      </c>
      <c r="D22">
        <f>D17+E$3*$B22+E$4*$B17+E$5*$B12</f>
        <v/>
      </c>
      <c r="E22" t="n">
        <v>0</v>
      </c>
      <c r="F22">
        <f>F21+G$3*$B22+G$4*$B21+G$5*$B20</f>
        <v/>
      </c>
      <c r="G22">
        <f>G17+H$3*$B22+H$4*$B17+H$5*$B12</f>
        <v/>
      </c>
      <c r="H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14</v>
      </c>
      <c r="B23" t="n">
        <v>0</v>
      </c>
      <c r="C23">
        <f>C22+D$3*$B23+D$4*$B22+D$5*$B21</f>
        <v/>
      </c>
      <c r="D23">
        <f>D18+E$3*$B23+E$4*$B18+E$5*$B13</f>
        <v/>
      </c>
      <c r="E23" t="n">
        <v>0</v>
      </c>
      <c r="F23">
        <f>F22+G$3*$B23+G$4*$B22+G$5*$B21</f>
        <v/>
      </c>
      <c r="G23">
        <f>G18+H$3*$B23+H$4*$B18+H$5*$B13</f>
        <v/>
      </c>
      <c r="H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15</v>
      </c>
      <c r="B24" t="n">
        <v>0</v>
      </c>
      <c r="C24">
        <f>C23+D$3*$B24+D$4*$B23+D$5*$B22</f>
        <v/>
      </c>
      <c r="D24">
        <f>D19+E$3*$B24+E$4*$B19+E$5*$B14</f>
        <v/>
      </c>
      <c r="E24" t="n">
        <v>0</v>
      </c>
      <c r="F24">
        <f>F23+G$3*$B24+G$4*$B23+G$5*$B22</f>
        <v/>
      </c>
      <c r="G24">
        <f>G19+H$3*$B24+H$4*$B19+H$5*$B14</f>
        <v/>
      </c>
      <c r="H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16</v>
      </c>
      <c r="B25" t="n">
        <v>0</v>
      </c>
      <c r="C25">
        <f>C24+D$3*$B25+D$4*$B24+D$5*$B23</f>
        <v/>
      </c>
      <c r="D25">
        <f>D20+E$3*$B25+E$4*$B20+E$5*$B15</f>
        <v/>
      </c>
      <c r="E25" t="n">
        <v>0</v>
      </c>
      <c r="F25">
        <f>F24+G$3*$B25+G$4*$B24+G$5*$B23</f>
        <v/>
      </c>
      <c r="G25">
        <f>G20+H$3*$B25+H$4*$B20+H$5*$B15</f>
        <v/>
      </c>
      <c r="H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17</v>
      </c>
      <c r="B26" t="n">
        <v>0</v>
      </c>
      <c r="C26">
        <f>C25+D$3*$B26+D$4*$B25+D$5*$B24</f>
        <v/>
      </c>
      <c r="D26">
        <f>D21+E$3*$B26+E$4*$B21+E$5*$B16</f>
        <v/>
      </c>
      <c r="E26" t="n">
        <v>0</v>
      </c>
      <c r="F26">
        <f>F25+G$3*$B26+G$4*$B25+G$5*$B24</f>
        <v/>
      </c>
      <c r="G26">
        <f>G21+H$3*$B26+H$4*$B21+H$5*$B16</f>
        <v/>
      </c>
      <c r="H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18</v>
      </c>
      <c r="B27" t="n">
        <v>0</v>
      </c>
      <c r="C27">
        <f>C26+D$3*$B27+D$4*$B26+D$5*$B25</f>
        <v/>
      </c>
      <c r="D27">
        <f>D22+E$3*$B27+E$4*$B22+E$5*$B17</f>
        <v/>
      </c>
      <c r="E27" t="n">
        <v>0</v>
      </c>
      <c r="F27">
        <f>F26+G$3*$B27+G$4*$B26+G$5*$B25</f>
        <v/>
      </c>
      <c r="G27">
        <f>G22+H$3*$B27+H$4*$B22+H$5*$B17</f>
        <v/>
      </c>
      <c r="H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19</v>
      </c>
      <c r="B28" t="n">
        <v>0</v>
      </c>
      <c r="C28">
        <f>C27+D$3*$B28+D$4*$B27+D$5*$B26</f>
        <v/>
      </c>
      <c r="D28">
        <f>D23+E$3*$B28+E$4*$B23+E$5*$B18</f>
        <v/>
      </c>
      <c r="E28" t="n">
        <v>0</v>
      </c>
      <c r="F28">
        <f>F27+G$3*$B28+G$4*$B27+G$5*$B26</f>
        <v/>
      </c>
      <c r="G28">
        <f>G23+H$3*$B28+H$4*$B23+H$5*$B18</f>
        <v/>
      </c>
      <c r="H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20</v>
      </c>
      <c r="B29" t="n">
        <v>0</v>
      </c>
      <c r="C29">
        <f>C28+D$3*$B29+D$4*$B28+D$5*$B27</f>
        <v/>
      </c>
      <c r="D29">
        <f>D24+E$3*$B29+E$4*$B24+E$5*$B19</f>
        <v/>
      </c>
      <c r="E29">
        <f>E19+F$3*$B29+F$4*$B19+F$5*$B9</f>
        <v/>
      </c>
      <c r="F29">
        <f>F28+G$3*$B29+G$4*$B28+G$5*$B27</f>
        <v/>
      </c>
      <c r="G29">
        <f>G24+H$3*$B29+H$4*$B24+H$5*$B19</f>
        <v/>
      </c>
      <c r="H29">
        <f>H19+I$3*$B29+I$4*$B19+I$5*$B9</f>
        <v/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21</v>
      </c>
      <c r="B30" t="n">
        <v>0</v>
      </c>
      <c r="C30">
        <f>C29+D$3*$B30+D$4*$B29+D$5*$B28</f>
        <v/>
      </c>
      <c r="D30">
        <f>D25+E$3*$B30+E$4*$B25+E$5*$B20</f>
        <v/>
      </c>
      <c r="E30">
        <f>E20+F$3*$B30+F$4*$B20+F$5*$B10</f>
        <v/>
      </c>
      <c r="F30">
        <f>F29+G$3*$B30+G$4*$B29+G$5*$B28</f>
        <v/>
      </c>
      <c r="G30">
        <f>G25+H$3*$B30+H$4*$B25+H$5*$B20</f>
        <v/>
      </c>
      <c r="H30">
        <f>H20+I$3*$B30+I$4*$B20+I$5*$B10</f>
        <v/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22</v>
      </c>
      <c r="B31" t="n">
        <v>0</v>
      </c>
      <c r="C31">
        <f>C30+D$3*$B31+D$4*$B30+D$5*$B29</f>
        <v/>
      </c>
      <c r="D31">
        <f>D26+E$3*$B31+E$4*$B26+E$5*$B21</f>
        <v/>
      </c>
      <c r="E31">
        <f>E21+F$3*$B31+F$4*$B21+F$5*$B11</f>
        <v/>
      </c>
      <c r="F31">
        <f>F30+G$3*$B31+G$4*$B30+G$5*$B29</f>
        <v/>
      </c>
      <c r="G31">
        <f>G26+H$3*$B31+H$4*$B26+H$5*$B21</f>
        <v/>
      </c>
      <c r="H31">
        <f>H21+I$3*$B31+I$4*$B21+I$5*$B11</f>
        <v/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23</v>
      </c>
      <c r="B32" t="n">
        <v>0</v>
      </c>
      <c r="C32">
        <f>C31+D$3*$B32+D$4*$B31+D$5*$B30</f>
        <v/>
      </c>
      <c r="D32">
        <f>D27+E$3*$B32+E$4*$B27+E$5*$B22</f>
        <v/>
      </c>
      <c r="E32">
        <f>E22+F$3*$B32+F$4*$B22+F$5*$B12</f>
        <v/>
      </c>
      <c r="F32">
        <f>F31+G$3*$B32+G$4*$B31+G$5*$B30</f>
        <v/>
      </c>
      <c r="G32">
        <f>G27+H$3*$B32+H$4*$B27+H$5*$B22</f>
        <v/>
      </c>
      <c r="H32">
        <f>H22+I$3*$B32+I$4*$B22+I$5*$B12</f>
        <v/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24</v>
      </c>
      <c r="B33" t="n">
        <v>0</v>
      </c>
      <c r="C33">
        <f>C32+D$3*$B33+D$4*$B32+D$5*$B31</f>
        <v/>
      </c>
      <c r="D33">
        <f>D28+E$3*$B33+E$4*$B28+E$5*$B23</f>
        <v/>
      </c>
      <c r="E33">
        <f>E23+F$3*$B33+F$4*$B23+F$5*$B13</f>
        <v/>
      </c>
      <c r="F33">
        <f>F32+G$3*$B33+G$4*$B32+G$5*$B31</f>
        <v/>
      </c>
      <c r="G33">
        <f>G28+H$3*$B33+H$4*$B28+H$5*$B23</f>
        <v/>
      </c>
      <c r="H33">
        <f>H23+I$3*$B33+I$4*$B23+I$5*$B13</f>
        <v/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25</v>
      </c>
      <c r="B34" t="n">
        <v>0</v>
      </c>
      <c r="C34">
        <f>C33+D$3*$B34+D$4*$B33+D$5*$B32</f>
        <v/>
      </c>
      <c r="D34">
        <f>D29+E$3*$B34+E$4*$B29+E$5*$B24</f>
        <v/>
      </c>
      <c r="E34">
        <f>E24+F$3*$B34+F$4*$B24+F$5*$B14</f>
        <v/>
      </c>
      <c r="F34">
        <f>F33+G$3*$B34+G$4*$B33+G$5*$B32</f>
        <v/>
      </c>
      <c r="G34">
        <f>G29+H$3*$B34+H$4*$B29+H$5*$B24</f>
        <v/>
      </c>
      <c r="H34">
        <f>H24+I$3*$B34+I$4*$B24+I$5*$B14</f>
        <v/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26</v>
      </c>
      <c r="B35" t="n">
        <v>0</v>
      </c>
      <c r="C35">
        <f>C34+D$3*$B35+D$4*$B34+D$5*$B33</f>
        <v/>
      </c>
      <c r="D35">
        <f>D30+E$3*$B35+E$4*$B30+E$5*$B25</f>
        <v/>
      </c>
      <c r="E35">
        <f>E25+F$3*$B35+F$4*$B25+F$5*$B15</f>
        <v/>
      </c>
      <c r="F35">
        <f>F34+G$3*$B35+G$4*$B34+G$5*$B33</f>
        <v/>
      </c>
      <c r="G35">
        <f>G30+H$3*$B35+H$4*$B30+H$5*$B25</f>
        <v/>
      </c>
      <c r="H35">
        <f>H25+I$3*$B35+I$4*$B25+I$5*$B15</f>
        <v/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27</v>
      </c>
      <c r="B36" t="n">
        <v>0</v>
      </c>
      <c r="C36">
        <f>C35+D$3*$B36+D$4*$B35+D$5*$B34</f>
        <v/>
      </c>
      <c r="D36">
        <f>D31+E$3*$B36+E$4*$B31+E$5*$B26</f>
        <v/>
      </c>
      <c r="E36">
        <f>E26+F$3*$B36+F$4*$B26+F$5*$B16</f>
        <v/>
      </c>
      <c r="F36">
        <f>F35+G$3*$B36+G$4*$B35+G$5*$B34</f>
        <v/>
      </c>
      <c r="G36">
        <f>G31+H$3*$B36+H$4*$B31+H$5*$B26</f>
        <v/>
      </c>
      <c r="H36">
        <f>H26+I$3*$B36+I$4*$B26+I$5*$B16</f>
        <v/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28</v>
      </c>
      <c r="B37" t="n">
        <v>0</v>
      </c>
      <c r="C37">
        <f>C36+D$3*$B37+D$4*$B36+D$5*$B35</f>
        <v/>
      </c>
      <c r="D37">
        <f>D32+E$3*$B37+E$4*$B32+E$5*$B27</f>
        <v/>
      </c>
      <c r="E37">
        <f>E27+F$3*$B37+F$4*$B27+F$5*$B17</f>
        <v/>
      </c>
      <c r="F37">
        <f>F36+G$3*$B37+G$4*$B36+G$5*$B35</f>
        <v/>
      </c>
      <c r="G37">
        <f>G32+H$3*$B37+H$4*$B32+H$5*$B27</f>
        <v/>
      </c>
      <c r="H37">
        <f>H27+I$3*$B37+I$4*$B27+I$5*$B17</f>
        <v/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29</v>
      </c>
      <c r="B38" t="n">
        <v>0</v>
      </c>
      <c r="C38">
        <f>C37+D$3*$B38+D$4*$B37+D$5*$B36</f>
        <v/>
      </c>
      <c r="D38">
        <f>D33+E$3*$B38+E$4*$B33+E$5*$B28</f>
        <v/>
      </c>
      <c r="E38">
        <f>E28+F$3*$B38+F$4*$B28+F$5*$B18</f>
        <v/>
      </c>
      <c r="F38">
        <f>F37+G$3*$B38+G$4*$B37+G$5*$B36</f>
        <v/>
      </c>
      <c r="G38">
        <f>G33+H$3*$B38+H$4*$B33+H$5*$B28</f>
        <v/>
      </c>
      <c r="H38">
        <f>H28+I$3*$B38+I$4*$B28+I$5*$B18</f>
        <v/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30</v>
      </c>
      <c r="B39" t="n">
        <v>0</v>
      </c>
      <c r="C39">
        <f>C38+D$3*$B39+D$4*$B38+D$5*$B37</f>
        <v/>
      </c>
      <c r="D39">
        <f>D34+E$3*$B39+E$4*$B34+E$5*$B29</f>
        <v/>
      </c>
      <c r="E39">
        <f>E29+F$3*$B39+F$4*$B29+F$5*$B19</f>
        <v/>
      </c>
      <c r="F39">
        <f>F38+G$3*$B39+G$4*$B38+G$5*$B37</f>
        <v/>
      </c>
      <c r="G39">
        <f>G34+H$3*$B39+H$4*$B34+H$5*$B29</f>
        <v/>
      </c>
      <c r="H39">
        <f>H29+I$3*$B39+I$4*$B29+I$5*$B19</f>
        <v/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31</v>
      </c>
      <c r="B40" t="n">
        <v>0</v>
      </c>
      <c r="C40">
        <f>C39+D$3*$B40+D$4*$B39+D$5*$B38</f>
        <v/>
      </c>
      <c r="D40">
        <f>D35+E$3*$B40+E$4*$B35+E$5*$B30</f>
        <v/>
      </c>
      <c r="E40">
        <f>E30+F$3*$B40+F$4*$B30+F$5*$B20</f>
        <v/>
      </c>
      <c r="F40">
        <f>F39+G$3*$B40+G$4*$B39+G$5*$B38</f>
        <v/>
      </c>
      <c r="G40">
        <f>G35+H$3*$B40+H$4*$B35+H$5*$B30</f>
        <v/>
      </c>
      <c r="H40">
        <f>H30+I$3*$B40+I$4*$B30+I$5*$B20</f>
        <v/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32</v>
      </c>
      <c r="B41" t="n">
        <v>0</v>
      </c>
      <c r="C41">
        <f>C40+D$3*$B41+D$4*$B40+D$5*$B39</f>
        <v/>
      </c>
      <c r="D41">
        <f>D36+E$3*$B41+E$4*$B36+E$5*$B31</f>
        <v/>
      </c>
      <c r="E41">
        <f>E31+F$3*$B41+F$4*$B31+F$5*$B21</f>
        <v/>
      </c>
      <c r="F41">
        <f>F40+G$3*$B41+G$4*$B40+G$5*$B39</f>
        <v/>
      </c>
      <c r="G41">
        <f>G36+H$3*$B41+H$4*$B36+H$5*$B31</f>
        <v/>
      </c>
      <c r="H41">
        <f>H31+I$3*$B41+I$4*$B31+I$5*$B21</f>
        <v/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33</v>
      </c>
      <c r="B42" t="n">
        <v>0</v>
      </c>
      <c r="C42">
        <f>C41+D$3*$B42+D$4*$B41+D$5*$B40</f>
        <v/>
      </c>
      <c r="D42">
        <f>D37+E$3*$B42+E$4*$B37+E$5*$B32</f>
        <v/>
      </c>
      <c r="E42">
        <f>E32+F$3*$B42+F$4*$B32+F$5*$B22</f>
        <v/>
      </c>
      <c r="F42">
        <f>F41+G$3*$B42+G$4*$B41+G$5*$B40</f>
        <v/>
      </c>
      <c r="G42">
        <f>G37+H$3*$B42+H$4*$B37+H$5*$B32</f>
        <v/>
      </c>
      <c r="H42">
        <f>H32+I$3*$B42+I$4*$B32+I$5*$B22</f>
        <v/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34</v>
      </c>
      <c r="B43" t="n">
        <v>0</v>
      </c>
      <c r="C43">
        <f>C42+D$3*$B43+D$4*$B42+D$5*$B41</f>
        <v/>
      </c>
      <c r="D43">
        <f>D38+E$3*$B43+E$4*$B38+E$5*$B33</f>
        <v/>
      </c>
      <c r="E43">
        <f>E33+F$3*$B43+F$4*$B33+F$5*$B23</f>
        <v/>
      </c>
      <c r="F43">
        <f>F42+G$3*$B43+G$4*$B42+G$5*$B41</f>
        <v/>
      </c>
      <c r="G43">
        <f>G38+H$3*$B43+H$4*$B38+H$5*$B33</f>
        <v/>
      </c>
      <c r="H43">
        <f>H33+I$3*$B43+I$4*$B33+I$5*$B23</f>
        <v/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35</v>
      </c>
      <c r="B44" t="n">
        <v>0</v>
      </c>
      <c r="C44">
        <f>C43+D$3*$B44+D$4*$B43+D$5*$B42</f>
        <v/>
      </c>
      <c r="D44">
        <f>D39+E$3*$B44+E$4*$B39+E$5*$B34</f>
        <v/>
      </c>
      <c r="E44">
        <f>E34+F$3*$B44+F$4*$B34+F$5*$B24</f>
        <v/>
      </c>
      <c r="F44">
        <f>F43+G$3*$B44+G$4*$B43+G$5*$B42</f>
        <v/>
      </c>
      <c r="G44">
        <f>G39+H$3*$B44+H$4*$B39+H$5*$B34</f>
        <v/>
      </c>
      <c r="H44">
        <f>H34+I$3*$B44+I$4*$B34+I$5*$B24</f>
        <v/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36</v>
      </c>
      <c r="B45" t="n">
        <v>0</v>
      </c>
      <c r="C45">
        <f>C44+D$3*$B45+D$4*$B44+D$5*$B43</f>
        <v/>
      </c>
      <c r="D45">
        <f>D40+E$3*$B45+E$4*$B40+E$5*$B35</f>
        <v/>
      </c>
      <c r="E45">
        <f>E35+F$3*$B45+F$4*$B35+F$5*$B25</f>
        <v/>
      </c>
      <c r="F45">
        <f>F44+G$3*$B45+G$4*$B44+G$5*$B43</f>
        <v/>
      </c>
      <c r="G45">
        <f>G40+H$3*$B45+H$4*$B40+H$5*$B35</f>
        <v/>
      </c>
      <c r="H45">
        <f>H35+I$3*$B45+I$4*$B35+I$5*$B25</f>
        <v/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37</v>
      </c>
      <c r="B46" t="n">
        <v>0</v>
      </c>
      <c r="C46">
        <f>C45+D$3*$B46+D$4*$B45+D$5*$B44</f>
        <v/>
      </c>
      <c r="D46">
        <f>D41+E$3*$B46+E$4*$B41+E$5*$B36</f>
        <v/>
      </c>
      <c r="E46">
        <f>E36+F$3*$B46+F$4*$B36+F$5*$B26</f>
        <v/>
      </c>
      <c r="F46">
        <f>F45+G$3*$B46+G$4*$B45+G$5*$B44</f>
        <v/>
      </c>
      <c r="G46">
        <f>G41+H$3*$B46+H$4*$B41+H$5*$B36</f>
        <v/>
      </c>
      <c r="H46">
        <f>H36+I$3*$B46+I$4*$B36+I$5*$B26</f>
        <v/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38</v>
      </c>
      <c r="B47" t="n">
        <v>0</v>
      </c>
      <c r="C47">
        <f>C46+D$3*$B47+D$4*$B46+D$5*$B45</f>
        <v/>
      </c>
      <c r="D47">
        <f>D42+E$3*$B47+E$4*$B42+E$5*$B37</f>
        <v/>
      </c>
      <c r="E47">
        <f>E37+F$3*$B47+F$4*$B37+F$5*$B27</f>
        <v/>
      </c>
      <c r="F47">
        <f>F46+G$3*$B47+G$4*$B46+G$5*$B45</f>
        <v/>
      </c>
      <c r="G47">
        <f>G42+H$3*$B47+H$4*$B42+H$5*$B37</f>
        <v/>
      </c>
      <c r="H47">
        <f>H37+I$3*$B47+I$4*$B37+I$5*$B27</f>
        <v/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39</v>
      </c>
      <c r="B48" t="n">
        <v>0</v>
      </c>
      <c r="C48">
        <f>C47+D$3*$B48+D$4*$B47+D$5*$B46</f>
        <v/>
      </c>
      <c r="D48">
        <f>D43+E$3*$B48+E$4*$B43+E$5*$B38</f>
        <v/>
      </c>
      <c r="E48">
        <f>E38+F$3*$B48+F$4*$B38+F$5*$B28</f>
        <v/>
      </c>
      <c r="F48">
        <f>F47+G$3*$B48+G$4*$B47+G$5*$B46</f>
        <v/>
      </c>
      <c r="G48">
        <f>G43+H$3*$B48+H$4*$B43+H$5*$B38</f>
        <v/>
      </c>
      <c r="H48">
        <f>H38+I$3*$B48+I$4*$B38+I$5*$B28</f>
        <v/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40</v>
      </c>
      <c r="B49" t="n">
        <v>1</v>
      </c>
      <c r="C49">
        <f>C48+D$3*$B49+D$4*$B48+D$5*$B47</f>
        <v/>
      </c>
      <c r="D49">
        <f>D44+E$3*$B49+E$4*$B44+E$5*$B39</f>
        <v/>
      </c>
      <c r="E49">
        <f>E39+F$3*$B49+F$4*$B39+F$5*$B29</f>
        <v/>
      </c>
      <c r="F49">
        <f>F48+G$3*$B49+G$4*$B48+G$5*$B47</f>
        <v/>
      </c>
      <c r="G49">
        <f>G44+H$3*$B49+H$4*$B44+H$5*$B39</f>
        <v/>
      </c>
      <c r="H49">
        <f>H39+I$3*$B49+I$4*$B39+I$5*$B29</f>
        <v/>
      </c>
      <c r="L49" t="n">
        <v>1</v>
      </c>
      <c r="M49">
        <f>IF(MOD($A49,D$2)=0,OFFSET(M49,-D$2,0)+ D$3* $B49+D$4*OFFSET($B49,-D$2,0)+ D$5*OFFSET($B49,-2* D$2,0), M48)</f>
        <v/>
      </c>
      <c r="N49">
        <f>IF(MOD($A49,E$2)=0,OFFSET(N49,-E$2,0)+ E$3* $B49+E$4*OFFSET($B49,-E$2,0)+ E$5*OFFSET($B49,-2* E$2,0), N48)</f>
        <v/>
      </c>
      <c r="O49">
        <f>IF(MOD($A49,F$2)=0,OFFSET(O49,-F$2,0)+ F$3* $B49+F$4*OFFSET($B49,-F$2,0)+ F$5*OFFSET($B49,-2* F$2,0), O48)</f>
        <v/>
      </c>
      <c r="P49">
        <f>IF(MOD($A49,G$2)=0,OFFSET(P49,-G$2,0)+ G$3* $B49+G$4*OFFSET($B49,-G$2,0)+ G$5*OFFSET($B49,-2* G$2,0), P48)</f>
        <v/>
      </c>
      <c r="Q49">
        <f>IF(MOD($A49,H$2)=0,OFFSET(Q49,-H$2,0)+ H$3* $B49+H$4*OFFSET($B49,-H$2,0)+ H$5*OFFSET($B49,-2* H$2,0), Q48)</f>
        <v/>
      </c>
      <c r="R49">
        <f>IF(MOD($A49,I$2)=0,OFFSET(R49,-I$2,0)+ I$3* $B49+I$4*OFFSET($B49,-I$2,0)+ I$5*OFFSET($B49,-2* I$2,0), R48)</f>
        <v/>
      </c>
    </row>
    <row r="50">
      <c r="A50" t="n">
        <v>41</v>
      </c>
      <c r="B50" t="n">
        <v>1</v>
      </c>
      <c r="C50">
        <f>C49+D$3*$B50+D$4*$B49+D$5*$B48</f>
        <v/>
      </c>
      <c r="D50">
        <f>D45+E$3*$B50+E$4*$B45+E$5*$B40</f>
        <v/>
      </c>
      <c r="E50">
        <f>E40+F$3*$B50+F$4*$B40+F$5*$B30</f>
        <v/>
      </c>
      <c r="F50">
        <f>F49+G$3*$B50+G$4*$B49+G$5*$B48</f>
        <v/>
      </c>
      <c r="G50">
        <f>G45+H$3*$B50+H$4*$B45+H$5*$B40</f>
        <v/>
      </c>
      <c r="H50">
        <f>H40+I$3*$B50+I$4*$B40+I$5*$B30</f>
        <v/>
      </c>
      <c r="L50" t="n">
        <v>1</v>
      </c>
      <c r="M50">
        <f>IF(MOD($A50,D$2)=0,OFFSET(M50,-D$2,0)+ D$3* $B50+D$4*OFFSET($B50,-D$2,0)+ D$5*OFFSET($B50,-2* D$2,0), M49)</f>
        <v/>
      </c>
      <c r="N50">
        <f>IF(MOD($A50,E$2)=0,OFFSET(N50,-E$2,0)+ E$3* $B50+E$4*OFFSET($B50,-E$2,0)+ E$5*OFFSET($B50,-2* E$2,0), N49)</f>
        <v/>
      </c>
      <c r="O50">
        <f>IF(MOD($A50,F$2)=0,OFFSET(O50,-F$2,0)+ F$3* $B50+F$4*OFFSET($B50,-F$2,0)+ F$5*OFFSET($B50,-2* F$2,0), O49)</f>
        <v/>
      </c>
      <c r="P50">
        <f>IF(MOD($A50,G$2)=0,OFFSET(P50,-G$2,0)+ G$3* $B50+G$4*OFFSET($B50,-G$2,0)+ G$5*OFFSET($B50,-2* G$2,0), P49)</f>
        <v/>
      </c>
      <c r="Q50">
        <f>IF(MOD($A50,H$2)=0,OFFSET(Q50,-H$2,0)+ H$3* $B50+H$4*OFFSET($B50,-H$2,0)+ H$5*OFFSET($B50,-2* H$2,0), Q49)</f>
        <v/>
      </c>
      <c r="R50">
        <f>IF(MOD($A50,I$2)=0,OFFSET(R50,-I$2,0)+ I$3* $B50+I$4*OFFSET($B50,-I$2,0)+ I$5*OFFSET($B50,-2* I$2,0), R49)</f>
        <v/>
      </c>
    </row>
    <row r="51">
      <c r="A51" t="n">
        <v>42</v>
      </c>
      <c r="B51" t="n">
        <v>1</v>
      </c>
      <c r="C51">
        <f>C50+D$3*$B51+D$4*$B50+D$5*$B49</f>
        <v/>
      </c>
      <c r="D51">
        <f>D46+E$3*$B51+E$4*$B46+E$5*$B41</f>
        <v/>
      </c>
      <c r="E51">
        <f>E41+F$3*$B51+F$4*$B41+F$5*$B31</f>
        <v/>
      </c>
      <c r="F51">
        <f>F50+G$3*$B51+G$4*$B50+G$5*$B49</f>
        <v/>
      </c>
      <c r="G51">
        <f>G46+H$3*$B51+H$4*$B46+H$5*$B41</f>
        <v/>
      </c>
      <c r="H51">
        <f>H41+I$3*$B51+I$4*$B41+I$5*$B31</f>
        <v/>
      </c>
      <c r="L51" t="n">
        <v>1</v>
      </c>
      <c r="M51">
        <f>IF(MOD($A51,D$2)=0,OFFSET(M51,-D$2,0)+ D$3* $B51+D$4*OFFSET($B51,-D$2,0)+ D$5*OFFSET($B51,-2* D$2,0), M50)</f>
        <v/>
      </c>
      <c r="N51">
        <f>IF(MOD($A51,E$2)=0,OFFSET(N51,-E$2,0)+ E$3* $B51+E$4*OFFSET($B51,-E$2,0)+ E$5*OFFSET($B51,-2* E$2,0), N50)</f>
        <v/>
      </c>
      <c r="O51">
        <f>IF(MOD($A51,F$2)=0,OFFSET(O51,-F$2,0)+ F$3* $B51+F$4*OFFSET($B51,-F$2,0)+ F$5*OFFSET($B51,-2* F$2,0), O50)</f>
        <v/>
      </c>
      <c r="P51">
        <f>IF(MOD($A51,G$2)=0,OFFSET(P51,-G$2,0)+ G$3* $B51+G$4*OFFSET($B51,-G$2,0)+ G$5*OFFSET($B51,-2* G$2,0), P50)</f>
        <v/>
      </c>
      <c r="Q51">
        <f>IF(MOD($A51,H$2)=0,OFFSET(Q51,-H$2,0)+ H$3* $B51+H$4*OFFSET($B51,-H$2,0)+ H$5*OFFSET($B51,-2* H$2,0), Q50)</f>
        <v/>
      </c>
      <c r="R51">
        <f>IF(MOD($A51,I$2)=0,OFFSET(R51,-I$2,0)+ I$3* $B51+I$4*OFFSET($B51,-I$2,0)+ I$5*OFFSET($B51,-2* I$2,0), R50)</f>
        <v/>
      </c>
    </row>
    <row r="52">
      <c r="A52" t="n">
        <v>43</v>
      </c>
      <c r="B52" t="n">
        <v>1</v>
      </c>
      <c r="C52">
        <f>C51+D$3*$B52+D$4*$B51+D$5*$B50</f>
        <v/>
      </c>
      <c r="D52">
        <f>D47+E$3*$B52+E$4*$B47+E$5*$B42</f>
        <v/>
      </c>
      <c r="E52">
        <f>E42+F$3*$B52+F$4*$B42+F$5*$B32</f>
        <v/>
      </c>
      <c r="F52">
        <f>F51+G$3*$B52+G$4*$B51+G$5*$B50</f>
        <v/>
      </c>
      <c r="G52">
        <f>G47+H$3*$B52+H$4*$B47+H$5*$B42</f>
        <v/>
      </c>
      <c r="H52">
        <f>H42+I$3*$B52+I$4*$B42+I$5*$B32</f>
        <v/>
      </c>
      <c r="L52" t="n">
        <v>1</v>
      </c>
      <c r="M52">
        <f>IF(MOD($A52,D$2)=0,OFFSET(M52,-D$2,0)+ D$3* $B52+D$4*OFFSET($B52,-D$2,0)+ D$5*OFFSET($B52,-2* D$2,0), M51)</f>
        <v/>
      </c>
      <c r="N52">
        <f>IF(MOD($A52,E$2)=0,OFFSET(N52,-E$2,0)+ E$3* $B52+E$4*OFFSET($B52,-E$2,0)+ E$5*OFFSET($B52,-2* E$2,0), N51)</f>
        <v/>
      </c>
      <c r="O52">
        <f>IF(MOD($A52,F$2)=0,OFFSET(O52,-F$2,0)+ F$3* $B52+F$4*OFFSET($B52,-F$2,0)+ F$5*OFFSET($B52,-2* F$2,0), O51)</f>
        <v/>
      </c>
      <c r="P52">
        <f>IF(MOD($A52,G$2)=0,OFFSET(P52,-G$2,0)+ G$3* $B52+G$4*OFFSET($B52,-G$2,0)+ G$5*OFFSET($B52,-2* G$2,0), P51)</f>
        <v/>
      </c>
      <c r="Q52">
        <f>IF(MOD($A52,H$2)=0,OFFSET(Q52,-H$2,0)+ H$3* $B52+H$4*OFFSET($B52,-H$2,0)+ H$5*OFFSET($B52,-2* H$2,0), Q51)</f>
        <v/>
      </c>
      <c r="R52">
        <f>IF(MOD($A52,I$2)=0,OFFSET(R52,-I$2,0)+ I$3* $B52+I$4*OFFSET($B52,-I$2,0)+ I$5*OFFSET($B52,-2* I$2,0), R51)</f>
        <v/>
      </c>
    </row>
    <row r="53">
      <c r="A53" t="n">
        <v>44</v>
      </c>
      <c r="B53" t="n">
        <v>1</v>
      </c>
      <c r="C53">
        <f>C52+D$3*$B53+D$4*$B52+D$5*$B51</f>
        <v/>
      </c>
      <c r="D53">
        <f>D48+E$3*$B53+E$4*$B48+E$5*$B43</f>
        <v/>
      </c>
      <c r="E53">
        <f>E43+F$3*$B53+F$4*$B43+F$5*$B33</f>
        <v/>
      </c>
      <c r="F53">
        <f>F52+G$3*$B53+G$4*$B52+G$5*$B51</f>
        <v/>
      </c>
      <c r="G53">
        <f>G48+H$3*$B53+H$4*$B48+H$5*$B43</f>
        <v/>
      </c>
      <c r="H53">
        <f>H43+I$3*$B53+I$4*$B43+I$5*$B33</f>
        <v/>
      </c>
      <c r="L53" t="n">
        <v>1</v>
      </c>
      <c r="M53">
        <f>IF(MOD($A53,D$2)=0,OFFSET(M53,-D$2,0)+ D$3* $B53+D$4*OFFSET($B53,-D$2,0)+ D$5*OFFSET($B53,-2* D$2,0), M52)</f>
        <v/>
      </c>
      <c r="N53">
        <f>IF(MOD($A53,E$2)=0,OFFSET(N53,-E$2,0)+ E$3* $B53+E$4*OFFSET($B53,-E$2,0)+ E$5*OFFSET($B53,-2* E$2,0), N52)</f>
        <v/>
      </c>
      <c r="O53">
        <f>IF(MOD($A53,F$2)=0,OFFSET(O53,-F$2,0)+ F$3* $B53+F$4*OFFSET($B53,-F$2,0)+ F$5*OFFSET($B53,-2* F$2,0), O52)</f>
        <v/>
      </c>
      <c r="P53">
        <f>IF(MOD($A53,G$2)=0,OFFSET(P53,-G$2,0)+ G$3* $B53+G$4*OFFSET($B53,-G$2,0)+ G$5*OFFSET($B53,-2* G$2,0), P52)</f>
        <v/>
      </c>
      <c r="Q53">
        <f>IF(MOD($A53,H$2)=0,OFFSET(Q53,-H$2,0)+ H$3* $B53+H$4*OFFSET($B53,-H$2,0)+ H$5*OFFSET($B53,-2* H$2,0), Q52)</f>
        <v/>
      </c>
      <c r="R53">
        <f>IF(MOD($A53,I$2)=0,OFFSET(R53,-I$2,0)+ I$3* $B53+I$4*OFFSET($B53,-I$2,0)+ I$5*OFFSET($B53,-2* I$2,0), R52)</f>
        <v/>
      </c>
    </row>
    <row r="54">
      <c r="A54" t="n">
        <v>45</v>
      </c>
      <c r="B54" t="n">
        <v>1</v>
      </c>
      <c r="C54">
        <f>C53+D$3*$B54+D$4*$B53+D$5*$B52</f>
        <v/>
      </c>
      <c r="D54">
        <f>D49+E$3*$B54+E$4*$B49+E$5*$B44</f>
        <v/>
      </c>
      <c r="E54">
        <f>E44+F$3*$B54+F$4*$B44+F$5*$B34</f>
        <v/>
      </c>
      <c r="F54">
        <f>F53+G$3*$B54+G$4*$B53+G$5*$B52</f>
        <v/>
      </c>
      <c r="G54">
        <f>G49+H$3*$B54+H$4*$B49+H$5*$B44</f>
        <v/>
      </c>
      <c r="H54">
        <f>H44+I$3*$B54+I$4*$B44+I$5*$B34</f>
        <v/>
      </c>
      <c r="L54" t="n">
        <v>1</v>
      </c>
      <c r="M54">
        <f>IF(MOD($A54,D$2)=0,OFFSET(M54,-D$2,0)+ D$3* $B54+D$4*OFFSET($B54,-D$2,0)+ D$5*OFFSET($B54,-2* D$2,0), M53)</f>
        <v/>
      </c>
      <c r="N54">
        <f>IF(MOD($A54,E$2)=0,OFFSET(N54,-E$2,0)+ E$3* $B54+E$4*OFFSET($B54,-E$2,0)+ E$5*OFFSET($B54,-2* E$2,0), N53)</f>
        <v/>
      </c>
      <c r="O54">
        <f>IF(MOD($A54,F$2)=0,OFFSET(O54,-F$2,0)+ F$3* $B54+F$4*OFFSET($B54,-F$2,0)+ F$5*OFFSET($B54,-2* F$2,0), O53)</f>
        <v/>
      </c>
      <c r="P54">
        <f>IF(MOD($A54,G$2)=0,OFFSET(P54,-G$2,0)+ G$3* $B54+G$4*OFFSET($B54,-G$2,0)+ G$5*OFFSET($B54,-2* G$2,0), P53)</f>
        <v/>
      </c>
      <c r="Q54">
        <f>IF(MOD($A54,H$2)=0,OFFSET(Q54,-H$2,0)+ H$3* $B54+H$4*OFFSET($B54,-H$2,0)+ H$5*OFFSET($B54,-2* H$2,0), Q53)</f>
        <v/>
      </c>
      <c r="R54">
        <f>IF(MOD($A54,I$2)=0,OFFSET(R54,-I$2,0)+ I$3* $B54+I$4*OFFSET($B54,-I$2,0)+ I$5*OFFSET($B54,-2* I$2,0), R53)</f>
        <v/>
      </c>
    </row>
    <row r="55">
      <c r="A55" t="n">
        <v>46</v>
      </c>
      <c r="B55" t="n">
        <v>1</v>
      </c>
      <c r="C55">
        <f>C54+D$3*$B55+D$4*$B54+D$5*$B53</f>
        <v/>
      </c>
      <c r="D55">
        <f>D50+E$3*$B55+E$4*$B50+E$5*$B45</f>
        <v/>
      </c>
      <c r="E55">
        <f>E45+F$3*$B55+F$4*$B45+F$5*$B35</f>
        <v/>
      </c>
      <c r="F55">
        <f>F54+G$3*$B55+G$4*$B54+G$5*$B53</f>
        <v/>
      </c>
      <c r="G55">
        <f>G50+H$3*$B55+H$4*$B50+H$5*$B45</f>
        <v/>
      </c>
      <c r="H55">
        <f>H45+I$3*$B55+I$4*$B45+I$5*$B35</f>
        <v/>
      </c>
      <c r="L55" t="n">
        <v>1</v>
      </c>
      <c r="M55">
        <f>IF(MOD($A55,D$2)=0,OFFSET(M55,-D$2,0)+ D$3* $B55+D$4*OFFSET($B55,-D$2,0)+ D$5*OFFSET($B55,-2* D$2,0), M54)</f>
        <v/>
      </c>
      <c r="N55">
        <f>IF(MOD($A55,E$2)=0,OFFSET(N55,-E$2,0)+ E$3* $B55+E$4*OFFSET($B55,-E$2,0)+ E$5*OFFSET($B55,-2* E$2,0), N54)</f>
        <v/>
      </c>
      <c r="O55">
        <f>IF(MOD($A55,F$2)=0,OFFSET(O55,-F$2,0)+ F$3* $B55+F$4*OFFSET($B55,-F$2,0)+ F$5*OFFSET($B55,-2* F$2,0), O54)</f>
        <v/>
      </c>
      <c r="P55">
        <f>IF(MOD($A55,G$2)=0,OFFSET(P55,-G$2,0)+ G$3* $B55+G$4*OFFSET($B55,-G$2,0)+ G$5*OFFSET($B55,-2* G$2,0), P54)</f>
        <v/>
      </c>
      <c r="Q55">
        <f>IF(MOD($A55,H$2)=0,OFFSET(Q55,-H$2,0)+ H$3* $B55+H$4*OFFSET($B55,-H$2,0)+ H$5*OFFSET($B55,-2* H$2,0), Q54)</f>
        <v/>
      </c>
      <c r="R55">
        <f>IF(MOD($A55,I$2)=0,OFFSET(R55,-I$2,0)+ I$3* $B55+I$4*OFFSET($B55,-I$2,0)+ I$5*OFFSET($B55,-2* I$2,0), R54)</f>
        <v/>
      </c>
    </row>
    <row r="56">
      <c r="A56" t="n">
        <v>47</v>
      </c>
      <c r="B56" t="n">
        <v>1</v>
      </c>
      <c r="C56">
        <f>C55+D$3*$B56+D$4*$B55+D$5*$B54</f>
        <v/>
      </c>
      <c r="D56">
        <f>D51+E$3*$B56+E$4*$B51+E$5*$B46</f>
        <v/>
      </c>
      <c r="E56">
        <f>E46+F$3*$B56+F$4*$B46+F$5*$B36</f>
        <v/>
      </c>
      <c r="F56">
        <f>F55+G$3*$B56+G$4*$B55+G$5*$B54</f>
        <v/>
      </c>
      <c r="G56">
        <f>G51+H$3*$B56+H$4*$B51+H$5*$B46</f>
        <v/>
      </c>
      <c r="H56">
        <f>H46+I$3*$B56+I$4*$B46+I$5*$B36</f>
        <v/>
      </c>
      <c r="L56" t="n">
        <v>1</v>
      </c>
      <c r="M56">
        <f>IF(MOD($A56,D$2)=0,OFFSET(M56,-D$2,0)+ D$3* $B56+D$4*OFFSET($B56,-D$2,0)+ D$5*OFFSET($B56,-2* D$2,0), M55)</f>
        <v/>
      </c>
      <c r="N56">
        <f>IF(MOD($A56,E$2)=0,OFFSET(N56,-E$2,0)+ E$3* $B56+E$4*OFFSET($B56,-E$2,0)+ E$5*OFFSET($B56,-2* E$2,0), N55)</f>
        <v/>
      </c>
      <c r="O56">
        <f>IF(MOD($A56,F$2)=0,OFFSET(O56,-F$2,0)+ F$3* $B56+F$4*OFFSET($B56,-F$2,0)+ F$5*OFFSET($B56,-2* F$2,0), O55)</f>
        <v/>
      </c>
      <c r="P56">
        <f>IF(MOD($A56,G$2)=0,OFFSET(P56,-G$2,0)+ G$3* $B56+G$4*OFFSET($B56,-G$2,0)+ G$5*OFFSET($B56,-2* G$2,0), P55)</f>
        <v/>
      </c>
      <c r="Q56">
        <f>IF(MOD($A56,H$2)=0,OFFSET(Q56,-H$2,0)+ H$3* $B56+H$4*OFFSET($B56,-H$2,0)+ H$5*OFFSET($B56,-2* H$2,0), Q55)</f>
        <v/>
      </c>
      <c r="R56">
        <f>IF(MOD($A56,I$2)=0,OFFSET(R56,-I$2,0)+ I$3* $B56+I$4*OFFSET($B56,-I$2,0)+ I$5*OFFSET($B56,-2* I$2,0), R55)</f>
        <v/>
      </c>
    </row>
    <row r="57">
      <c r="A57" t="n">
        <v>48</v>
      </c>
      <c r="B57" t="n">
        <v>1</v>
      </c>
      <c r="C57">
        <f>C56+D$3*$B57+D$4*$B56+D$5*$B55</f>
        <v/>
      </c>
      <c r="D57">
        <f>D52+E$3*$B57+E$4*$B52+E$5*$B47</f>
        <v/>
      </c>
      <c r="E57">
        <f>E47+F$3*$B57+F$4*$B47+F$5*$B37</f>
        <v/>
      </c>
      <c r="F57">
        <f>F56+G$3*$B57+G$4*$B56+G$5*$B55</f>
        <v/>
      </c>
      <c r="G57">
        <f>G52+H$3*$B57+H$4*$B52+H$5*$B47</f>
        <v/>
      </c>
      <c r="H57">
        <f>H47+I$3*$B57+I$4*$B47+I$5*$B37</f>
        <v/>
      </c>
      <c r="L57" t="n">
        <v>1</v>
      </c>
      <c r="M57">
        <f>IF(MOD($A57,D$2)=0,OFFSET(M57,-D$2,0)+ D$3* $B57+D$4*OFFSET($B57,-D$2,0)+ D$5*OFFSET($B57,-2* D$2,0), M56)</f>
        <v/>
      </c>
      <c r="N57">
        <f>IF(MOD($A57,E$2)=0,OFFSET(N57,-E$2,0)+ E$3* $B57+E$4*OFFSET($B57,-E$2,0)+ E$5*OFFSET($B57,-2* E$2,0), N56)</f>
        <v/>
      </c>
      <c r="O57">
        <f>IF(MOD($A57,F$2)=0,OFFSET(O57,-F$2,0)+ F$3* $B57+F$4*OFFSET($B57,-F$2,0)+ F$5*OFFSET($B57,-2* F$2,0), O56)</f>
        <v/>
      </c>
      <c r="P57">
        <f>IF(MOD($A57,G$2)=0,OFFSET(P57,-G$2,0)+ G$3* $B57+G$4*OFFSET($B57,-G$2,0)+ G$5*OFFSET($B57,-2* G$2,0), P56)</f>
        <v/>
      </c>
      <c r="Q57">
        <f>IF(MOD($A57,H$2)=0,OFFSET(Q57,-H$2,0)+ H$3* $B57+H$4*OFFSET($B57,-H$2,0)+ H$5*OFFSET($B57,-2* H$2,0), Q56)</f>
        <v/>
      </c>
      <c r="R57">
        <f>IF(MOD($A57,I$2)=0,OFFSET(R57,-I$2,0)+ I$3* $B57+I$4*OFFSET($B57,-I$2,0)+ I$5*OFFSET($B57,-2* I$2,0), R56)</f>
        <v/>
      </c>
    </row>
    <row r="58">
      <c r="A58" t="n">
        <v>49</v>
      </c>
      <c r="B58" t="n">
        <v>1</v>
      </c>
      <c r="C58">
        <f>C57+D$3*$B58+D$4*$B57+D$5*$B56</f>
        <v/>
      </c>
      <c r="D58">
        <f>D53+E$3*$B58+E$4*$B53+E$5*$B48</f>
        <v/>
      </c>
      <c r="E58">
        <f>E48+F$3*$B58+F$4*$B48+F$5*$B38</f>
        <v/>
      </c>
      <c r="F58">
        <f>F57+G$3*$B58+G$4*$B57+G$5*$B56</f>
        <v/>
      </c>
      <c r="G58">
        <f>G53+H$3*$B58+H$4*$B53+H$5*$B48</f>
        <v/>
      </c>
      <c r="H58">
        <f>H48+I$3*$B58+I$4*$B48+I$5*$B38</f>
        <v/>
      </c>
      <c r="L58" t="n">
        <v>1</v>
      </c>
      <c r="M58">
        <f>IF(MOD($A58,D$2)=0,OFFSET(M58,-D$2,0)+ D$3* $B58+D$4*OFFSET($B58,-D$2,0)+ D$5*OFFSET($B58,-2* D$2,0), M57)</f>
        <v/>
      </c>
      <c r="N58">
        <f>IF(MOD($A58,E$2)=0,OFFSET(N58,-E$2,0)+ E$3* $B58+E$4*OFFSET($B58,-E$2,0)+ E$5*OFFSET($B58,-2* E$2,0), N57)</f>
        <v/>
      </c>
      <c r="O58">
        <f>IF(MOD($A58,F$2)=0,OFFSET(O58,-F$2,0)+ F$3* $B58+F$4*OFFSET($B58,-F$2,0)+ F$5*OFFSET($B58,-2* F$2,0), O57)</f>
        <v/>
      </c>
      <c r="P58">
        <f>IF(MOD($A58,G$2)=0,OFFSET(P58,-G$2,0)+ G$3* $B58+G$4*OFFSET($B58,-G$2,0)+ G$5*OFFSET($B58,-2* G$2,0), P57)</f>
        <v/>
      </c>
      <c r="Q58">
        <f>IF(MOD($A58,H$2)=0,OFFSET(Q58,-H$2,0)+ H$3* $B58+H$4*OFFSET($B58,-H$2,0)+ H$5*OFFSET($B58,-2* H$2,0), Q57)</f>
        <v/>
      </c>
      <c r="R58">
        <f>IF(MOD($A58,I$2)=0,OFFSET(R58,-I$2,0)+ I$3* $B58+I$4*OFFSET($B58,-I$2,0)+ I$5*OFFSET($B58,-2* I$2,0), R57)</f>
        <v/>
      </c>
    </row>
    <row r="59">
      <c r="A59" t="n">
        <v>50</v>
      </c>
      <c r="B59" t="n">
        <v>1</v>
      </c>
      <c r="C59">
        <f>C58+D$3*$B59+D$4*$B58+D$5*$B57</f>
        <v/>
      </c>
      <c r="D59">
        <f>D54+E$3*$B59+E$4*$B54+E$5*$B49</f>
        <v/>
      </c>
      <c r="E59">
        <f>E49+F$3*$B59+F$4*$B49+F$5*$B39</f>
        <v/>
      </c>
      <c r="F59">
        <f>F58+G$3*$B59+G$4*$B58+G$5*$B57</f>
        <v/>
      </c>
      <c r="G59">
        <f>G54+H$3*$B59+H$4*$B54+H$5*$B49</f>
        <v/>
      </c>
      <c r="H59">
        <f>H49+I$3*$B59+I$4*$B49+I$5*$B39</f>
        <v/>
      </c>
      <c r="L59" t="n">
        <v>1</v>
      </c>
      <c r="M59">
        <f>IF(MOD($A59,D$2)=0,OFFSET(M59,-D$2,0)+ D$3* $B59+D$4*OFFSET($B59,-D$2,0)+ D$5*OFFSET($B59,-2* D$2,0), M58)</f>
        <v/>
      </c>
      <c r="N59">
        <f>IF(MOD($A59,E$2)=0,OFFSET(N59,-E$2,0)+ E$3* $B59+E$4*OFFSET($B59,-E$2,0)+ E$5*OFFSET($B59,-2* E$2,0), N58)</f>
        <v/>
      </c>
      <c r="O59">
        <f>IF(MOD($A59,F$2)=0,OFFSET(O59,-F$2,0)+ F$3* $B59+F$4*OFFSET($B59,-F$2,0)+ F$5*OFFSET($B59,-2* F$2,0), O58)</f>
        <v/>
      </c>
      <c r="P59">
        <f>IF(MOD($A59,G$2)=0,OFFSET(P59,-G$2,0)+ G$3* $B59+G$4*OFFSET($B59,-G$2,0)+ G$5*OFFSET($B59,-2* G$2,0), P58)</f>
        <v/>
      </c>
      <c r="Q59">
        <f>IF(MOD($A59,H$2)=0,OFFSET(Q59,-H$2,0)+ H$3* $B59+H$4*OFFSET($B59,-H$2,0)+ H$5*OFFSET($B59,-2* H$2,0), Q58)</f>
        <v/>
      </c>
      <c r="R59">
        <f>IF(MOD($A59,I$2)=0,OFFSET(R59,-I$2,0)+ I$3* $B59+I$4*OFFSET($B59,-I$2,0)+ I$5*OFFSET($B59,-2* I$2,0), R58)</f>
        <v/>
      </c>
    </row>
    <row r="60">
      <c r="A60" t="n">
        <v>51</v>
      </c>
      <c r="B60" t="n">
        <v>1</v>
      </c>
      <c r="C60">
        <f>C59+D$3*$B60+D$4*$B59+D$5*$B58</f>
        <v/>
      </c>
      <c r="D60">
        <f>D55+E$3*$B60+E$4*$B55+E$5*$B50</f>
        <v/>
      </c>
      <c r="E60">
        <f>E50+F$3*$B60+F$4*$B50+F$5*$B40</f>
        <v/>
      </c>
      <c r="F60">
        <f>F59+G$3*$B60+G$4*$B59+G$5*$B58</f>
        <v/>
      </c>
      <c r="G60">
        <f>G55+H$3*$B60+H$4*$B55+H$5*$B50</f>
        <v/>
      </c>
      <c r="H60">
        <f>H50+I$3*$B60+I$4*$B50+I$5*$B40</f>
        <v/>
      </c>
      <c r="L60" t="n">
        <v>1</v>
      </c>
      <c r="M60">
        <f>IF(MOD($A60,D$2)=0,OFFSET(M60,-D$2,0)+ D$3* $B60+D$4*OFFSET($B60,-D$2,0)+ D$5*OFFSET($B60,-2* D$2,0), M59)</f>
        <v/>
      </c>
      <c r="N60">
        <f>IF(MOD($A60,E$2)=0,OFFSET(N60,-E$2,0)+ E$3* $B60+E$4*OFFSET($B60,-E$2,0)+ E$5*OFFSET($B60,-2* E$2,0), N59)</f>
        <v/>
      </c>
      <c r="O60">
        <f>IF(MOD($A60,F$2)=0,OFFSET(O60,-F$2,0)+ F$3* $B60+F$4*OFFSET($B60,-F$2,0)+ F$5*OFFSET($B60,-2* F$2,0), O59)</f>
        <v/>
      </c>
      <c r="P60">
        <f>IF(MOD($A60,G$2)=0,OFFSET(P60,-G$2,0)+ G$3* $B60+G$4*OFFSET($B60,-G$2,0)+ G$5*OFFSET($B60,-2* G$2,0), P59)</f>
        <v/>
      </c>
      <c r="Q60">
        <f>IF(MOD($A60,H$2)=0,OFFSET(Q60,-H$2,0)+ H$3* $B60+H$4*OFFSET($B60,-H$2,0)+ H$5*OFFSET($B60,-2* H$2,0), Q59)</f>
        <v/>
      </c>
      <c r="R60">
        <f>IF(MOD($A60,I$2)=0,OFFSET(R60,-I$2,0)+ I$3* $B60+I$4*OFFSET($B60,-I$2,0)+ I$5*OFFSET($B60,-2* I$2,0), R59)</f>
        <v/>
      </c>
    </row>
    <row r="61">
      <c r="A61" t="n">
        <v>52</v>
      </c>
      <c r="B61" t="n">
        <v>1</v>
      </c>
      <c r="C61">
        <f>C60+D$3*$B61+D$4*$B60+D$5*$B59</f>
        <v/>
      </c>
      <c r="D61">
        <f>D56+E$3*$B61+E$4*$B56+E$5*$B51</f>
        <v/>
      </c>
      <c r="E61">
        <f>E51+F$3*$B61+F$4*$B51+F$5*$B41</f>
        <v/>
      </c>
      <c r="F61">
        <f>F60+G$3*$B61+G$4*$B60+G$5*$B59</f>
        <v/>
      </c>
      <c r="G61">
        <f>G56+H$3*$B61+H$4*$B56+H$5*$B51</f>
        <v/>
      </c>
      <c r="H61">
        <f>H51+I$3*$B61+I$4*$B51+I$5*$B41</f>
        <v/>
      </c>
      <c r="L61" t="n">
        <v>1</v>
      </c>
      <c r="M61">
        <f>IF(MOD($A61,D$2)=0,OFFSET(M61,-D$2,0)+ D$3* $B61+D$4*OFFSET($B61,-D$2,0)+ D$5*OFFSET($B61,-2* D$2,0), M60)</f>
        <v/>
      </c>
      <c r="N61">
        <f>IF(MOD($A61,E$2)=0,OFFSET(N61,-E$2,0)+ E$3* $B61+E$4*OFFSET($B61,-E$2,0)+ E$5*OFFSET($B61,-2* E$2,0), N60)</f>
        <v/>
      </c>
      <c r="O61">
        <f>IF(MOD($A61,F$2)=0,OFFSET(O61,-F$2,0)+ F$3* $B61+F$4*OFFSET($B61,-F$2,0)+ F$5*OFFSET($B61,-2* F$2,0), O60)</f>
        <v/>
      </c>
      <c r="P61">
        <f>IF(MOD($A61,G$2)=0,OFFSET(P61,-G$2,0)+ G$3* $B61+G$4*OFFSET($B61,-G$2,0)+ G$5*OFFSET($B61,-2* G$2,0), P60)</f>
        <v/>
      </c>
      <c r="Q61">
        <f>IF(MOD($A61,H$2)=0,OFFSET(Q61,-H$2,0)+ H$3* $B61+H$4*OFFSET($B61,-H$2,0)+ H$5*OFFSET($B61,-2* H$2,0), Q60)</f>
        <v/>
      </c>
      <c r="R61">
        <f>IF(MOD($A61,I$2)=0,OFFSET(R61,-I$2,0)+ I$3* $B61+I$4*OFFSET($B61,-I$2,0)+ I$5*OFFSET($B61,-2* I$2,0), R60)</f>
        <v/>
      </c>
    </row>
    <row r="62">
      <c r="A62" t="n">
        <v>53</v>
      </c>
      <c r="B62" t="n">
        <v>1</v>
      </c>
      <c r="C62">
        <f>C61+D$3*$B62+D$4*$B61+D$5*$B60</f>
        <v/>
      </c>
      <c r="D62">
        <f>D57+E$3*$B62+E$4*$B57+E$5*$B52</f>
        <v/>
      </c>
      <c r="E62">
        <f>E52+F$3*$B62+F$4*$B52+F$5*$B42</f>
        <v/>
      </c>
      <c r="F62">
        <f>F61+G$3*$B62+G$4*$B61+G$5*$B60</f>
        <v/>
      </c>
      <c r="G62">
        <f>G57+H$3*$B62+H$4*$B57+H$5*$B52</f>
        <v/>
      </c>
      <c r="H62">
        <f>H52+I$3*$B62+I$4*$B52+I$5*$B42</f>
        <v/>
      </c>
      <c r="L62" t="n">
        <v>1</v>
      </c>
      <c r="M62">
        <f>IF(MOD($A62,D$2)=0,OFFSET(M62,-D$2,0)+ D$3* $B62+D$4*OFFSET($B62,-D$2,0)+ D$5*OFFSET($B62,-2* D$2,0), M61)</f>
        <v/>
      </c>
      <c r="N62">
        <f>IF(MOD($A62,E$2)=0,OFFSET(N62,-E$2,0)+ E$3* $B62+E$4*OFFSET($B62,-E$2,0)+ E$5*OFFSET($B62,-2* E$2,0), N61)</f>
        <v/>
      </c>
      <c r="O62">
        <f>IF(MOD($A62,F$2)=0,OFFSET(O62,-F$2,0)+ F$3* $B62+F$4*OFFSET($B62,-F$2,0)+ F$5*OFFSET($B62,-2* F$2,0), O61)</f>
        <v/>
      </c>
      <c r="P62">
        <f>IF(MOD($A62,G$2)=0,OFFSET(P62,-G$2,0)+ G$3* $B62+G$4*OFFSET($B62,-G$2,0)+ G$5*OFFSET($B62,-2* G$2,0), P61)</f>
        <v/>
      </c>
      <c r="Q62">
        <f>IF(MOD($A62,H$2)=0,OFFSET(Q62,-H$2,0)+ H$3* $B62+H$4*OFFSET($B62,-H$2,0)+ H$5*OFFSET($B62,-2* H$2,0), Q61)</f>
        <v/>
      </c>
      <c r="R62">
        <f>IF(MOD($A62,I$2)=0,OFFSET(R62,-I$2,0)+ I$3* $B62+I$4*OFFSET($B62,-I$2,0)+ I$5*OFFSET($B62,-2* I$2,0), R61)</f>
        <v/>
      </c>
    </row>
    <row r="63">
      <c r="A63" t="n">
        <v>54</v>
      </c>
      <c r="B63" t="n">
        <v>1</v>
      </c>
      <c r="C63">
        <f>C62+D$3*$B63+D$4*$B62+D$5*$B61</f>
        <v/>
      </c>
      <c r="D63">
        <f>D58+E$3*$B63+E$4*$B58+E$5*$B53</f>
        <v/>
      </c>
      <c r="E63">
        <f>E53+F$3*$B63+F$4*$B53+F$5*$B43</f>
        <v/>
      </c>
      <c r="F63">
        <f>F62+G$3*$B63+G$4*$B62+G$5*$B61</f>
        <v/>
      </c>
      <c r="G63">
        <f>G58+H$3*$B63+H$4*$B58+H$5*$B53</f>
        <v/>
      </c>
      <c r="H63">
        <f>H53+I$3*$B63+I$4*$B53+I$5*$B43</f>
        <v/>
      </c>
      <c r="L63" t="n">
        <v>1</v>
      </c>
      <c r="M63">
        <f>IF(MOD($A63,D$2)=0,OFFSET(M63,-D$2,0)+ D$3* $B63+D$4*OFFSET($B63,-D$2,0)+ D$5*OFFSET($B63,-2* D$2,0), M62)</f>
        <v/>
      </c>
      <c r="N63">
        <f>IF(MOD($A63,E$2)=0,OFFSET(N63,-E$2,0)+ E$3* $B63+E$4*OFFSET($B63,-E$2,0)+ E$5*OFFSET($B63,-2* E$2,0), N62)</f>
        <v/>
      </c>
      <c r="O63">
        <f>IF(MOD($A63,F$2)=0,OFFSET(O63,-F$2,0)+ F$3* $B63+F$4*OFFSET($B63,-F$2,0)+ F$5*OFFSET($B63,-2* F$2,0), O62)</f>
        <v/>
      </c>
      <c r="P63">
        <f>IF(MOD($A63,G$2)=0,OFFSET(P63,-G$2,0)+ G$3* $B63+G$4*OFFSET($B63,-G$2,0)+ G$5*OFFSET($B63,-2* G$2,0), P62)</f>
        <v/>
      </c>
      <c r="Q63">
        <f>IF(MOD($A63,H$2)=0,OFFSET(Q63,-H$2,0)+ H$3* $B63+H$4*OFFSET($B63,-H$2,0)+ H$5*OFFSET($B63,-2* H$2,0), Q62)</f>
        <v/>
      </c>
      <c r="R63">
        <f>IF(MOD($A63,I$2)=0,OFFSET(R63,-I$2,0)+ I$3* $B63+I$4*OFFSET($B63,-I$2,0)+ I$5*OFFSET($B63,-2* I$2,0), R62)</f>
        <v/>
      </c>
    </row>
    <row r="64">
      <c r="A64" t="n">
        <v>55</v>
      </c>
      <c r="B64" t="n">
        <v>1</v>
      </c>
      <c r="C64">
        <f>C63+D$3*$B64+D$4*$B63+D$5*$B62</f>
        <v/>
      </c>
      <c r="D64">
        <f>D59+E$3*$B64+E$4*$B59+E$5*$B54</f>
        <v/>
      </c>
      <c r="E64">
        <f>E54+F$3*$B64+F$4*$B54+F$5*$B44</f>
        <v/>
      </c>
      <c r="F64">
        <f>F63+G$3*$B64+G$4*$B63+G$5*$B62</f>
        <v/>
      </c>
      <c r="G64">
        <f>G59+H$3*$B64+H$4*$B59+H$5*$B54</f>
        <v/>
      </c>
      <c r="H64">
        <f>H54+I$3*$B64+I$4*$B54+I$5*$B44</f>
        <v/>
      </c>
      <c r="L64" t="n">
        <v>1</v>
      </c>
      <c r="M64">
        <f>IF(MOD($A64,D$2)=0,OFFSET(M64,-D$2,0)+ D$3* $B64+D$4*OFFSET($B64,-D$2,0)+ D$5*OFFSET($B64,-2* D$2,0), M63)</f>
        <v/>
      </c>
      <c r="N64">
        <f>IF(MOD($A64,E$2)=0,OFFSET(N64,-E$2,0)+ E$3* $B64+E$4*OFFSET($B64,-E$2,0)+ E$5*OFFSET($B64,-2* E$2,0), N63)</f>
        <v/>
      </c>
      <c r="O64">
        <f>IF(MOD($A64,F$2)=0,OFFSET(O64,-F$2,0)+ F$3* $B64+F$4*OFFSET($B64,-F$2,0)+ F$5*OFFSET($B64,-2* F$2,0), O63)</f>
        <v/>
      </c>
      <c r="P64">
        <f>IF(MOD($A64,G$2)=0,OFFSET(P64,-G$2,0)+ G$3* $B64+G$4*OFFSET($B64,-G$2,0)+ G$5*OFFSET($B64,-2* G$2,0), P63)</f>
        <v/>
      </c>
      <c r="Q64">
        <f>IF(MOD($A64,H$2)=0,OFFSET(Q64,-H$2,0)+ H$3* $B64+H$4*OFFSET($B64,-H$2,0)+ H$5*OFFSET($B64,-2* H$2,0), Q63)</f>
        <v/>
      </c>
      <c r="R64">
        <f>IF(MOD($A64,I$2)=0,OFFSET(R64,-I$2,0)+ I$3* $B64+I$4*OFFSET($B64,-I$2,0)+ I$5*OFFSET($B64,-2* I$2,0), R63)</f>
        <v/>
      </c>
    </row>
    <row r="65">
      <c r="A65" t="n">
        <v>56</v>
      </c>
      <c r="B65" t="n">
        <v>1</v>
      </c>
      <c r="C65">
        <f>C64+D$3*$B65+D$4*$B64+D$5*$B63</f>
        <v/>
      </c>
      <c r="D65">
        <f>D60+E$3*$B65+E$4*$B60+E$5*$B55</f>
        <v/>
      </c>
      <c r="E65">
        <f>E55+F$3*$B65+F$4*$B55+F$5*$B45</f>
        <v/>
      </c>
      <c r="F65">
        <f>F64+G$3*$B65+G$4*$B64+G$5*$B63</f>
        <v/>
      </c>
      <c r="G65">
        <f>G60+H$3*$B65+H$4*$B60+H$5*$B55</f>
        <v/>
      </c>
      <c r="H65">
        <f>H55+I$3*$B65+I$4*$B55+I$5*$B45</f>
        <v/>
      </c>
      <c r="L65" t="n">
        <v>1</v>
      </c>
      <c r="M65">
        <f>IF(MOD($A65,D$2)=0,OFFSET(M65,-D$2,0)+ D$3* $B65+D$4*OFFSET($B65,-D$2,0)+ D$5*OFFSET($B65,-2* D$2,0), M64)</f>
        <v/>
      </c>
      <c r="N65">
        <f>IF(MOD($A65,E$2)=0,OFFSET(N65,-E$2,0)+ E$3* $B65+E$4*OFFSET($B65,-E$2,0)+ E$5*OFFSET($B65,-2* E$2,0), N64)</f>
        <v/>
      </c>
      <c r="O65">
        <f>IF(MOD($A65,F$2)=0,OFFSET(O65,-F$2,0)+ F$3* $B65+F$4*OFFSET($B65,-F$2,0)+ F$5*OFFSET($B65,-2* F$2,0), O64)</f>
        <v/>
      </c>
      <c r="P65">
        <f>IF(MOD($A65,G$2)=0,OFFSET(P65,-G$2,0)+ G$3* $B65+G$4*OFFSET($B65,-G$2,0)+ G$5*OFFSET($B65,-2* G$2,0), P64)</f>
        <v/>
      </c>
      <c r="Q65">
        <f>IF(MOD($A65,H$2)=0,OFFSET(Q65,-H$2,0)+ H$3* $B65+H$4*OFFSET($B65,-H$2,0)+ H$5*OFFSET($B65,-2* H$2,0), Q64)</f>
        <v/>
      </c>
      <c r="R65">
        <f>IF(MOD($A65,I$2)=0,OFFSET(R65,-I$2,0)+ I$3* $B65+I$4*OFFSET($B65,-I$2,0)+ I$5*OFFSET($B65,-2* I$2,0), R64)</f>
        <v/>
      </c>
    </row>
    <row r="66">
      <c r="A66" t="n">
        <v>57</v>
      </c>
      <c r="B66" t="n">
        <v>1</v>
      </c>
      <c r="C66">
        <f>C65+D$3*$B66+D$4*$B65+D$5*$B64</f>
        <v/>
      </c>
      <c r="D66">
        <f>D61+E$3*$B66+E$4*$B61+E$5*$B56</f>
        <v/>
      </c>
      <c r="E66">
        <f>E56+F$3*$B66+F$4*$B56+F$5*$B46</f>
        <v/>
      </c>
      <c r="F66">
        <f>F65+G$3*$B66+G$4*$B65+G$5*$B64</f>
        <v/>
      </c>
      <c r="G66">
        <f>G61+H$3*$B66+H$4*$B61+H$5*$B56</f>
        <v/>
      </c>
      <c r="H66">
        <f>H56+I$3*$B66+I$4*$B56+I$5*$B46</f>
        <v/>
      </c>
      <c r="L66" t="n">
        <v>1</v>
      </c>
      <c r="M66">
        <f>IF(MOD($A66,D$2)=0,OFFSET(M66,-D$2,0)+ D$3* $B66+D$4*OFFSET($B66,-D$2,0)+ D$5*OFFSET($B66,-2* D$2,0), M65)</f>
        <v/>
      </c>
      <c r="N66">
        <f>IF(MOD($A66,E$2)=0,OFFSET(N66,-E$2,0)+ E$3* $B66+E$4*OFFSET($B66,-E$2,0)+ E$5*OFFSET($B66,-2* E$2,0), N65)</f>
        <v/>
      </c>
      <c r="O66">
        <f>IF(MOD($A66,F$2)=0,OFFSET(O66,-F$2,0)+ F$3* $B66+F$4*OFFSET($B66,-F$2,0)+ F$5*OFFSET($B66,-2* F$2,0), O65)</f>
        <v/>
      </c>
      <c r="P66">
        <f>IF(MOD($A66,G$2)=0,OFFSET(P66,-G$2,0)+ G$3* $B66+G$4*OFFSET($B66,-G$2,0)+ G$5*OFFSET($B66,-2* G$2,0), P65)</f>
        <v/>
      </c>
      <c r="Q66">
        <f>IF(MOD($A66,H$2)=0,OFFSET(Q66,-H$2,0)+ H$3* $B66+H$4*OFFSET($B66,-H$2,0)+ H$5*OFFSET($B66,-2* H$2,0), Q65)</f>
        <v/>
      </c>
      <c r="R66">
        <f>IF(MOD($A66,I$2)=0,OFFSET(R66,-I$2,0)+ I$3* $B66+I$4*OFFSET($B66,-I$2,0)+ I$5*OFFSET($B66,-2* I$2,0), R65)</f>
        <v/>
      </c>
    </row>
    <row r="67">
      <c r="A67" t="n">
        <v>58</v>
      </c>
      <c r="B67" t="n">
        <v>1</v>
      </c>
      <c r="C67">
        <f>C66+D$3*$B67+D$4*$B66+D$5*$B65</f>
        <v/>
      </c>
      <c r="D67">
        <f>D62+E$3*$B67+E$4*$B62+E$5*$B57</f>
        <v/>
      </c>
      <c r="E67">
        <f>E57+F$3*$B67+F$4*$B57+F$5*$B47</f>
        <v/>
      </c>
      <c r="F67">
        <f>F66+G$3*$B67+G$4*$B66+G$5*$B65</f>
        <v/>
      </c>
      <c r="G67">
        <f>G62+H$3*$B67+H$4*$B62+H$5*$B57</f>
        <v/>
      </c>
      <c r="H67">
        <f>H57+I$3*$B67+I$4*$B57+I$5*$B47</f>
        <v/>
      </c>
      <c r="L67" t="n">
        <v>1</v>
      </c>
      <c r="M67">
        <f>IF(MOD($A67,D$2)=0,OFFSET(M67,-D$2,0)+ D$3* $B67+D$4*OFFSET($B67,-D$2,0)+ D$5*OFFSET($B67,-2* D$2,0), M66)</f>
        <v/>
      </c>
      <c r="N67">
        <f>IF(MOD($A67,E$2)=0,OFFSET(N67,-E$2,0)+ E$3* $B67+E$4*OFFSET($B67,-E$2,0)+ E$5*OFFSET($B67,-2* E$2,0), N66)</f>
        <v/>
      </c>
      <c r="O67">
        <f>IF(MOD($A67,F$2)=0,OFFSET(O67,-F$2,0)+ F$3* $B67+F$4*OFFSET($B67,-F$2,0)+ F$5*OFFSET($B67,-2* F$2,0), O66)</f>
        <v/>
      </c>
      <c r="P67">
        <f>IF(MOD($A67,G$2)=0,OFFSET(P67,-G$2,0)+ G$3* $B67+G$4*OFFSET($B67,-G$2,0)+ G$5*OFFSET($B67,-2* G$2,0), P66)</f>
        <v/>
      </c>
      <c r="Q67">
        <f>IF(MOD($A67,H$2)=0,OFFSET(Q67,-H$2,0)+ H$3* $B67+H$4*OFFSET($B67,-H$2,0)+ H$5*OFFSET($B67,-2* H$2,0), Q66)</f>
        <v/>
      </c>
      <c r="R67">
        <f>IF(MOD($A67,I$2)=0,OFFSET(R67,-I$2,0)+ I$3* $B67+I$4*OFFSET($B67,-I$2,0)+ I$5*OFFSET($B67,-2* I$2,0), R66)</f>
        <v/>
      </c>
    </row>
    <row r="68">
      <c r="A68" t="n">
        <v>59</v>
      </c>
      <c r="B68" t="n">
        <v>1</v>
      </c>
      <c r="C68">
        <f>C67+D$3*$B68+D$4*$B67+D$5*$B66</f>
        <v/>
      </c>
      <c r="D68">
        <f>D63+E$3*$B68+E$4*$B63+E$5*$B58</f>
        <v/>
      </c>
      <c r="E68">
        <f>E58+F$3*$B68+F$4*$B58+F$5*$B48</f>
        <v/>
      </c>
      <c r="F68">
        <f>F67+G$3*$B68+G$4*$B67+G$5*$B66</f>
        <v/>
      </c>
      <c r="G68">
        <f>G63+H$3*$B68+H$4*$B63+H$5*$B58</f>
        <v/>
      </c>
      <c r="H68">
        <f>H58+I$3*$B68+I$4*$B58+I$5*$B48</f>
        <v/>
      </c>
      <c r="L68" t="n">
        <v>1</v>
      </c>
      <c r="M68">
        <f>IF(MOD($A68,D$2)=0,OFFSET(M68,-D$2,0)+ D$3* $B68+D$4*OFFSET($B68,-D$2,0)+ D$5*OFFSET($B68,-2* D$2,0), M67)</f>
        <v/>
      </c>
      <c r="N68">
        <f>IF(MOD($A68,E$2)=0,OFFSET(N68,-E$2,0)+ E$3* $B68+E$4*OFFSET($B68,-E$2,0)+ E$5*OFFSET($B68,-2* E$2,0), N67)</f>
        <v/>
      </c>
      <c r="O68">
        <f>IF(MOD($A68,F$2)=0,OFFSET(O68,-F$2,0)+ F$3* $B68+F$4*OFFSET($B68,-F$2,0)+ F$5*OFFSET($B68,-2* F$2,0), O67)</f>
        <v/>
      </c>
      <c r="P68">
        <f>IF(MOD($A68,G$2)=0,OFFSET(P68,-G$2,0)+ G$3* $B68+G$4*OFFSET($B68,-G$2,0)+ G$5*OFFSET($B68,-2* G$2,0), P67)</f>
        <v/>
      </c>
      <c r="Q68">
        <f>IF(MOD($A68,H$2)=0,OFFSET(Q68,-H$2,0)+ H$3* $B68+H$4*OFFSET($B68,-H$2,0)+ H$5*OFFSET($B68,-2* H$2,0), Q67)</f>
        <v/>
      </c>
      <c r="R68">
        <f>IF(MOD($A68,I$2)=0,OFFSET(R68,-I$2,0)+ I$3* $B68+I$4*OFFSET($B68,-I$2,0)+ I$5*OFFSET($B68,-2* I$2,0), R67)</f>
        <v/>
      </c>
    </row>
    <row r="69">
      <c r="A69" t="n">
        <v>60</v>
      </c>
      <c r="B69" t="n">
        <v>1</v>
      </c>
      <c r="C69">
        <f>C68+D$3*$B69+D$4*$B68+D$5*$B67</f>
        <v/>
      </c>
      <c r="D69">
        <f>D64+E$3*$B69+E$4*$B64+E$5*$B59</f>
        <v/>
      </c>
      <c r="E69">
        <f>E59+F$3*$B69+F$4*$B59+F$5*$B49</f>
        <v/>
      </c>
      <c r="F69">
        <f>F68+G$3*$B69+G$4*$B68+G$5*$B67</f>
        <v/>
      </c>
      <c r="G69">
        <f>G64+H$3*$B69+H$4*$B64+H$5*$B59</f>
        <v/>
      </c>
      <c r="H69">
        <f>H59+I$3*$B69+I$4*$B59+I$5*$B49</f>
        <v/>
      </c>
      <c r="L69" t="n">
        <v>1</v>
      </c>
      <c r="M69">
        <f>IF(MOD($A69,D$2)=0,OFFSET(M69,-D$2,0)+ D$3* $B69+D$4*OFFSET($B69,-D$2,0)+ D$5*OFFSET($B69,-2* D$2,0), M68)</f>
        <v/>
      </c>
      <c r="N69">
        <f>IF(MOD($A69,E$2)=0,OFFSET(N69,-E$2,0)+ E$3* $B69+E$4*OFFSET($B69,-E$2,0)+ E$5*OFFSET($B69,-2* E$2,0), N68)</f>
        <v/>
      </c>
      <c r="O69">
        <f>IF(MOD($A69,F$2)=0,OFFSET(O69,-F$2,0)+ F$3* $B69+F$4*OFFSET($B69,-F$2,0)+ F$5*OFFSET($B69,-2* F$2,0), O68)</f>
        <v/>
      </c>
      <c r="P69">
        <f>IF(MOD($A69,G$2)=0,OFFSET(P69,-G$2,0)+ G$3* $B69+G$4*OFFSET($B69,-G$2,0)+ G$5*OFFSET($B69,-2* G$2,0), P68)</f>
        <v/>
      </c>
      <c r="Q69">
        <f>IF(MOD($A69,H$2)=0,OFFSET(Q69,-H$2,0)+ H$3* $B69+H$4*OFFSET($B69,-H$2,0)+ H$5*OFFSET($B69,-2* H$2,0), Q68)</f>
        <v/>
      </c>
      <c r="R69">
        <f>IF(MOD($A69,I$2)=0,OFFSET(R69,-I$2,0)+ I$3* $B69+I$4*OFFSET($B69,-I$2,0)+ I$5*OFFSET($B69,-2* I$2,0), R68)</f>
        <v/>
      </c>
    </row>
    <row r="70">
      <c r="A70" t="n">
        <v>61</v>
      </c>
      <c r="B70" t="n">
        <v>1</v>
      </c>
      <c r="C70">
        <f>C69+D$3*$B70+D$4*$B69+D$5*$B68</f>
        <v/>
      </c>
      <c r="D70">
        <f>D65+E$3*$B70+E$4*$B65+E$5*$B60</f>
        <v/>
      </c>
      <c r="E70">
        <f>E60+F$3*$B70+F$4*$B60+F$5*$B50</f>
        <v/>
      </c>
      <c r="F70">
        <f>F69+G$3*$B70+G$4*$B69+G$5*$B68</f>
        <v/>
      </c>
      <c r="G70">
        <f>G65+H$3*$B70+H$4*$B65+H$5*$B60</f>
        <v/>
      </c>
      <c r="H70">
        <f>H60+I$3*$B70+I$4*$B60+I$5*$B50</f>
        <v/>
      </c>
      <c r="L70" t="n">
        <v>1</v>
      </c>
      <c r="M70">
        <f>IF(MOD($A70,D$2)=0,OFFSET(M70,-D$2,0)+ D$3* $B70+D$4*OFFSET($B70,-D$2,0)+ D$5*OFFSET($B70,-2* D$2,0), M69)</f>
        <v/>
      </c>
      <c r="N70">
        <f>IF(MOD($A70,E$2)=0,OFFSET(N70,-E$2,0)+ E$3* $B70+E$4*OFFSET($B70,-E$2,0)+ E$5*OFFSET($B70,-2* E$2,0), N69)</f>
        <v/>
      </c>
      <c r="O70">
        <f>IF(MOD($A70,F$2)=0,OFFSET(O70,-F$2,0)+ F$3* $B70+F$4*OFFSET($B70,-F$2,0)+ F$5*OFFSET($B70,-2* F$2,0), O69)</f>
        <v/>
      </c>
      <c r="P70">
        <f>IF(MOD($A70,G$2)=0,OFFSET(P70,-G$2,0)+ G$3* $B70+G$4*OFFSET($B70,-G$2,0)+ G$5*OFFSET($B70,-2* G$2,0), P69)</f>
        <v/>
      </c>
      <c r="Q70">
        <f>IF(MOD($A70,H$2)=0,OFFSET(Q70,-H$2,0)+ H$3* $B70+H$4*OFFSET($B70,-H$2,0)+ H$5*OFFSET($B70,-2* H$2,0), Q69)</f>
        <v/>
      </c>
      <c r="R70">
        <f>IF(MOD($A70,I$2)=0,OFFSET(R70,-I$2,0)+ I$3* $B70+I$4*OFFSET($B70,-I$2,0)+ I$5*OFFSET($B70,-2* I$2,0), R69)</f>
        <v/>
      </c>
    </row>
    <row r="71">
      <c r="A71" t="n">
        <v>62</v>
      </c>
      <c r="B71" t="n">
        <v>1</v>
      </c>
      <c r="C71">
        <f>C70+D$3*$B71+D$4*$B70+D$5*$B69</f>
        <v/>
      </c>
      <c r="D71">
        <f>D66+E$3*$B71+E$4*$B66+E$5*$B61</f>
        <v/>
      </c>
      <c r="E71">
        <f>E61+F$3*$B71+F$4*$B61+F$5*$B51</f>
        <v/>
      </c>
      <c r="F71">
        <f>F70+G$3*$B71+G$4*$B70+G$5*$B69</f>
        <v/>
      </c>
      <c r="G71">
        <f>G66+H$3*$B71+H$4*$B66+H$5*$B61</f>
        <v/>
      </c>
      <c r="H71">
        <f>H61+I$3*$B71+I$4*$B61+I$5*$B51</f>
        <v/>
      </c>
      <c r="L71" t="n">
        <v>1</v>
      </c>
      <c r="M71">
        <f>IF(MOD($A71,D$2)=0,OFFSET(M71,-D$2,0)+ D$3* $B71+D$4*OFFSET($B71,-D$2,0)+ D$5*OFFSET($B71,-2* D$2,0), M70)</f>
        <v/>
      </c>
      <c r="N71">
        <f>IF(MOD($A71,E$2)=0,OFFSET(N71,-E$2,0)+ E$3* $B71+E$4*OFFSET($B71,-E$2,0)+ E$5*OFFSET($B71,-2* E$2,0), N70)</f>
        <v/>
      </c>
      <c r="O71">
        <f>IF(MOD($A71,F$2)=0,OFFSET(O71,-F$2,0)+ F$3* $B71+F$4*OFFSET($B71,-F$2,0)+ F$5*OFFSET($B71,-2* F$2,0), O70)</f>
        <v/>
      </c>
      <c r="P71">
        <f>IF(MOD($A71,G$2)=0,OFFSET(P71,-G$2,0)+ G$3* $B71+G$4*OFFSET($B71,-G$2,0)+ G$5*OFFSET($B71,-2* G$2,0), P70)</f>
        <v/>
      </c>
      <c r="Q71">
        <f>IF(MOD($A71,H$2)=0,OFFSET(Q71,-H$2,0)+ H$3* $B71+H$4*OFFSET($B71,-H$2,0)+ H$5*OFFSET($B71,-2* H$2,0), Q70)</f>
        <v/>
      </c>
      <c r="R71">
        <f>IF(MOD($A71,I$2)=0,OFFSET(R71,-I$2,0)+ I$3* $B71+I$4*OFFSET($B71,-I$2,0)+ I$5*OFFSET($B71,-2* I$2,0), R70)</f>
        <v/>
      </c>
    </row>
    <row r="72">
      <c r="A72" t="n">
        <v>63</v>
      </c>
      <c r="B72" t="n">
        <v>1</v>
      </c>
      <c r="C72">
        <f>C71+D$3*$B72+D$4*$B71+D$5*$B70</f>
        <v/>
      </c>
      <c r="D72">
        <f>D67+E$3*$B72+E$4*$B67+E$5*$B62</f>
        <v/>
      </c>
      <c r="E72">
        <f>E62+F$3*$B72+F$4*$B62+F$5*$B52</f>
        <v/>
      </c>
      <c r="F72">
        <f>F71+G$3*$B72+G$4*$B71+G$5*$B70</f>
        <v/>
      </c>
      <c r="G72">
        <f>G67+H$3*$B72+H$4*$B67+H$5*$B62</f>
        <v/>
      </c>
      <c r="H72">
        <f>H62+I$3*$B72+I$4*$B62+I$5*$B52</f>
        <v/>
      </c>
      <c r="L72" t="n">
        <v>1</v>
      </c>
      <c r="M72">
        <f>IF(MOD($A72,D$2)=0,OFFSET(M72,-D$2,0)+ D$3* $B72+D$4*OFFSET($B72,-D$2,0)+ D$5*OFFSET($B72,-2* D$2,0), M71)</f>
        <v/>
      </c>
      <c r="N72">
        <f>IF(MOD($A72,E$2)=0,OFFSET(N72,-E$2,0)+ E$3* $B72+E$4*OFFSET($B72,-E$2,0)+ E$5*OFFSET($B72,-2* E$2,0), N71)</f>
        <v/>
      </c>
      <c r="O72">
        <f>IF(MOD($A72,F$2)=0,OFFSET(O72,-F$2,0)+ F$3* $B72+F$4*OFFSET($B72,-F$2,0)+ F$5*OFFSET($B72,-2* F$2,0), O71)</f>
        <v/>
      </c>
      <c r="P72">
        <f>IF(MOD($A72,G$2)=0,OFFSET(P72,-G$2,0)+ G$3* $B72+G$4*OFFSET($B72,-G$2,0)+ G$5*OFFSET($B72,-2* G$2,0), P71)</f>
        <v/>
      </c>
      <c r="Q72">
        <f>IF(MOD($A72,H$2)=0,OFFSET(Q72,-H$2,0)+ H$3* $B72+H$4*OFFSET($B72,-H$2,0)+ H$5*OFFSET($B72,-2* H$2,0), Q71)</f>
        <v/>
      </c>
      <c r="R72">
        <f>IF(MOD($A72,I$2)=0,OFFSET(R72,-I$2,0)+ I$3* $B72+I$4*OFFSET($B72,-I$2,0)+ I$5*OFFSET($B72,-2* I$2,0), R71)</f>
        <v/>
      </c>
    </row>
    <row r="73">
      <c r="A73" t="n">
        <v>64</v>
      </c>
      <c r="B73" t="n">
        <v>1</v>
      </c>
      <c r="C73">
        <f>C72+D$3*$B73+D$4*$B72+D$5*$B71</f>
        <v/>
      </c>
      <c r="D73">
        <f>D68+E$3*$B73+E$4*$B68+E$5*$B63</f>
        <v/>
      </c>
      <c r="E73">
        <f>E63+F$3*$B73+F$4*$B63+F$5*$B53</f>
        <v/>
      </c>
      <c r="F73">
        <f>F72+G$3*$B73+G$4*$B72+G$5*$B71</f>
        <v/>
      </c>
      <c r="G73">
        <f>G68+H$3*$B73+H$4*$B68+H$5*$B63</f>
        <v/>
      </c>
      <c r="H73">
        <f>H63+I$3*$B73+I$4*$B63+I$5*$B53</f>
        <v/>
      </c>
      <c r="L73" t="n">
        <v>1</v>
      </c>
      <c r="M73">
        <f>IF(MOD($A73,D$2)=0,OFFSET(M73,-D$2,0)+ D$3* $B73+D$4*OFFSET($B73,-D$2,0)+ D$5*OFFSET($B73,-2* D$2,0), M72)</f>
        <v/>
      </c>
      <c r="N73">
        <f>IF(MOD($A73,E$2)=0,OFFSET(N73,-E$2,0)+ E$3* $B73+E$4*OFFSET($B73,-E$2,0)+ E$5*OFFSET($B73,-2* E$2,0), N72)</f>
        <v/>
      </c>
      <c r="O73">
        <f>IF(MOD($A73,F$2)=0,OFFSET(O73,-F$2,0)+ F$3* $B73+F$4*OFFSET($B73,-F$2,0)+ F$5*OFFSET($B73,-2* F$2,0), O72)</f>
        <v/>
      </c>
      <c r="P73">
        <f>IF(MOD($A73,G$2)=0,OFFSET(P73,-G$2,0)+ G$3* $B73+G$4*OFFSET($B73,-G$2,0)+ G$5*OFFSET($B73,-2* G$2,0), P72)</f>
        <v/>
      </c>
      <c r="Q73">
        <f>IF(MOD($A73,H$2)=0,OFFSET(Q73,-H$2,0)+ H$3* $B73+H$4*OFFSET($B73,-H$2,0)+ H$5*OFFSET($B73,-2* H$2,0), Q72)</f>
        <v/>
      </c>
      <c r="R73">
        <f>IF(MOD($A73,I$2)=0,OFFSET(R73,-I$2,0)+ I$3* $B73+I$4*OFFSET($B73,-I$2,0)+ I$5*OFFSET($B73,-2* I$2,0), R72)</f>
        <v/>
      </c>
    </row>
    <row r="74">
      <c r="A74" t="n">
        <v>65</v>
      </c>
      <c r="B74" t="n">
        <v>1</v>
      </c>
      <c r="C74">
        <f>C73+D$3*$B74+D$4*$B73+D$5*$B72</f>
        <v/>
      </c>
      <c r="D74">
        <f>D69+E$3*$B74+E$4*$B69+E$5*$B64</f>
        <v/>
      </c>
      <c r="E74">
        <f>E64+F$3*$B74+F$4*$B64+F$5*$B54</f>
        <v/>
      </c>
      <c r="F74">
        <f>F73+G$3*$B74+G$4*$B73+G$5*$B72</f>
        <v/>
      </c>
      <c r="G74">
        <f>G69+H$3*$B74+H$4*$B69+H$5*$B64</f>
        <v/>
      </c>
      <c r="H74">
        <f>H64+I$3*$B74+I$4*$B64+I$5*$B54</f>
        <v/>
      </c>
      <c r="L74" t="n">
        <v>1</v>
      </c>
      <c r="M74">
        <f>IF(MOD($A74,D$2)=0,OFFSET(M74,-D$2,0)+ D$3* $B74+D$4*OFFSET($B74,-D$2,0)+ D$5*OFFSET($B74,-2* D$2,0), M73)</f>
        <v/>
      </c>
      <c r="N74">
        <f>IF(MOD($A74,E$2)=0,OFFSET(N74,-E$2,0)+ E$3* $B74+E$4*OFFSET($B74,-E$2,0)+ E$5*OFFSET($B74,-2* E$2,0), N73)</f>
        <v/>
      </c>
      <c r="O74">
        <f>IF(MOD($A74,F$2)=0,OFFSET(O74,-F$2,0)+ F$3* $B74+F$4*OFFSET($B74,-F$2,0)+ F$5*OFFSET($B74,-2* F$2,0), O73)</f>
        <v/>
      </c>
      <c r="P74">
        <f>IF(MOD($A74,G$2)=0,OFFSET(P74,-G$2,0)+ G$3* $B74+G$4*OFFSET($B74,-G$2,0)+ G$5*OFFSET($B74,-2* G$2,0), P73)</f>
        <v/>
      </c>
      <c r="Q74">
        <f>IF(MOD($A74,H$2)=0,OFFSET(Q74,-H$2,0)+ H$3* $B74+H$4*OFFSET($B74,-H$2,0)+ H$5*OFFSET($B74,-2* H$2,0), Q73)</f>
        <v/>
      </c>
      <c r="R74">
        <f>IF(MOD($A74,I$2)=0,OFFSET(R74,-I$2,0)+ I$3* $B74+I$4*OFFSET($B74,-I$2,0)+ I$5*OFFSET($B74,-2* I$2,0), R73)</f>
        <v/>
      </c>
    </row>
    <row r="75">
      <c r="A75" t="n">
        <v>66</v>
      </c>
      <c r="B75" t="n">
        <v>1</v>
      </c>
      <c r="C75">
        <f>C74+D$3*$B75+D$4*$B74+D$5*$B73</f>
        <v/>
      </c>
      <c r="D75">
        <f>D70+E$3*$B75+E$4*$B70+E$5*$B65</f>
        <v/>
      </c>
      <c r="E75">
        <f>E65+F$3*$B75+F$4*$B65+F$5*$B55</f>
        <v/>
      </c>
      <c r="F75">
        <f>F74+G$3*$B75+G$4*$B74+G$5*$B73</f>
        <v/>
      </c>
      <c r="G75">
        <f>G70+H$3*$B75+H$4*$B70+H$5*$B65</f>
        <v/>
      </c>
      <c r="H75">
        <f>H65+I$3*$B75+I$4*$B65+I$5*$B55</f>
        <v/>
      </c>
      <c r="L75" t="n">
        <v>1</v>
      </c>
      <c r="M75">
        <f>IF(MOD($A75,D$2)=0,OFFSET(M75,-D$2,0)+ D$3* $B75+D$4*OFFSET($B75,-D$2,0)+ D$5*OFFSET($B75,-2* D$2,0), M74)</f>
        <v/>
      </c>
      <c r="N75">
        <f>IF(MOD($A75,E$2)=0,OFFSET(N75,-E$2,0)+ E$3* $B75+E$4*OFFSET($B75,-E$2,0)+ E$5*OFFSET($B75,-2* E$2,0), N74)</f>
        <v/>
      </c>
      <c r="O75">
        <f>IF(MOD($A75,F$2)=0,OFFSET(O75,-F$2,0)+ F$3* $B75+F$4*OFFSET($B75,-F$2,0)+ F$5*OFFSET($B75,-2* F$2,0), O74)</f>
        <v/>
      </c>
      <c r="P75">
        <f>IF(MOD($A75,G$2)=0,OFFSET(P75,-G$2,0)+ G$3* $B75+G$4*OFFSET($B75,-G$2,0)+ G$5*OFFSET($B75,-2* G$2,0), P74)</f>
        <v/>
      </c>
      <c r="Q75">
        <f>IF(MOD($A75,H$2)=0,OFFSET(Q75,-H$2,0)+ H$3* $B75+H$4*OFFSET($B75,-H$2,0)+ H$5*OFFSET($B75,-2* H$2,0), Q74)</f>
        <v/>
      </c>
      <c r="R75">
        <f>IF(MOD($A75,I$2)=0,OFFSET(R75,-I$2,0)+ I$3* $B75+I$4*OFFSET($B75,-I$2,0)+ I$5*OFFSET($B75,-2* I$2,0), R74)</f>
        <v/>
      </c>
    </row>
    <row r="76">
      <c r="A76" t="n">
        <v>67</v>
      </c>
      <c r="B76" t="n">
        <v>1</v>
      </c>
      <c r="C76">
        <f>C75+D$3*$B76+D$4*$B75+D$5*$B74</f>
        <v/>
      </c>
      <c r="D76">
        <f>D71+E$3*$B76+E$4*$B71+E$5*$B66</f>
        <v/>
      </c>
      <c r="E76">
        <f>E66+F$3*$B76+F$4*$B66+F$5*$B56</f>
        <v/>
      </c>
      <c r="F76">
        <f>F75+G$3*$B76+G$4*$B75+G$5*$B74</f>
        <v/>
      </c>
      <c r="G76">
        <f>G71+H$3*$B76+H$4*$B71+H$5*$B66</f>
        <v/>
      </c>
      <c r="H76">
        <f>H66+I$3*$B76+I$4*$B66+I$5*$B56</f>
        <v/>
      </c>
      <c r="L76" t="n">
        <v>1</v>
      </c>
      <c r="M76">
        <f>IF(MOD($A76,D$2)=0,OFFSET(M76,-D$2,0)+ D$3* $B76+D$4*OFFSET($B76,-D$2,0)+ D$5*OFFSET($B76,-2* D$2,0), M75)</f>
        <v/>
      </c>
      <c r="N76">
        <f>IF(MOD($A76,E$2)=0,OFFSET(N76,-E$2,0)+ E$3* $B76+E$4*OFFSET($B76,-E$2,0)+ E$5*OFFSET($B76,-2* E$2,0), N75)</f>
        <v/>
      </c>
      <c r="O76">
        <f>IF(MOD($A76,F$2)=0,OFFSET(O76,-F$2,0)+ F$3* $B76+F$4*OFFSET($B76,-F$2,0)+ F$5*OFFSET($B76,-2* F$2,0), O75)</f>
        <v/>
      </c>
      <c r="P76">
        <f>IF(MOD($A76,G$2)=0,OFFSET(P76,-G$2,0)+ G$3* $B76+G$4*OFFSET($B76,-G$2,0)+ G$5*OFFSET($B76,-2* G$2,0), P75)</f>
        <v/>
      </c>
      <c r="Q76">
        <f>IF(MOD($A76,H$2)=0,OFFSET(Q76,-H$2,0)+ H$3* $B76+H$4*OFFSET($B76,-H$2,0)+ H$5*OFFSET($B76,-2* H$2,0), Q75)</f>
        <v/>
      </c>
      <c r="R76">
        <f>IF(MOD($A76,I$2)=0,OFFSET(R76,-I$2,0)+ I$3* $B76+I$4*OFFSET($B76,-I$2,0)+ I$5*OFFSET($B76,-2* I$2,0), R75)</f>
        <v/>
      </c>
    </row>
    <row r="77">
      <c r="A77" t="n">
        <v>68</v>
      </c>
      <c r="B77" t="n">
        <v>1</v>
      </c>
      <c r="C77">
        <f>C76+D$3*$B77+D$4*$B76+D$5*$B75</f>
        <v/>
      </c>
      <c r="D77">
        <f>D72+E$3*$B77+E$4*$B72+E$5*$B67</f>
        <v/>
      </c>
      <c r="E77">
        <f>E67+F$3*$B77+F$4*$B67+F$5*$B57</f>
        <v/>
      </c>
      <c r="F77">
        <f>F76+G$3*$B77+G$4*$B76+G$5*$B75</f>
        <v/>
      </c>
      <c r="G77">
        <f>G72+H$3*$B77+H$4*$B72+H$5*$B67</f>
        <v/>
      </c>
      <c r="H77">
        <f>H67+I$3*$B77+I$4*$B67+I$5*$B57</f>
        <v/>
      </c>
      <c r="L77" t="n">
        <v>1</v>
      </c>
      <c r="M77">
        <f>IF(MOD($A77,D$2)=0,OFFSET(M77,-D$2,0)+ D$3* $B77+D$4*OFFSET($B77,-D$2,0)+ D$5*OFFSET($B77,-2* D$2,0), M76)</f>
        <v/>
      </c>
      <c r="N77">
        <f>IF(MOD($A77,E$2)=0,OFFSET(N77,-E$2,0)+ E$3* $B77+E$4*OFFSET($B77,-E$2,0)+ E$5*OFFSET($B77,-2* E$2,0), N76)</f>
        <v/>
      </c>
      <c r="O77">
        <f>IF(MOD($A77,F$2)=0,OFFSET(O77,-F$2,0)+ F$3* $B77+F$4*OFFSET($B77,-F$2,0)+ F$5*OFFSET($B77,-2* F$2,0), O76)</f>
        <v/>
      </c>
      <c r="P77">
        <f>IF(MOD($A77,G$2)=0,OFFSET(P77,-G$2,0)+ G$3* $B77+G$4*OFFSET($B77,-G$2,0)+ G$5*OFFSET($B77,-2* G$2,0), P76)</f>
        <v/>
      </c>
      <c r="Q77">
        <f>IF(MOD($A77,H$2)=0,OFFSET(Q77,-H$2,0)+ H$3* $B77+H$4*OFFSET($B77,-H$2,0)+ H$5*OFFSET($B77,-2* H$2,0), Q76)</f>
        <v/>
      </c>
      <c r="R77">
        <f>IF(MOD($A77,I$2)=0,OFFSET(R77,-I$2,0)+ I$3* $B77+I$4*OFFSET($B77,-I$2,0)+ I$5*OFFSET($B77,-2* I$2,0), R76)</f>
        <v/>
      </c>
    </row>
    <row r="78">
      <c r="A78" t="n">
        <v>69</v>
      </c>
      <c r="B78" t="n">
        <v>1</v>
      </c>
      <c r="C78">
        <f>C77+D$3*$B78+D$4*$B77+D$5*$B76</f>
        <v/>
      </c>
      <c r="D78">
        <f>D73+E$3*$B78+E$4*$B73+E$5*$B68</f>
        <v/>
      </c>
      <c r="E78">
        <f>E68+F$3*$B78+F$4*$B68+F$5*$B58</f>
        <v/>
      </c>
      <c r="F78">
        <f>F77+G$3*$B78+G$4*$B77+G$5*$B76</f>
        <v/>
      </c>
      <c r="G78">
        <f>G73+H$3*$B78+H$4*$B73+H$5*$B68</f>
        <v/>
      </c>
      <c r="H78">
        <f>H68+I$3*$B78+I$4*$B68+I$5*$B58</f>
        <v/>
      </c>
      <c r="L78" t="n">
        <v>1</v>
      </c>
      <c r="M78">
        <f>IF(MOD($A78,D$2)=0,OFFSET(M78,-D$2,0)+ D$3* $B78+D$4*OFFSET($B78,-D$2,0)+ D$5*OFFSET($B78,-2* D$2,0), M77)</f>
        <v/>
      </c>
      <c r="N78">
        <f>IF(MOD($A78,E$2)=0,OFFSET(N78,-E$2,0)+ E$3* $B78+E$4*OFFSET($B78,-E$2,0)+ E$5*OFFSET($B78,-2* E$2,0), N77)</f>
        <v/>
      </c>
      <c r="O78">
        <f>IF(MOD($A78,F$2)=0,OFFSET(O78,-F$2,0)+ F$3* $B78+F$4*OFFSET($B78,-F$2,0)+ F$5*OFFSET($B78,-2* F$2,0), O77)</f>
        <v/>
      </c>
      <c r="P78">
        <f>IF(MOD($A78,G$2)=0,OFFSET(P78,-G$2,0)+ G$3* $B78+G$4*OFFSET($B78,-G$2,0)+ G$5*OFFSET($B78,-2* G$2,0), P77)</f>
        <v/>
      </c>
      <c r="Q78">
        <f>IF(MOD($A78,H$2)=0,OFFSET(Q78,-H$2,0)+ H$3* $B78+H$4*OFFSET($B78,-H$2,0)+ H$5*OFFSET($B78,-2* H$2,0), Q77)</f>
        <v/>
      </c>
      <c r="R78">
        <f>IF(MOD($A78,I$2)=0,OFFSET(R78,-I$2,0)+ I$3* $B78+I$4*OFFSET($B78,-I$2,0)+ I$5*OFFSET($B78,-2* I$2,0), R77)</f>
        <v/>
      </c>
    </row>
    <row r="79">
      <c r="A79" t="n">
        <v>70</v>
      </c>
      <c r="B79" t="n">
        <v>1</v>
      </c>
      <c r="C79">
        <f>C78+D$3*$B79+D$4*$B78+D$5*$B77</f>
        <v/>
      </c>
      <c r="D79">
        <f>D74+E$3*$B79+E$4*$B74+E$5*$B69</f>
        <v/>
      </c>
      <c r="E79">
        <f>E69+F$3*$B79+F$4*$B69+F$5*$B59</f>
        <v/>
      </c>
      <c r="F79">
        <f>F78+G$3*$B79+G$4*$B78+G$5*$B77</f>
        <v/>
      </c>
      <c r="G79">
        <f>G74+H$3*$B79+H$4*$B74+H$5*$B69</f>
        <v/>
      </c>
      <c r="H79">
        <f>H69+I$3*$B79+I$4*$B69+I$5*$B59</f>
        <v/>
      </c>
      <c r="L79" t="n">
        <v>1</v>
      </c>
      <c r="M79">
        <f>IF(MOD($A79,D$2)=0,OFFSET(M79,-D$2,0)+ D$3* $B79+D$4*OFFSET($B79,-D$2,0)+ D$5*OFFSET($B79,-2* D$2,0), M78)</f>
        <v/>
      </c>
      <c r="N79">
        <f>IF(MOD($A79,E$2)=0,OFFSET(N79,-E$2,0)+ E$3* $B79+E$4*OFFSET($B79,-E$2,0)+ E$5*OFFSET($B79,-2* E$2,0), N78)</f>
        <v/>
      </c>
      <c r="O79">
        <f>IF(MOD($A79,F$2)=0,OFFSET(O79,-F$2,0)+ F$3* $B79+F$4*OFFSET($B79,-F$2,0)+ F$5*OFFSET($B79,-2* F$2,0), O78)</f>
        <v/>
      </c>
      <c r="P79">
        <f>IF(MOD($A79,G$2)=0,OFFSET(P79,-G$2,0)+ G$3* $B79+G$4*OFFSET($B79,-G$2,0)+ G$5*OFFSET($B79,-2* G$2,0), P78)</f>
        <v/>
      </c>
      <c r="Q79">
        <f>IF(MOD($A79,H$2)=0,OFFSET(Q79,-H$2,0)+ H$3* $B79+H$4*OFFSET($B79,-H$2,0)+ H$5*OFFSET($B79,-2* H$2,0), Q78)</f>
        <v/>
      </c>
      <c r="R79">
        <f>IF(MOD($A79,I$2)=0,OFFSET(R79,-I$2,0)+ I$3* $B79+I$4*OFFSET($B79,-I$2,0)+ I$5*OFFSET($B79,-2* I$2,0), R78)</f>
        <v/>
      </c>
    </row>
    <row r="80">
      <c r="A80" t="n">
        <v>71</v>
      </c>
      <c r="B80" t="n">
        <v>1</v>
      </c>
      <c r="C80">
        <f>C79+D$3*$B80+D$4*$B79+D$5*$B78</f>
        <v/>
      </c>
      <c r="D80">
        <f>D75+E$3*$B80+E$4*$B75+E$5*$B70</f>
        <v/>
      </c>
      <c r="E80">
        <f>E70+F$3*$B80+F$4*$B70+F$5*$B60</f>
        <v/>
      </c>
      <c r="F80">
        <f>F79+G$3*$B80+G$4*$B79+G$5*$B78</f>
        <v/>
      </c>
      <c r="G80">
        <f>G75+H$3*$B80+H$4*$B75+H$5*$B70</f>
        <v/>
      </c>
      <c r="H80">
        <f>H70+I$3*$B80+I$4*$B70+I$5*$B60</f>
        <v/>
      </c>
      <c r="L80" t="n">
        <v>1</v>
      </c>
      <c r="M80">
        <f>IF(MOD($A80,D$2)=0,OFFSET(M80,-D$2,0)+ D$3* $B80+D$4*OFFSET($B80,-D$2,0)+ D$5*OFFSET($B80,-2* D$2,0), M79)</f>
        <v/>
      </c>
      <c r="N80">
        <f>IF(MOD($A80,E$2)=0,OFFSET(N80,-E$2,0)+ E$3* $B80+E$4*OFFSET($B80,-E$2,0)+ E$5*OFFSET($B80,-2* E$2,0), N79)</f>
        <v/>
      </c>
      <c r="O80">
        <f>IF(MOD($A80,F$2)=0,OFFSET(O80,-F$2,0)+ F$3* $B80+F$4*OFFSET($B80,-F$2,0)+ F$5*OFFSET($B80,-2* F$2,0), O79)</f>
        <v/>
      </c>
      <c r="P80">
        <f>IF(MOD($A80,G$2)=0,OFFSET(P80,-G$2,0)+ G$3* $B80+G$4*OFFSET($B80,-G$2,0)+ G$5*OFFSET($B80,-2* G$2,0), P79)</f>
        <v/>
      </c>
      <c r="Q80">
        <f>IF(MOD($A80,H$2)=0,OFFSET(Q80,-H$2,0)+ H$3* $B80+H$4*OFFSET($B80,-H$2,0)+ H$5*OFFSET($B80,-2* H$2,0), Q79)</f>
        <v/>
      </c>
      <c r="R80">
        <f>IF(MOD($A80,I$2)=0,OFFSET(R80,-I$2,0)+ I$3* $B80+I$4*OFFSET($B80,-I$2,0)+ I$5*OFFSET($B80,-2* I$2,0), R79)</f>
        <v/>
      </c>
    </row>
    <row r="81">
      <c r="A81" t="n">
        <v>72</v>
      </c>
      <c r="B81" t="n">
        <v>1</v>
      </c>
      <c r="C81">
        <f>C80+D$3*$B81+D$4*$B80+D$5*$B79</f>
        <v/>
      </c>
      <c r="D81">
        <f>D76+E$3*$B81+E$4*$B76+E$5*$B71</f>
        <v/>
      </c>
      <c r="E81">
        <f>E71+F$3*$B81+F$4*$B71+F$5*$B61</f>
        <v/>
      </c>
      <c r="F81">
        <f>F80+G$3*$B81+G$4*$B80+G$5*$B79</f>
        <v/>
      </c>
      <c r="G81">
        <f>G76+H$3*$B81+H$4*$B76+H$5*$B71</f>
        <v/>
      </c>
      <c r="H81">
        <f>H71+I$3*$B81+I$4*$B71+I$5*$B61</f>
        <v/>
      </c>
      <c r="L81" t="n">
        <v>1</v>
      </c>
      <c r="M81">
        <f>IF(MOD($A81,D$2)=0,OFFSET(M81,-D$2,0)+ D$3* $B81+D$4*OFFSET($B81,-D$2,0)+ D$5*OFFSET($B81,-2* D$2,0), M80)</f>
        <v/>
      </c>
      <c r="N81">
        <f>IF(MOD($A81,E$2)=0,OFFSET(N81,-E$2,0)+ E$3* $B81+E$4*OFFSET($B81,-E$2,0)+ E$5*OFFSET($B81,-2* E$2,0), N80)</f>
        <v/>
      </c>
      <c r="O81">
        <f>IF(MOD($A81,F$2)=0,OFFSET(O81,-F$2,0)+ F$3* $B81+F$4*OFFSET($B81,-F$2,0)+ F$5*OFFSET($B81,-2* F$2,0), O80)</f>
        <v/>
      </c>
      <c r="P81">
        <f>IF(MOD($A81,G$2)=0,OFFSET(P81,-G$2,0)+ G$3* $B81+G$4*OFFSET($B81,-G$2,0)+ G$5*OFFSET($B81,-2* G$2,0), P80)</f>
        <v/>
      </c>
      <c r="Q81">
        <f>IF(MOD($A81,H$2)=0,OFFSET(Q81,-H$2,0)+ H$3* $B81+H$4*OFFSET($B81,-H$2,0)+ H$5*OFFSET($B81,-2* H$2,0), Q80)</f>
        <v/>
      </c>
      <c r="R81">
        <f>IF(MOD($A81,I$2)=0,OFFSET(R81,-I$2,0)+ I$3* $B81+I$4*OFFSET($B81,-I$2,0)+ I$5*OFFSET($B81,-2* I$2,0), R80)</f>
        <v/>
      </c>
    </row>
    <row r="82">
      <c r="A82" t="n">
        <v>73</v>
      </c>
      <c r="B82" t="n">
        <v>1</v>
      </c>
      <c r="C82">
        <f>C81+D$3*$B82+D$4*$B81+D$5*$B80</f>
        <v/>
      </c>
      <c r="D82">
        <f>D77+E$3*$B82+E$4*$B77+E$5*$B72</f>
        <v/>
      </c>
      <c r="E82">
        <f>E72+F$3*$B82+F$4*$B72+F$5*$B62</f>
        <v/>
      </c>
      <c r="F82">
        <f>F81+G$3*$B82+G$4*$B81+G$5*$B80</f>
        <v/>
      </c>
      <c r="G82">
        <f>G77+H$3*$B82+H$4*$B77+H$5*$B72</f>
        <v/>
      </c>
      <c r="H82">
        <f>H72+I$3*$B82+I$4*$B72+I$5*$B62</f>
        <v/>
      </c>
      <c r="L82" t="n">
        <v>1</v>
      </c>
      <c r="M82">
        <f>IF(MOD($A82,D$2)=0,OFFSET(M82,-D$2,0)+ D$3* $B82+D$4*OFFSET($B82,-D$2,0)+ D$5*OFFSET($B82,-2* D$2,0), M81)</f>
        <v/>
      </c>
      <c r="N82">
        <f>IF(MOD($A82,E$2)=0,OFFSET(N82,-E$2,0)+ E$3* $B82+E$4*OFFSET($B82,-E$2,0)+ E$5*OFFSET($B82,-2* E$2,0), N81)</f>
        <v/>
      </c>
      <c r="O82">
        <f>IF(MOD($A82,F$2)=0,OFFSET(O82,-F$2,0)+ F$3* $B82+F$4*OFFSET($B82,-F$2,0)+ F$5*OFFSET($B82,-2* F$2,0), O81)</f>
        <v/>
      </c>
      <c r="P82">
        <f>IF(MOD($A82,G$2)=0,OFFSET(P82,-G$2,0)+ G$3* $B82+G$4*OFFSET($B82,-G$2,0)+ G$5*OFFSET($B82,-2* G$2,0), P81)</f>
        <v/>
      </c>
      <c r="Q82">
        <f>IF(MOD($A82,H$2)=0,OFFSET(Q82,-H$2,0)+ H$3* $B82+H$4*OFFSET($B82,-H$2,0)+ H$5*OFFSET($B82,-2* H$2,0), Q81)</f>
        <v/>
      </c>
      <c r="R82">
        <f>IF(MOD($A82,I$2)=0,OFFSET(R82,-I$2,0)+ I$3* $B82+I$4*OFFSET($B82,-I$2,0)+ I$5*OFFSET($B82,-2* I$2,0), R81)</f>
        <v/>
      </c>
    </row>
    <row r="83">
      <c r="A83" t="n">
        <v>74</v>
      </c>
      <c r="B83" t="n">
        <v>1</v>
      </c>
      <c r="C83">
        <f>C82+D$3*$B83+D$4*$B82+D$5*$B81</f>
        <v/>
      </c>
      <c r="D83">
        <f>D78+E$3*$B83+E$4*$B78+E$5*$B73</f>
        <v/>
      </c>
      <c r="E83">
        <f>E73+F$3*$B83+F$4*$B73+F$5*$B63</f>
        <v/>
      </c>
      <c r="F83">
        <f>F82+G$3*$B83+G$4*$B82+G$5*$B81</f>
        <v/>
      </c>
      <c r="G83">
        <f>G78+H$3*$B83+H$4*$B78+H$5*$B73</f>
        <v/>
      </c>
      <c r="H83">
        <f>H73+I$3*$B83+I$4*$B73+I$5*$B63</f>
        <v/>
      </c>
      <c r="L83" t="n">
        <v>1</v>
      </c>
      <c r="M83">
        <f>IF(MOD($A83,D$2)=0,OFFSET(M83,-D$2,0)+ D$3* $B83+D$4*OFFSET($B83,-D$2,0)+ D$5*OFFSET($B83,-2* D$2,0), M82)</f>
        <v/>
      </c>
      <c r="N83">
        <f>IF(MOD($A83,E$2)=0,OFFSET(N83,-E$2,0)+ E$3* $B83+E$4*OFFSET($B83,-E$2,0)+ E$5*OFFSET($B83,-2* E$2,0), N82)</f>
        <v/>
      </c>
      <c r="O83">
        <f>IF(MOD($A83,F$2)=0,OFFSET(O83,-F$2,0)+ F$3* $B83+F$4*OFFSET($B83,-F$2,0)+ F$5*OFFSET($B83,-2* F$2,0), O82)</f>
        <v/>
      </c>
      <c r="P83">
        <f>IF(MOD($A83,G$2)=0,OFFSET(P83,-G$2,0)+ G$3* $B83+G$4*OFFSET($B83,-G$2,0)+ G$5*OFFSET($B83,-2* G$2,0), P82)</f>
        <v/>
      </c>
      <c r="Q83">
        <f>IF(MOD($A83,H$2)=0,OFFSET(Q83,-H$2,0)+ H$3* $B83+H$4*OFFSET($B83,-H$2,0)+ H$5*OFFSET($B83,-2* H$2,0), Q82)</f>
        <v/>
      </c>
      <c r="R83">
        <f>IF(MOD($A83,I$2)=0,OFFSET(R83,-I$2,0)+ I$3* $B83+I$4*OFFSET($B83,-I$2,0)+ I$5*OFFSET($B83,-2* I$2,0), R82)</f>
        <v/>
      </c>
    </row>
    <row r="84">
      <c r="A84" t="n">
        <v>75</v>
      </c>
      <c r="B84" t="n">
        <v>1</v>
      </c>
      <c r="C84">
        <f>C83+D$3*$B84+D$4*$B83+D$5*$B82</f>
        <v/>
      </c>
      <c r="D84">
        <f>D79+E$3*$B84+E$4*$B79+E$5*$B74</f>
        <v/>
      </c>
      <c r="E84">
        <f>E74+F$3*$B84+F$4*$B74+F$5*$B64</f>
        <v/>
      </c>
      <c r="F84">
        <f>F83+G$3*$B84+G$4*$B83+G$5*$B82</f>
        <v/>
      </c>
      <c r="G84">
        <f>G79+H$3*$B84+H$4*$B79+H$5*$B74</f>
        <v/>
      </c>
      <c r="H84">
        <f>H74+I$3*$B84+I$4*$B74+I$5*$B64</f>
        <v/>
      </c>
      <c r="L84" t="n">
        <v>1</v>
      </c>
      <c r="M84">
        <f>IF(MOD($A84,D$2)=0,OFFSET(M84,-D$2,0)+ D$3* $B84+D$4*OFFSET($B84,-D$2,0)+ D$5*OFFSET($B84,-2* D$2,0), M83)</f>
        <v/>
      </c>
      <c r="N84">
        <f>IF(MOD($A84,E$2)=0,OFFSET(N84,-E$2,0)+ E$3* $B84+E$4*OFFSET($B84,-E$2,0)+ E$5*OFFSET($B84,-2* E$2,0), N83)</f>
        <v/>
      </c>
      <c r="O84">
        <f>IF(MOD($A84,F$2)=0,OFFSET(O84,-F$2,0)+ F$3* $B84+F$4*OFFSET($B84,-F$2,0)+ F$5*OFFSET($B84,-2* F$2,0), O83)</f>
        <v/>
      </c>
      <c r="P84">
        <f>IF(MOD($A84,G$2)=0,OFFSET(P84,-G$2,0)+ G$3* $B84+G$4*OFFSET($B84,-G$2,0)+ G$5*OFFSET($B84,-2* G$2,0), P83)</f>
        <v/>
      </c>
      <c r="Q84">
        <f>IF(MOD($A84,H$2)=0,OFFSET(Q84,-H$2,0)+ H$3* $B84+H$4*OFFSET($B84,-H$2,0)+ H$5*OFFSET($B84,-2* H$2,0), Q83)</f>
        <v/>
      </c>
      <c r="R84">
        <f>IF(MOD($A84,I$2)=0,OFFSET(R84,-I$2,0)+ I$3* $B84+I$4*OFFSET($B84,-I$2,0)+ I$5*OFFSET($B84,-2* I$2,0), R83)</f>
        <v/>
      </c>
    </row>
    <row r="85">
      <c r="A85" t="n">
        <v>76</v>
      </c>
      <c r="B85" t="n">
        <v>1</v>
      </c>
      <c r="C85">
        <f>C84+D$3*$B85+D$4*$B84+D$5*$B83</f>
        <v/>
      </c>
      <c r="D85">
        <f>D80+E$3*$B85+E$4*$B80+E$5*$B75</f>
        <v/>
      </c>
      <c r="E85">
        <f>E75+F$3*$B85+F$4*$B75+F$5*$B65</f>
        <v/>
      </c>
      <c r="F85">
        <f>F84+G$3*$B85+G$4*$B84+G$5*$B83</f>
        <v/>
      </c>
      <c r="G85">
        <f>G80+H$3*$B85+H$4*$B80+H$5*$B75</f>
        <v/>
      </c>
      <c r="H85">
        <f>H75+I$3*$B85+I$4*$B75+I$5*$B65</f>
        <v/>
      </c>
      <c r="L85" t="n">
        <v>1</v>
      </c>
      <c r="M85">
        <f>IF(MOD($A85,D$2)=0,OFFSET(M85,-D$2,0)+ D$3* $B85+D$4*OFFSET($B85,-D$2,0)+ D$5*OFFSET($B85,-2* D$2,0), M84)</f>
        <v/>
      </c>
      <c r="N85">
        <f>IF(MOD($A85,E$2)=0,OFFSET(N85,-E$2,0)+ E$3* $B85+E$4*OFFSET($B85,-E$2,0)+ E$5*OFFSET($B85,-2* E$2,0), N84)</f>
        <v/>
      </c>
      <c r="O85">
        <f>IF(MOD($A85,F$2)=0,OFFSET(O85,-F$2,0)+ F$3* $B85+F$4*OFFSET($B85,-F$2,0)+ F$5*OFFSET($B85,-2* F$2,0), O84)</f>
        <v/>
      </c>
      <c r="P85">
        <f>IF(MOD($A85,G$2)=0,OFFSET(P85,-G$2,0)+ G$3* $B85+G$4*OFFSET($B85,-G$2,0)+ G$5*OFFSET($B85,-2* G$2,0), P84)</f>
        <v/>
      </c>
      <c r="Q85">
        <f>IF(MOD($A85,H$2)=0,OFFSET(Q85,-H$2,0)+ H$3* $B85+H$4*OFFSET($B85,-H$2,0)+ H$5*OFFSET($B85,-2* H$2,0), Q84)</f>
        <v/>
      </c>
      <c r="R85">
        <f>IF(MOD($A85,I$2)=0,OFFSET(R85,-I$2,0)+ I$3* $B85+I$4*OFFSET($B85,-I$2,0)+ I$5*OFFSET($B85,-2* I$2,0), R84)</f>
        <v/>
      </c>
    </row>
    <row r="86">
      <c r="A86" t="n">
        <v>77</v>
      </c>
      <c r="B86" t="n">
        <v>1</v>
      </c>
      <c r="C86">
        <f>C85+D$3*$B86+D$4*$B85+D$5*$B84</f>
        <v/>
      </c>
      <c r="D86">
        <f>D81+E$3*$B86+E$4*$B81+E$5*$B76</f>
        <v/>
      </c>
      <c r="E86">
        <f>E76+F$3*$B86+F$4*$B76+F$5*$B66</f>
        <v/>
      </c>
      <c r="F86">
        <f>F85+G$3*$B86+G$4*$B85+G$5*$B84</f>
        <v/>
      </c>
      <c r="G86">
        <f>G81+H$3*$B86+H$4*$B81+H$5*$B76</f>
        <v/>
      </c>
      <c r="H86">
        <f>H76+I$3*$B86+I$4*$B76+I$5*$B66</f>
        <v/>
      </c>
      <c r="L86" t="n">
        <v>1</v>
      </c>
      <c r="M86">
        <f>IF(MOD($A86,D$2)=0,OFFSET(M86,-D$2,0)+ D$3* $B86+D$4*OFFSET($B86,-D$2,0)+ D$5*OFFSET($B86,-2* D$2,0), M85)</f>
        <v/>
      </c>
      <c r="N86">
        <f>IF(MOD($A86,E$2)=0,OFFSET(N86,-E$2,0)+ E$3* $B86+E$4*OFFSET($B86,-E$2,0)+ E$5*OFFSET($B86,-2* E$2,0), N85)</f>
        <v/>
      </c>
      <c r="O86">
        <f>IF(MOD($A86,F$2)=0,OFFSET(O86,-F$2,0)+ F$3* $B86+F$4*OFFSET($B86,-F$2,0)+ F$5*OFFSET($B86,-2* F$2,0), O85)</f>
        <v/>
      </c>
      <c r="P86">
        <f>IF(MOD($A86,G$2)=0,OFFSET(P86,-G$2,0)+ G$3* $B86+G$4*OFFSET($B86,-G$2,0)+ G$5*OFFSET($B86,-2* G$2,0), P85)</f>
        <v/>
      </c>
      <c r="Q86">
        <f>IF(MOD($A86,H$2)=0,OFFSET(Q86,-H$2,0)+ H$3* $B86+H$4*OFFSET($B86,-H$2,0)+ H$5*OFFSET($B86,-2* H$2,0), Q85)</f>
        <v/>
      </c>
      <c r="R86">
        <f>IF(MOD($A86,I$2)=0,OFFSET(R86,-I$2,0)+ I$3* $B86+I$4*OFFSET($B86,-I$2,0)+ I$5*OFFSET($B86,-2* I$2,0), R85)</f>
        <v/>
      </c>
    </row>
    <row r="87">
      <c r="A87" t="n">
        <v>78</v>
      </c>
      <c r="B87" t="n">
        <v>1</v>
      </c>
      <c r="C87">
        <f>C86+D$3*$B87+D$4*$B86+D$5*$B85</f>
        <v/>
      </c>
      <c r="D87">
        <f>D82+E$3*$B87+E$4*$B82+E$5*$B77</f>
        <v/>
      </c>
      <c r="E87">
        <f>E77+F$3*$B87+F$4*$B77+F$5*$B67</f>
        <v/>
      </c>
      <c r="F87">
        <f>F86+G$3*$B87+G$4*$B86+G$5*$B85</f>
        <v/>
      </c>
      <c r="G87">
        <f>G82+H$3*$B87+H$4*$B82+H$5*$B77</f>
        <v/>
      </c>
      <c r="H87">
        <f>H77+I$3*$B87+I$4*$B77+I$5*$B67</f>
        <v/>
      </c>
      <c r="L87" t="n">
        <v>1</v>
      </c>
      <c r="M87">
        <f>IF(MOD($A87,D$2)=0,OFFSET(M87,-D$2,0)+ D$3* $B87+D$4*OFFSET($B87,-D$2,0)+ D$5*OFFSET($B87,-2* D$2,0), M86)</f>
        <v/>
      </c>
      <c r="N87">
        <f>IF(MOD($A87,E$2)=0,OFFSET(N87,-E$2,0)+ E$3* $B87+E$4*OFFSET($B87,-E$2,0)+ E$5*OFFSET($B87,-2* E$2,0), N86)</f>
        <v/>
      </c>
      <c r="O87">
        <f>IF(MOD($A87,F$2)=0,OFFSET(O87,-F$2,0)+ F$3* $B87+F$4*OFFSET($B87,-F$2,0)+ F$5*OFFSET($B87,-2* F$2,0), O86)</f>
        <v/>
      </c>
      <c r="P87">
        <f>IF(MOD($A87,G$2)=0,OFFSET(P87,-G$2,0)+ G$3* $B87+G$4*OFFSET($B87,-G$2,0)+ G$5*OFFSET($B87,-2* G$2,0), P86)</f>
        <v/>
      </c>
      <c r="Q87">
        <f>IF(MOD($A87,H$2)=0,OFFSET(Q87,-H$2,0)+ H$3* $B87+H$4*OFFSET($B87,-H$2,0)+ H$5*OFFSET($B87,-2* H$2,0), Q86)</f>
        <v/>
      </c>
      <c r="R87">
        <f>IF(MOD($A87,I$2)=0,OFFSET(R87,-I$2,0)+ I$3* $B87+I$4*OFFSET($B87,-I$2,0)+ I$5*OFFSET($B87,-2* I$2,0), R86)</f>
        <v/>
      </c>
    </row>
    <row r="88">
      <c r="A88" t="n">
        <v>79</v>
      </c>
      <c r="B88" t="n">
        <v>1</v>
      </c>
      <c r="C88">
        <f>C87+D$3*$B88+D$4*$B87+D$5*$B86</f>
        <v/>
      </c>
      <c r="D88">
        <f>D83+E$3*$B88+E$4*$B83+E$5*$B78</f>
        <v/>
      </c>
      <c r="E88">
        <f>E78+F$3*$B88+F$4*$B78+F$5*$B68</f>
        <v/>
      </c>
      <c r="F88">
        <f>F87+G$3*$B88+G$4*$B87+G$5*$B86</f>
        <v/>
      </c>
      <c r="G88">
        <f>G83+H$3*$B88+H$4*$B83+H$5*$B78</f>
        <v/>
      </c>
      <c r="H88">
        <f>H78+I$3*$B88+I$4*$B78+I$5*$B68</f>
        <v/>
      </c>
      <c r="L88" t="n">
        <v>1</v>
      </c>
      <c r="M88">
        <f>IF(MOD($A88,D$2)=0,OFFSET(M88,-D$2,0)+ D$3* $B88+D$4*OFFSET($B88,-D$2,0)+ D$5*OFFSET($B88,-2* D$2,0), M87)</f>
        <v/>
      </c>
      <c r="N88">
        <f>IF(MOD($A88,E$2)=0,OFFSET(N88,-E$2,0)+ E$3* $B88+E$4*OFFSET($B88,-E$2,0)+ E$5*OFFSET($B88,-2* E$2,0), N87)</f>
        <v/>
      </c>
      <c r="O88">
        <f>IF(MOD($A88,F$2)=0,OFFSET(O88,-F$2,0)+ F$3* $B88+F$4*OFFSET($B88,-F$2,0)+ F$5*OFFSET($B88,-2* F$2,0), O87)</f>
        <v/>
      </c>
      <c r="P88">
        <f>IF(MOD($A88,G$2)=0,OFFSET(P88,-G$2,0)+ G$3* $B88+G$4*OFFSET($B88,-G$2,0)+ G$5*OFFSET($B88,-2* G$2,0), P87)</f>
        <v/>
      </c>
      <c r="Q88">
        <f>IF(MOD($A88,H$2)=0,OFFSET(Q88,-H$2,0)+ H$3* $B88+H$4*OFFSET($B88,-H$2,0)+ H$5*OFFSET($B88,-2* H$2,0), Q87)</f>
        <v/>
      </c>
      <c r="R88">
        <f>IF(MOD($A88,I$2)=0,OFFSET(R88,-I$2,0)+ I$3* $B88+I$4*OFFSET($B88,-I$2,0)+ I$5*OFFSET($B88,-2* I$2,0), R87)</f>
        <v/>
      </c>
    </row>
    <row r="89">
      <c r="A89" t="n">
        <v>80</v>
      </c>
      <c r="B89" t="n">
        <v>1</v>
      </c>
      <c r="C89">
        <f>C88+D$3*$B89+D$4*$B88+D$5*$B87</f>
        <v/>
      </c>
      <c r="D89">
        <f>D84+E$3*$B89+E$4*$B84+E$5*$B79</f>
        <v/>
      </c>
      <c r="E89">
        <f>E79+F$3*$B89+F$4*$B79+F$5*$B69</f>
        <v/>
      </c>
      <c r="F89">
        <f>F88+G$3*$B89+G$4*$B88+G$5*$B87</f>
        <v/>
      </c>
      <c r="G89">
        <f>G84+H$3*$B89+H$4*$B84+H$5*$B79</f>
        <v/>
      </c>
      <c r="H89">
        <f>H79+I$3*$B89+I$4*$B79+I$5*$B69</f>
        <v/>
      </c>
      <c r="L89" t="n">
        <v>1</v>
      </c>
      <c r="M89">
        <f>IF(MOD($A89,D$2)=0,OFFSET(M89,-D$2,0)+ D$3* $B89+D$4*OFFSET($B89,-D$2,0)+ D$5*OFFSET($B89,-2* D$2,0), M88)</f>
        <v/>
      </c>
      <c r="N89">
        <f>IF(MOD($A89,E$2)=0,OFFSET(N89,-E$2,0)+ E$3* $B89+E$4*OFFSET($B89,-E$2,0)+ E$5*OFFSET($B89,-2* E$2,0), N88)</f>
        <v/>
      </c>
      <c r="O89">
        <f>IF(MOD($A89,F$2)=0,OFFSET(O89,-F$2,0)+ F$3* $B89+F$4*OFFSET($B89,-F$2,0)+ F$5*OFFSET($B89,-2* F$2,0), O88)</f>
        <v/>
      </c>
      <c r="P89">
        <f>IF(MOD($A89,G$2)=0,OFFSET(P89,-G$2,0)+ G$3* $B89+G$4*OFFSET($B89,-G$2,0)+ G$5*OFFSET($B89,-2* G$2,0), P88)</f>
        <v/>
      </c>
      <c r="Q89">
        <f>IF(MOD($A89,H$2)=0,OFFSET(Q89,-H$2,0)+ H$3* $B89+H$4*OFFSET($B89,-H$2,0)+ H$5*OFFSET($B89,-2* H$2,0), Q88)</f>
        <v/>
      </c>
      <c r="R89">
        <f>IF(MOD($A89,I$2)=0,OFFSET(R89,-I$2,0)+ I$3* $B89+I$4*OFFSET($B89,-I$2,0)+ I$5*OFFSET($B89,-2* I$2,0), R88)</f>
        <v/>
      </c>
    </row>
    <row r="90">
      <c r="A90" t="n">
        <v>81</v>
      </c>
      <c r="B90" t="n">
        <v>1</v>
      </c>
      <c r="C90">
        <f>C89+D$3*$B90+D$4*$B89+D$5*$B88</f>
        <v/>
      </c>
      <c r="D90">
        <f>D85+E$3*$B90+E$4*$B85+E$5*$B80</f>
        <v/>
      </c>
      <c r="E90">
        <f>E80+F$3*$B90+F$4*$B80+F$5*$B70</f>
        <v/>
      </c>
      <c r="F90">
        <f>F89+G$3*$B90+G$4*$B89+G$5*$B88</f>
        <v/>
      </c>
      <c r="G90">
        <f>G85+H$3*$B90+H$4*$B85+H$5*$B80</f>
        <v/>
      </c>
      <c r="H90">
        <f>H80+I$3*$B90+I$4*$B80+I$5*$B70</f>
        <v/>
      </c>
      <c r="L90" t="n">
        <v>1</v>
      </c>
      <c r="M90">
        <f>IF(MOD($A90,D$2)=0,OFFSET(M90,-D$2,0)+ D$3* $B90+D$4*OFFSET($B90,-D$2,0)+ D$5*OFFSET($B90,-2* D$2,0), M89)</f>
        <v/>
      </c>
      <c r="N90">
        <f>IF(MOD($A90,E$2)=0,OFFSET(N90,-E$2,0)+ E$3* $B90+E$4*OFFSET($B90,-E$2,0)+ E$5*OFFSET($B90,-2* E$2,0), N89)</f>
        <v/>
      </c>
      <c r="O90">
        <f>IF(MOD($A90,F$2)=0,OFFSET(O90,-F$2,0)+ F$3* $B90+F$4*OFFSET($B90,-F$2,0)+ F$5*OFFSET($B90,-2* F$2,0), O89)</f>
        <v/>
      </c>
      <c r="P90">
        <f>IF(MOD($A90,G$2)=0,OFFSET(P90,-G$2,0)+ G$3* $B90+G$4*OFFSET($B90,-G$2,0)+ G$5*OFFSET($B90,-2* G$2,0), P89)</f>
        <v/>
      </c>
      <c r="Q90">
        <f>IF(MOD($A90,H$2)=0,OFFSET(Q90,-H$2,0)+ H$3* $B90+H$4*OFFSET($B90,-H$2,0)+ H$5*OFFSET($B90,-2* H$2,0), Q89)</f>
        <v/>
      </c>
      <c r="R90">
        <f>IF(MOD($A90,I$2)=0,OFFSET(R90,-I$2,0)+ I$3* $B90+I$4*OFFSET($B90,-I$2,0)+ I$5*OFFSET($B90,-2* I$2,0), R89)</f>
        <v/>
      </c>
    </row>
    <row r="91">
      <c r="A91" t="n">
        <v>82</v>
      </c>
      <c r="B91" t="n">
        <v>1</v>
      </c>
      <c r="C91">
        <f>C90+D$3*$B91+D$4*$B90+D$5*$B89</f>
        <v/>
      </c>
      <c r="D91">
        <f>D86+E$3*$B91+E$4*$B86+E$5*$B81</f>
        <v/>
      </c>
      <c r="E91">
        <f>E81+F$3*$B91+F$4*$B81+F$5*$B71</f>
        <v/>
      </c>
      <c r="F91">
        <f>F90+G$3*$B91+G$4*$B90+G$5*$B89</f>
        <v/>
      </c>
      <c r="G91">
        <f>G86+H$3*$B91+H$4*$B86+H$5*$B81</f>
        <v/>
      </c>
      <c r="H91">
        <f>H81+I$3*$B91+I$4*$B81+I$5*$B71</f>
        <v/>
      </c>
      <c r="L91" t="n">
        <v>1</v>
      </c>
      <c r="M91">
        <f>IF(MOD($A91,D$2)=0,OFFSET(M91,-D$2,0)+ D$3* $B91+D$4*OFFSET($B91,-D$2,0)+ D$5*OFFSET($B91,-2* D$2,0), M90)</f>
        <v/>
      </c>
      <c r="N91">
        <f>IF(MOD($A91,E$2)=0,OFFSET(N91,-E$2,0)+ E$3* $B91+E$4*OFFSET($B91,-E$2,0)+ E$5*OFFSET($B91,-2* E$2,0), N90)</f>
        <v/>
      </c>
      <c r="O91">
        <f>IF(MOD($A91,F$2)=0,OFFSET(O91,-F$2,0)+ F$3* $B91+F$4*OFFSET($B91,-F$2,0)+ F$5*OFFSET($B91,-2* F$2,0), O90)</f>
        <v/>
      </c>
      <c r="P91">
        <f>IF(MOD($A91,G$2)=0,OFFSET(P91,-G$2,0)+ G$3* $B91+G$4*OFFSET($B91,-G$2,0)+ G$5*OFFSET($B91,-2* G$2,0), P90)</f>
        <v/>
      </c>
      <c r="Q91">
        <f>IF(MOD($A91,H$2)=0,OFFSET(Q91,-H$2,0)+ H$3* $B91+H$4*OFFSET($B91,-H$2,0)+ H$5*OFFSET($B91,-2* H$2,0), Q90)</f>
        <v/>
      </c>
      <c r="R91">
        <f>IF(MOD($A91,I$2)=0,OFFSET(R91,-I$2,0)+ I$3* $B91+I$4*OFFSET($B91,-I$2,0)+ I$5*OFFSET($B91,-2* I$2,0), R90)</f>
        <v/>
      </c>
    </row>
    <row r="92">
      <c r="A92" t="n">
        <v>83</v>
      </c>
      <c r="B92" t="n">
        <v>1</v>
      </c>
      <c r="C92">
        <f>C91+D$3*$B92+D$4*$B91+D$5*$B90</f>
        <v/>
      </c>
      <c r="D92">
        <f>D87+E$3*$B92+E$4*$B87+E$5*$B82</f>
        <v/>
      </c>
      <c r="E92">
        <f>E82+F$3*$B92+F$4*$B82+F$5*$B72</f>
        <v/>
      </c>
      <c r="F92">
        <f>F91+G$3*$B92+G$4*$B91+G$5*$B90</f>
        <v/>
      </c>
      <c r="G92">
        <f>G87+H$3*$B92+H$4*$B87+H$5*$B82</f>
        <v/>
      </c>
      <c r="H92">
        <f>H82+I$3*$B92+I$4*$B82+I$5*$B72</f>
        <v/>
      </c>
      <c r="L92" t="n">
        <v>1</v>
      </c>
      <c r="M92">
        <f>IF(MOD($A92,D$2)=0,OFFSET(M92,-D$2,0)+ D$3* $B92+D$4*OFFSET($B92,-D$2,0)+ D$5*OFFSET($B92,-2* D$2,0), M91)</f>
        <v/>
      </c>
      <c r="N92">
        <f>IF(MOD($A92,E$2)=0,OFFSET(N92,-E$2,0)+ E$3* $B92+E$4*OFFSET($B92,-E$2,0)+ E$5*OFFSET($B92,-2* E$2,0), N91)</f>
        <v/>
      </c>
      <c r="O92">
        <f>IF(MOD($A92,F$2)=0,OFFSET(O92,-F$2,0)+ F$3* $B92+F$4*OFFSET($B92,-F$2,0)+ F$5*OFFSET($B92,-2* F$2,0), O91)</f>
        <v/>
      </c>
      <c r="P92">
        <f>IF(MOD($A92,G$2)=0,OFFSET(P92,-G$2,0)+ G$3* $B92+G$4*OFFSET($B92,-G$2,0)+ G$5*OFFSET($B92,-2* G$2,0), P91)</f>
        <v/>
      </c>
      <c r="Q92">
        <f>IF(MOD($A92,H$2)=0,OFFSET(Q92,-H$2,0)+ H$3* $B92+H$4*OFFSET($B92,-H$2,0)+ H$5*OFFSET($B92,-2* H$2,0), Q91)</f>
        <v/>
      </c>
      <c r="R92">
        <f>IF(MOD($A92,I$2)=0,OFFSET(R92,-I$2,0)+ I$3* $B92+I$4*OFFSET($B92,-I$2,0)+ I$5*OFFSET($B92,-2* I$2,0), R91)</f>
        <v/>
      </c>
    </row>
    <row r="93">
      <c r="A93" t="n">
        <v>84</v>
      </c>
      <c r="B93" t="n">
        <v>1</v>
      </c>
      <c r="C93">
        <f>C92+D$3*$B93+D$4*$B92+D$5*$B91</f>
        <v/>
      </c>
      <c r="D93">
        <f>D88+E$3*$B93+E$4*$B88+E$5*$B83</f>
        <v/>
      </c>
      <c r="E93">
        <f>E83+F$3*$B93+F$4*$B83+F$5*$B73</f>
        <v/>
      </c>
      <c r="F93">
        <f>F92+G$3*$B93+G$4*$B92+G$5*$B91</f>
        <v/>
      </c>
      <c r="G93">
        <f>G88+H$3*$B93+H$4*$B88+H$5*$B83</f>
        <v/>
      </c>
      <c r="H93">
        <f>H83+I$3*$B93+I$4*$B83+I$5*$B73</f>
        <v/>
      </c>
      <c r="L93" t="n">
        <v>1</v>
      </c>
      <c r="M93">
        <f>IF(MOD($A93,D$2)=0,OFFSET(M93,-D$2,0)+ D$3* $B93+D$4*OFFSET($B93,-D$2,0)+ D$5*OFFSET($B93,-2* D$2,0), M92)</f>
        <v/>
      </c>
      <c r="N93">
        <f>IF(MOD($A93,E$2)=0,OFFSET(N93,-E$2,0)+ E$3* $B93+E$4*OFFSET($B93,-E$2,0)+ E$5*OFFSET($B93,-2* E$2,0), N92)</f>
        <v/>
      </c>
      <c r="O93">
        <f>IF(MOD($A93,F$2)=0,OFFSET(O93,-F$2,0)+ F$3* $B93+F$4*OFFSET($B93,-F$2,0)+ F$5*OFFSET($B93,-2* F$2,0), O92)</f>
        <v/>
      </c>
      <c r="P93">
        <f>IF(MOD($A93,G$2)=0,OFFSET(P93,-G$2,0)+ G$3* $B93+G$4*OFFSET($B93,-G$2,0)+ G$5*OFFSET($B93,-2* G$2,0), P92)</f>
        <v/>
      </c>
      <c r="Q93">
        <f>IF(MOD($A93,H$2)=0,OFFSET(Q93,-H$2,0)+ H$3* $B93+H$4*OFFSET($B93,-H$2,0)+ H$5*OFFSET($B93,-2* H$2,0), Q92)</f>
        <v/>
      </c>
      <c r="R93">
        <f>IF(MOD($A93,I$2)=0,OFFSET(R93,-I$2,0)+ I$3* $B93+I$4*OFFSET($B93,-I$2,0)+ I$5*OFFSET($B93,-2* I$2,0), R92)</f>
        <v/>
      </c>
    </row>
    <row r="94">
      <c r="A94" t="n">
        <v>85</v>
      </c>
      <c r="B94" t="n">
        <v>1</v>
      </c>
      <c r="C94">
        <f>C93+D$3*$B94+D$4*$B93+D$5*$B92</f>
        <v/>
      </c>
      <c r="D94">
        <f>D89+E$3*$B94+E$4*$B89+E$5*$B84</f>
        <v/>
      </c>
      <c r="E94">
        <f>E84+F$3*$B94+F$4*$B84+F$5*$B74</f>
        <v/>
      </c>
      <c r="F94">
        <f>F93+G$3*$B94+G$4*$B93+G$5*$B92</f>
        <v/>
      </c>
      <c r="G94">
        <f>G89+H$3*$B94+H$4*$B89+H$5*$B84</f>
        <v/>
      </c>
      <c r="H94">
        <f>H84+I$3*$B94+I$4*$B84+I$5*$B74</f>
        <v/>
      </c>
      <c r="L94" t="n">
        <v>1</v>
      </c>
      <c r="M94">
        <f>IF(MOD($A94,D$2)=0,OFFSET(M94,-D$2,0)+ D$3* $B94+D$4*OFFSET($B94,-D$2,0)+ D$5*OFFSET($B94,-2* D$2,0), M93)</f>
        <v/>
      </c>
      <c r="N94">
        <f>IF(MOD($A94,E$2)=0,OFFSET(N94,-E$2,0)+ E$3* $B94+E$4*OFFSET($B94,-E$2,0)+ E$5*OFFSET($B94,-2* E$2,0), N93)</f>
        <v/>
      </c>
      <c r="O94">
        <f>IF(MOD($A94,F$2)=0,OFFSET(O94,-F$2,0)+ F$3* $B94+F$4*OFFSET($B94,-F$2,0)+ F$5*OFFSET($B94,-2* F$2,0), O93)</f>
        <v/>
      </c>
      <c r="P94">
        <f>IF(MOD($A94,G$2)=0,OFFSET(P94,-G$2,0)+ G$3* $B94+G$4*OFFSET($B94,-G$2,0)+ G$5*OFFSET($B94,-2* G$2,0), P93)</f>
        <v/>
      </c>
      <c r="Q94">
        <f>IF(MOD($A94,H$2)=0,OFFSET(Q94,-H$2,0)+ H$3* $B94+H$4*OFFSET($B94,-H$2,0)+ H$5*OFFSET($B94,-2* H$2,0), Q93)</f>
        <v/>
      </c>
      <c r="R94">
        <f>IF(MOD($A94,I$2)=0,OFFSET(R94,-I$2,0)+ I$3* $B94+I$4*OFFSET($B94,-I$2,0)+ I$5*OFFSET($B94,-2* I$2,0), R93)</f>
        <v/>
      </c>
    </row>
    <row r="95">
      <c r="A95" t="n">
        <v>86</v>
      </c>
      <c r="B95" t="n">
        <v>1</v>
      </c>
      <c r="C95">
        <f>C94+D$3*$B95+D$4*$B94+D$5*$B93</f>
        <v/>
      </c>
      <c r="D95">
        <f>D90+E$3*$B95+E$4*$B90+E$5*$B85</f>
        <v/>
      </c>
      <c r="E95">
        <f>E85+F$3*$B95+F$4*$B85+F$5*$B75</f>
        <v/>
      </c>
      <c r="F95">
        <f>F94+G$3*$B95+G$4*$B94+G$5*$B93</f>
        <v/>
      </c>
      <c r="G95">
        <f>G90+H$3*$B95+H$4*$B90+H$5*$B85</f>
        <v/>
      </c>
      <c r="H95">
        <f>H85+I$3*$B95+I$4*$B85+I$5*$B75</f>
        <v/>
      </c>
      <c r="L95" t="n">
        <v>1</v>
      </c>
      <c r="M95">
        <f>IF(MOD($A95,D$2)=0,OFFSET(M95,-D$2,0)+ D$3* $B95+D$4*OFFSET($B95,-D$2,0)+ D$5*OFFSET($B95,-2* D$2,0), M94)</f>
        <v/>
      </c>
      <c r="N95">
        <f>IF(MOD($A95,E$2)=0,OFFSET(N95,-E$2,0)+ E$3* $B95+E$4*OFFSET($B95,-E$2,0)+ E$5*OFFSET($B95,-2* E$2,0), N94)</f>
        <v/>
      </c>
      <c r="O95">
        <f>IF(MOD($A95,F$2)=0,OFFSET(O95,-F$2,0)+ F$3* $B95+F$4*OFFSET($B95,-F$2,0)+ F$5*OFFSET($B95,-2* F$2,0), O94)</f>
        <v/>
      </c>
      <c r="P95">
        <f>IF(MOD($A95,G$2)=0,OFFSET(P95,-G$2,0)+ G$3* $B95+G$4*OFFSET($B95,-G$2,0)+ G$5*OFFSET($B95,-2* G$2,0), P94)</f>
        <v/>
      </c>
      <c r="Q95">
        <f>IF(MOD($A95,H$2)=0,OFFSET(Q95,-H$2,0)+ H$3* $B95+H$4*OFFSET($B95,-H$2,0)+ H$5*OFFSET($B95,-2* H$2,0), Q94)</f>
        <v/>
      </c>
      <c r="R95">
        <f>IF(MOD($A95,I$2)=0,OFFSET(R95,-I$2,0)+ I$3* $B95+I$4*OFFSET($B95,-I$2,0)+ I$5*OFFSET($B95,-2* I$2,0), R94)</f>
        <v/>
      </c>
    </row>
    <row r="96">
      <c r="A96" t="n">
        <v>87</v>
      </c>
      <c r="B96" t="n">
        <v>1</v>
      </c>
      <c r="C96">
        <f>C95+D$3*$B96+D$4*$B95+D$5*$B94</f>
        <v/>
      </c>
      <c r="D96">
        <f>D91+E$3*$B96+E$4*$B91+E$5*$B86</f>
        <v/>
      </c>
      <c r="E96">
        <f>E86+F$3*$B96+F$4*$B86+F$5*$B76</f>
        <v/>
      </c>
      <c r="F96">
        <f>F95+G$3*$B96+G$4*$B95+G$5*$B94</f>
        <v/>
      </c>
      <c r="G96">
        <f>G91+H$3*$B96+H$4*$B91+H$5*$B86</f>
        <v/>
      </c>
      <c r="H96">
        <f>H86+I$3*$B96+I$4*$B86+I$5*$B76</f>
        <v/>
      </c>
      <c r="L96" t="n">
        <v>1</v>
      </c>
      <c r="M96">
        <f>IF(MOD($A96,D$2)=0,OFFSET(M96,-D$2,0)+ D$3* $B96+D$4*OFFSET($B96,-D$2,0)+ D$5*OFFSET($B96,-2* D$2,0), M95)</f>
        <v/>
      </c>
      <c r="N96">
        <f>IF(MOD($A96,E$2)=0,OFFSET(N96,-E$2,0)+ E$3* $B96+E$4*OFFSET($B96,-E$2,0)+ E$5*OFFSET($B96,-2* E$2,0), N95)</f>
        <v/>
      </c>
      <c r="O96">
        <f>IF(MOD($A96,F$2)=0,OFFSET(O96,-F$2,0)+ F$3* $B96+F$4*OFFSET($B96,-F$2,0)+ F$5*OFFSET($B96,-2* F$2,0), O95)</f>
        <v/>
      </c>
      <c r="P96">
        <f>IF(MOD($A96,G$2)=0,OFFSET(P96,-G$2,0)+ G$3* $B96+G$4*OFFSET($B96,-G$2,0)+ G$5*OFFSET($B96,-2* G$2,0), P95)</f>
        <v/>
      </c>
      <c r="Q96">
        <f>IF(MOD($A96,H$2)=0,OFFSET(Q96,-H$2,0)+ H$3* $B96+H$4*OFFSET($B96,-H$2,0)+ H$5*OFFSET($B96,-2* H$2,0), Q95)</f>
        <v/>
      </c>
      <c r="R96">
        <f>IF(MOD($A96,I$2)=0,OFFSET(R96,-I$2,0)+ I$3* $B96+I$4*OFFSET($B96,-I$2,0)+ I$5*OFFSET($B96,-2* I$2,0), R95)</f>
        <v/>
      </c>
    </row>
    <row r="97">
      <c r="A97" t="n">
        <v>88</v>
      </c>
      <c r="B97" t="n">
        <v>1</v>
      </c>
      <c r="C97">
        <f>C96+D$3*$B97+D$4*$B96+D$5*$B95</f>
        <v/>
      </c>
      <c r="D97">
        <f>D92+E$3*$B97+E$4*$B92+E$5*$B87</f>
        <v/>
      </c>
      <c r="E97">
        <f>E87+F$3*$B97+F$4*$B87+F$5*$B77</f>
        <v/>
      </c>
      <c r="F97">
        <f>F96+G$3*$B97+G$4*$B96+G$5*$B95</f>
        <v/>
      </c>
      <c r="G97">
        <f>G92+H$3*$B97+H$4*$B92+H$5*$B87</f>
        <v/>
      </c>
      <c r="H97">
        <f>H87+I$3*$B97+I$4*$B87+I$5*$B77</f>
        <v/>
      </c>
      <c r="L97" t="n">
        <v>1</v>
      </c>
      <c r="M97">
        <f>IF(MOD($A97,D$2)=0,OFFSET(M97,-D$2,0)+ D$3* $B97+D$4*OFFSET($B97,-D$2,0)+ D$5*OFFSET($B97,-2* D$2,0), M96)</f>
        <v/>
      </c>
      <c r="N97">
        <f>IF(MOD($A97,E$2)=0,OFFSET(N97,-E$2,0)+ E$3* $B97+E$4*OFFSET($B97,-E$2,0)+ E$5*OFFSET($B97,-2* E$2,0), N96)</f>
        <v/>
      </c>
      <c r="O97">
        <f>IF(MOD($A97,F$2)=0,OFFSET(O97,-F$2,0)+ F$3* $B97+F$4*OFFSET($B97,-F$2,0)+ F$5*OFFSET($B97,-2* F$2,0), O96)</f>
        <v/>
      </c>
      <c r="P97">
        <f>IF(MOD($A97,G$2)=0,OFFSET(P97,-G$2,0)+ G$3* $B97+G$4*OFFSET($B97,-G$2,0)+ G$5*OFFSET($B97,-2* G$2,0), P96)</f>
        <v/>
      </c>
      <c r="Q97">
        <f>IF(MOD($A97,H$2)=0,OFFSET(Q97,-H$2,0)+ H$3* $B97+H$4*OFFSET($B97,-H$2,0)+ H$5*OFFSET($B97,-2* H$2,0), Q96)</f>
        <v/>
      </c>
      <c r="R97">
        <f>IF(MOD($A97,I$2)=0,OFFSET(R97,-I$2,0)+ I$3* $B97+I$4*OFFSET($B97,-I$2,0)+ I$5*OFFSET($B97,-2* I$2,0), R96)</f>
        <v/>
      </c>
    </row>
    <row r="98">
      <c r="A98" t="n">
        <v>89</v>
      </c>
      <c r="B98" t="n">
        <v>1</v>
      </c>
      <c r="C98">
        <f>C97+D$3*$B98+D$4*$B97+D$5*$B96</f>
        <v/>
      </c>
      <c r="D98">
        <f>D93+E$3*$B98+E$4*$B93+E$5*$B88</f>
        <v/>
      </c>
      <c r="E98">
        <f>E88+F$3*$B98+F$4*$B88+F$5*$B78</f>
        <v/>
      </c>
      <c r="F98">
        <f>F97+G$3*$B98+G$4*$B97+G$5*$B96</f>
        <v/>
      </c>
      <c r="G98">
        <f>G93+H$3*$B98+H$4*$B93+H$5*$B88</f>
        <v/>
      </c>
      <c r="H98">
        <f>H88+I$3*$B98+I$4*$B88+I$5*$B78</f>
        <v/>
      </c>
      <c r="L98" t="n">
        <v>1</v>
      </c>
      <c r="M98">
        <f>IF(MOD($A98,D$2)=0,OFFSET(M98,-D$2,0)+ D$3* $B98+D$4*OFFSET($B98,-D$2,0)+ D$5*OFFSET($B98,-2* D$2,0), M97)</f>
        <v/>
      </c>
      <c r="N98">
        <f>IF(MOD($A98,E$2)=0,OFFSET(N98,-E$2,0)+ E$3* $B98+E$4*OFFSET($B98,-E$2,0)+ E$5*OFFSET($B98,-2* E$2,0), N97)</f>
        <v/>
      </c>
      <c r="O98">
        <f>IF(MOD($A98,F$2)=0,OFFSET(O98,-F$2,0)+ F$3* $B98+F$4*OFFSET($B98,-F$2,0)+ F$5*OFFSET($B98,-2* F$2,0), O97)</f>
        <v/>
      </c>
      <c r="P98">
        <f>IF(MOD($A98,G$2)=0,OFFSET(P98,-G$2,0)+ G$3* $B98+G$4*OFFSET($B98,-G$2,0)+ G$5*OFFSET($B98,-2* G$2,0), P97)</f>
        <v/>
      </c>
      <c r="Q98">
        <f>IF(MOD($A98,H$2)=0,OFFSET(Q98,-H$2,0)+ H$3* $B98+H$4*OFFSET($B98,-H$2,0)+ H$5*OFFSET($B98,-2* H$2,0), Q97)</f>
        <v/>
      </c>
      <c r="R98">
        <f>IF(MOD($A98,I$2)=0,OFFSET(R98,-I$2,0)+ I$3* $B98+I$4*OFFSET($B98,-I$2,0)+ I$5*OFFSET($B98,-2* I$2,0), R97)</f>
        <v/>
      </c>
    </row>
    <row r="99">
      <c r="A99" t="n">
        <v>90</v>
      </c>
      <c r="B99" t="n">
        <v>1</v>
      </c>
      <c r="C99">
        <f>C98+D$3*$B99+D$4*$B98+D$5*$B97</f>
        <v/>
      </c>
      <c r="D99">
        <f>D94+E$3*$B99+E$4*$B94+E$5*$B89</f>
        <v/>
      </c>
      <c r="E99">
        <f>E89+F$3*$B99+F$4*$B89+F$5*$B79</f>
        <v/>
      </c>
      <c r="F99">
        <f>F98+G$3*$B99+G$4*$B98+G$5*$B97</f>
        <v/>
      </c>
      <c r="G99">
        <f>G94+H$3*$B99+H$4*$B94+H$5*$B89</f>
        <v/>
      </c>
      <c r="H99">
        <f>H89+I$3*$B99+I$4*$B89+I$5*$B79</f>
        <v/>
      </c>
      <c r="L99" t="n">
        <v>1</v>
      </c>
      <c r="M99">
        <f>IF(MOD($A99,D$2)=0,OFFSET(M99,-D$2,0)+ D$3* $B99+D$4*OFFSET($B99,-D$2,0)+ D$5*OFFSET($B99,-2* D$2,0), M98)</f>
        <v/>
      </c>
      <c r="N99">
        <f>IF(MOD($A99,E$2)=0,OFFSET(N99,-E$2,0)+ E$3* $B99+E$4*OFFSET($B99,-E$2,0)+ E$5*OFFSET($B99,-2* E$2,0), N98)</f>
        <v/>
      </c>
      <c r="O99">
        <f>IF(MOD($A99,F$2)=0,OFFSET(O99,-F$2,0)+ F$3* $B99+F$4*OFFSET($B99,-F$2,0)+ F$5*OFFSET($B99,-2* F$2,0), O98)</f>
        <v/>
      </c>
      <c r="P99">
        <f>IF(MOD($A99,G$2)=0,OFFSET(P99,-G$2,0)+ G$3* $B99+G$4*OFFSET($B99,-G$2,0)+ G$5*OFFSET($B99,-2* G$2,0), P98)</f>
        <v/>
      </c>
      <c r="Q99">
        <f>IF(MOD($A99,H$2)=0,OFFSET(Q99,-H$2,0)+ H$3* $B99+H$4*OFFSET($B99,-H$2,0)+ H$5*OFFSET($B99,-2* H$2,0), Q98)</f>
        <v/>
      </c>
      <c r="R99">
        <f>IF(MOD($A99,I$2)=0,OFFSET(R99,-I$2,0)+ I$3* $B99+I$4*OFFSET($B99,-I$2,0)+ I$5*OFFSET($B99,-2* I$2,0), R98)</f>
        <v/>
      </c>
    </row>
    <row r="100">
      <c r="A100" t="n">
        <v>91</v>
      </c>
      <c r="B100" t="n">
        <v>1</v>
      </c>
      <c r="C100">
        <f>C99+D$3*$B100+D$4*$B99+D$5*$B98</f>
        <v/>
      </c>
      <c r="D100">
        <f>D95+E$3*$B100+E$4*$B95+E$5*$B90</f>
        <v/>
      </c>
      <c r="E100">
        <f>E90+F$3*$B100+F$4*$B90+F$5*$B80</f>
        <v/>
      </c>
      <c r="F100">
        <f>F99+G$3*$B100+G$4*$B99+G$5*$B98</f>
        <v/>
      </c>
      <c r="G100">
        <f>G95+H$3*$B100+H$4*$B95+H$5*$B90</f>
        <v/>
      </c>
      <c r="H100">
        <f>H90+I$3*$B100+I$4*$B90+I$5*$B80</f>
        <v/>
      </c>
      <c r="L100" t="n">
        <v>1</v>
      </c>
      <c r="M100">
        <f>IF(MOD($A100,D$2)=0,OFFSET(M100,-D$2,0)+ D$3* $B100+D$4*OFFSET($B100,-D$2,0)+ D$5*OFFSET($B100,-2* D$2,0), M99)</f>
        <v/>
      </c>
      <c r="N100">
        <f>IF(MOD($A100,E$2)=0,OFFSET(N100,-E$2,0)+ E$3* $B100+E$4*OFFSET($B100,-E$2,0)+ E$5*OFFSET($B100,-2* E$2,0), N99)</f>
        <v/>
      </c>
      <c r="O100">
        <f>IF(MOD($A100,F$2)=0,OFFSET(O100,-F$2,0)+ F$3* $B100+F$4*OFFSET($B100,-F$2,0)+ F$5*OFFSET($B100,-2* F$2,0), O99)</f>
        <v/>
      </c>
      <c r="P100">
        <f>IF(MOD($A100,G$2)=0,OFFSET(P100,-G$2,0)+ G$3* $B100+G$4*OFFSET($B100,-G$2,0)+ G$5*OFFSET($B100,-2* G$2,0), P99)</f>
        <v/>
      </c>
      <c r="Q100">
        <f>IF(MOD($A100,H$2)=0,OFFSET(Q100,-H$2,0)+ H$3* $B100+H$4*OFFSET($B100,-H$2,0)+ H$5*OFFSET($B100,-2* H$2,0), Q99)</f>
        <v/>
      </c>
      <c r="R100">
        <f>IF(MOD($A100,I$2)=0,OFFSET(R100,-I$2,0)+ I$3* $B100+I$4*OFFSET($B100,-I$2,0)+ I$5*OFFSET($B100,-2* I$2,0), R99)</f>
        <v/>
      </c>
    </row>
    <row r="101">
      <c r="A101" t="n">
        <v>92</v>
      </c>
      <c r="B101" t="n">
        <v>1</v>
      </c>
      <c r="C101">
        <f>C100+D$3*$B101+D$4*$B100+D$5*$B99</f>
        <v/>
      </c>
      <c r="D101">
        <f>D96+E$3*$B101+E$4*$B96+E$5*$B91</f>
        <v/>
      </c>
      <c r="E101">
        <f>E91+F$3*$B101+F$4*$B91+F$5*$B81</f>
        <v/>
      </c>
      <c r="F101">
        <f>F100+G$3*$B101+G$4*$B100+G$5*$B99</f>
        <v/>
      </c>
      <c r="G101">
        <f>G96+H$3*$B101+H$4*$B96+H$5*$B91</f>
        <v/>
      </c>
      <c r="H101">
        <f>H91+I$3*$B101+I$4*$B91+I$5*$B81</f>
        <v/>
      </c>
      <c r="L101" t="n">
        <v>1</v>
      </c>
      <c r="M101">
        <f>IF(MOD($A101,D$2)=0,OFFSET(M101,-D$2,0)+ D$3* $B101+D$4*OFFSET($B101,-D$2,0)+ D$5*OFFSET($B101,-2* D$2,0), M100)</f>
        <v/>
      </c>
      <c r="N101">
        <f>IF(MOD($A101,E$2)=0,OFFSET(N101,-E$2,0)+ E$3* $B101+E$4*OFFSET($B101,-E$2,0)+ E$5*OFFSET($B101,-2* E$2,0), N100)</f>
        <v/>
      </c>
      <c r="O101">
        <f>IF(MOD($A101,F$2)=0,OFFSET(O101,-F$2,0)+ F$3* $B101+F$4*OFFSET($B101,-F$2,0)+ F$5*OFFSET($B101,-2* F$2,0), O100)</f>
        <v/>
      </c>
      <c r="P101">
        <f>IF(MOD($A101,G$2)=0,OFFSET(P101,-G$2,0)+ G$3* $B101+G$4*OFFSET($B101,-G$2,0)+ G$5*OFFSET($B101,-2* G$2,0), P100)</f>
        <v/>
      </c>
      <c r="Q101">
        <f>IF(MOD($A101,H$2)=0,OFFSET(Q101,-H$2,0)+ H$3* $B101+H$4*OFFSET($B101,-H$2,0)+ H$5*OFFSET($B101,-2* H$2,0), Q100)</f>
        <v/>
      </c>
      <c r="R101">
        <f>IF(MOD($A101,I$2)=0,OFFSET(R101,-I$2,0)+ I$3* $B101+I$4*OFFSET($B101,-I$2,0)+ I$5*OFFSET($B101,-2* I$2,0), R100)</f>
        <v/>
      </c>
    </row>
    <row r="102">
      <c r="A102" t="n">
        <v>93</v>
      </c>
      <c r="B102" t="n">
        <v>1</v>
      </c>
      <c r="C102">
        <f>C101+D$3*$B102+D$4*$B101+D$5*$B100</f>
        <v/>
      </c>
      <c r="D102">
        <f>D97+E$3*$B102+E$4*$B97+E$5*$B92</f>
        <v/>
      </c>
      <c r="E102">
        <f>E92+F$3*$B102+F$4*$B92+F$5*$B82</f>
        <v/>
      </c>
      <c r="F102">
        <f>F101+G$3*$B102+G$4*$B101+G$5*$B100</f>
        <v/>
      </c>
      <c r="G102">
        <f>G97+H$3*$B102+H$4*$B97+H$5*$B92</f>
        <v/>
      </c>
      <c r="H102">
        <f>H92+I$3*$B102+I$4*$B92+I$5*$B82</f>
        <v/>
      </c>
      <c r="L102" t="n">
        <v>1</v>
      </c>
      <c r="M102">
        <f>IF(MOD($A102,D$2)=0,OFFSET(M102,-D$2,0)+ D$3* $B102+D$4*OFFSET($B102,-D$2,0)+ D$5*OFFSET($B102,-2* D$2,0), M101)</f>
        <v/>
      </c>
      <c r="N102">
        <f>IF(MOD($A102,E$2)=0,OFFSET(N102,-E$2,0)+ E$3* $B102+E$4*OFFSET($B102,-E$2,0)+ E$5*OFFSET($B102,-2* E$2,0), N101)</f>
        <v/>
      </c>
      <c r="O102">
        <f>IF(MOD($A102,F$2)=0,OFFSET(O102,-F$2,0)+ F$3* $B102+F$4*OFFSET($B102,-F$2,0)+ F$5*OFFSET($B102,-2* F$2,0), O101)</f>
        <v/>
      </c>
      <c r="P102">
        <f>IF(MOD($A102,G$2)=0,OFFSET(P102,-G$2,0)+ G$3* $B102+G$4*OFFSET($B102,-G$2,0)+ G$5*OFFSET($B102,-2* G$2,0), P101)</f>
        <v/>
      </c>
      <c r="Q102">
        <f>IF(MOD($A102,H$2)=0,OFFSET(Q102,-H$2,0)+ H$3* $B102+H$4*OFFSET($B102,-H$2,0)+ H$5*OFFSET($B102,-2* H$2,0), Q101)</f>
        <v/>
      </c>
      <c r="R102">
        <f>IF(MOD($A102,I$2)=0,OFFSET(R102,-I$2,0)+ I$3* $B102+I$4*OFFSET($B102,-I$2,0)+ I$5*OFFSET($B102,-2* I$2,0), R101)</f>
        <v/>
      </c>
    </row>
    <row r="103">
      <c r="A103" t="n">
        <v>94</v>
      </c>
      <c r="B103" t="n">
        <v>1</v>
      </c>
      <c r="C103">
        <f>C102+D$3*$B103+D$4*$B102+D$5*$B101</f>
        <v/>
      </c>
      <c r="D103">
        <f>D98+E$3*$B103+E$4*$B98+E$5*$B93</f>
        <v/>
      </c>
      <c r="E103">
        <f>E93+F$3*$B103+F$4*$B93+F$5*$B83</f>
        <v/>
      </c>
      <c r="F103">
        <f>F102+G$3*$B103+G$4*$B102+G$5*$B101</f>
        <v/>
      </c>
      <c r="G103">
        <f>G98+H$3*$B103+H$4*$B98+H$5*$B93</f>
        <v/>
      </c>
      <c r="H103">
        <f>H93+I$3*$B103+I$4*$B93+I$5*$B83</f>
        <v/>
      </c>
      <c r="L103" t="n">
        <v>1</v>
      </c>
      <c r="M103">
        <f>IF(MOD($A103,D$2)=0,OFFSET(M103,-D$2,0)+ D$3* $B103+D$4*OFFSET($B103,-D$2,0)+ D$5*OFFSET($B103,-2* D$2,0), M102)</f>
        <v/>
      </c>
      <c r="N103">
        <f>IF(MOD($A103,E$2)=0,OFFSET(N103,-E$2,0)+ E$3* $B103+E$4*OFFSET($B103,-E$2,0)+ E$5*OFFSET($B103,-2* E$2,0), N102)</f>
        <v/>
      </c>
      <c r="O103">
        <f>IF(MOD($A103,F$2)=0,OFFSET(O103,-F$2,0)+ F$3* $B103+F$4*OFFSET($B103,-F$2,0)+ F$5*OFFSET($B103,-2* F$2,0), O102)</f>
        <v/>
      </c>
      <c r="P103">
        <f>IF(MOD($A103,G$2)=0,OFFSET(P103,-G$2,0)+ G$3* $B103+G$4*OFFSET($B103,-G$2,0)+ G$5*OFFSET($B103,-2* G$2,0), P102)</f>
        <v/>
      </c>
      <c r="Q103">
        <f>IF(MOD($A103,H$2)=0,OFFSET(Q103,-H$2,0)+ H$3* $B103+H$4*OFFSET($B103,-H$2,0)+ H$5*OFFSET($B103,-2* H$2,0), Q102)</f>
        <v/>
      </c>
      <c r="R103">
        <f>IF(MOD($A103,I$2)=0,OFFSET(R103,-I$2,0)+ I$3* $B103+I$4*OFFSET($B103,-I$2,0)+ I$5*OFFSET($B103,-2* I$2,0), R102)</f>
        <v/>
      </c>
    </row>
    <row r="104">
      <c r="A104" t="n">
        <v>95</v>
      </c>
      <c r="B104" t="n">
        <v>1</v>
      </c>
      <c r="C104">
        <f>C103+D$3*$B104+D$4*$B103+D$5*$B102</f>
        <v/>
      </c>
      <c r="D104">
        <f>D99+E$3*$B104+E$4*$B99+E$5*$B94</f>
        <v/>
      </c>
      <c r="E104">
        <f>E94+F$3*$B104+F$4*$B94+F$5*$B84</f>
        <v/>
      </c>
      <c r="F104">
        <f>F103+G$3*$B104+G$4*$B103+G$5*$B102</f>
        <v/>
      </c>
      <c r="G104">
        <f>G99+H$3*$B104+H$4*$B99+H$5*$B94</f>
        <v/>
      </c>
      <c r="H104">
        <f>H94+I$3*$B104+I$4*$B94+I$5*$B84</f>
        <v/>
      </c>
      <c r="L104" t="n">
        <v>1</v>
      </c>
      <c r="M104">
        <f>IF(MOD($A104,D$2)=0,OFFSET(M104,-D$2,0)+ D$3* $B104+D$4*OFFSET($B104,-D$2,0)+ D$5*OFFSET($B104,-2* D$2,0), M103)</f>
        <v/>
      </c>
      <c r="N104">
        <f>IF(MOD($A104,E$2)=0,OFFSET(N104,-E$2,0)+ E$3* $B104+E$4*OFFSET($B104,-E$2,0)+ E$5*OFFSET($B104,-2* E$2,0), N103)</f>
        <v/>
      </c>
      <c r="O104">
        <f>IF(MOD($A104,F$2)=0,OFFSET(O104,-F$2,0)+ F$3* $B104+F$4*OFFSET($B104,-F$2,0)+ F$5*OFFSET($B104,-2* F$2,0), O103)</f>
        <v/>
      </c>
      <c r="P104">
        <f>IF(MOD($A104,G$2)=0,OFFSET(P104,-G$2,0)+ G$3* $B104+G$4*OFFSET($B104,-G$2,0)+ G$5*OFFSET($B104,-2* G$2,0), P103)</f>
        <v/>
      </c>
      <c r="Q104">
        <f>IF(MOD($A104,H$2)=0,OFFSET(Q104,-H$2,0)+ H$3* $B104+H$4*OFFSET($B104,-H$2,0)+ H$5*OFFSET($B104,-2* H$2,0), Q103)</f>
        <v/>
      </c>
      <c r="R104">
        <f>IF(MOD($A104,I$2)=0,OFFSET(R104,-I$2,0)+ I$3* $B104+I$4*OFFSET($B104,-I$2,0)+ I$5*OFFSET($B104,-2* I$2,0), R103)</f>
        <v/>
      </c>
    </row>
    <row r="105">
      <c r="A105" t="n">
        <v>96</v>
      </c>
      <c r="B105" t="n">
        <v>1</v>
      </c>
      <c r="C105">
        <f>C104+D$3*$B105+D$4*$B104+D$5*$B103</f>
        <v/>
      </c>
      <c r="D105">
        <f>D100+E$3*$B105+E$4*$B100+E$5*$B95</f>
        <v/>
      </c>
      <c r="E105">
        <f>E95+F$3*$B105+F$4*$B95+F$5*$B85</f>
        <v/>
      </c>
      <c r="F105">
        <f>F104+G$3*$B105+G$4*$B104+G$5*$B103</f>
        <v/>
      </c>
      <c r="G105">
        <f>G100+H$3*$B105+H$4*$B100+H$5*$B95</f>
        <v/>
      </c>
      <c r="H105">
        <f>H95+I$3*$B105+I$4*$B95+I$5*$B85</f>
        <v/>
      </c>
      <c r="L105" t="n">
        <v>1</v>
      </c>
      <c r="M105">
        <f>IF(MOD($A105,D$2)=0,OFFSET(M105,-D$2,0)+ D$3* $B105+D$4*OFFSET($B105,-D$2,0)+ D$5*OFFSET($B105,-2* D$2,0), M104)</f>
        <v/>
      </c>
      <c r="N105">
        <f>IF(MOD($A105,E$2)=0,OFFSET(N105,-E$2,0)+ E$3* $B105+E$4*OFFSET($B105,-E$2,0)+ E$5*OFFSET($B105,-2* E$2,0), N104)</f>
        <v/>
      </c>
      <c r="O105">
        <f>IF(MOD($A105,F$2)=0,OFFSET(O105,-F$2,0)+ F$3* $B105+F$4*OFFSET($B105,-F$2,0)+ F$5*OFFSET($B105,-2* F$2,0), O104)</f>
        <v/>
      </c>
      <c r="P105">
        <f>IF(MOD($A105,G$2)=0,OFFSET(P105,-G$2,0)+ G$3* $B105+G$4*OFFSET($B105,-G$2,0)+ G$5*OFFSET($B105,-2* G$2,0), P104)</f>
        <v/>
      </c>
      <c r="Q105">
        <f>IF(MOD($A105,H$2)=0,OFFSET(Q105,-H$2,0)+ H$3* $B105+H$4*OFFSET($B105,-H$2,0)+ H$5*OFFSET($B105,-2* H$2,0), Q104)</f>
        <v/>
      </c>
      <c r="R105">
        <f>IF(MOD($A105,I$2)=0,OFFSET(R105,-I$2,0)+ I$3* $B105+I$4*OFFSET($B105,-I$2,0)+ I$5*OFFSET($B105,-2* I$2,0), R104)</f>
        <v/>
      </c>
    </row>
    <row r="106">
      <c r="A106" t="n">
        <v>97</v>
      </c>
      <c r="B106" t="n">
        <v>1</v>
      </c>
      <c r="C106">
        <f>C105+D$3*$B106+D$4*$B105+D$5*$B104</f>
        <v/>
      </c>
      <c r="D106">
        <f>D101+E$3*$B106+E$4*$B101+E$5*$B96</f>
        <v/>
      </c>
      <c r="E106">
        <f>E96+F$3*$B106+F$4*$B96+F$5*$B86</f>
        <v/>
      </c>
      <c r="F106">
        <f>F105+G$3*$B106+G$4*$B105+G$5*$B104</f>
        <v/>
      </c>
      <c r="G106">
        <f>G101+H$3*$B106+H$4*$B101+H$5*$B96</f>
        <v/>
      </c>
      <c r="H106">
        <f>H96+I$3*$B106+I$4*$B96+I$5*$B86</f>
        <v/>
      </c>
      <c r="L106" t="n">
        <v>1</v>
      </c>
      <c r="M106">
        <f>IF(MOD($A106,D$2)=0,OFFSET(M106,-D$2,0)+ D$3* $B106+D$4*OFFSET($B106,-D$2,0)+ D$5*OFFSET($B106,-2* D$2,0), M105)</f>
        <v/>
      </c>
      <c r="N106">
        <f>IF(MOD($A106,E$2)=0,OFFSET(N106,-E$2,0)+ E$3* $B106+E$4*OFFSET($B106,-E$2,0)+ E$5*OFFSET($B106,-2* E$2,0), N105)</f>
        <v/>
      </c>
      <c r="O106">
        <f>IF(MOD($A106,F$2)=0,OFFSET(O106,-F$2,0)+ F$3* $B106+F$4*OFFSET($B106,-F$2,0)+ F$5*OFFSET($B106,-2* F$2,0), O105)</f>
        <v/>
      </c>
      <c r="P106">
        <f>IF(MOD($A106,G$2)=0,OFFSET(P106,-G$2,0)+ G$3* $B106+G$4*OFFSET($B106,-G$2,0)+ G$5*OFFSET($B106,-2* G$2,0), P105)</f>
        <v/>
      </c>
      <c r="Q106">
        <f>IF(MOD($A106,H$2)=0,OFFSET(Q106,-H$2,0)+ H$3* $B106+H$4*OFFSET($B106,-H$2,0)+ H$5*OFFSET($B106,-2* H$2,0), Q105)</f>
        <v/>
      </c>
      <c r="R106">
        <f>IF(MOD($A106,I$2)=0,OFFSET(R106,-I$2,0)+ I$3* $B106+I$4*OFFSET($B106,-I$2,0)+ I$5*OFFSET($B106,-2* I$2,0), R105)</f>
        <v/>
      </c>
    </row>
    <row r="107">
      <c r="A107" t="n">
        <v>98</v>
      </c>
      <c r="B107" t="n">
        <v>1</v>
      </c>
      <c r="C107">
        <f>C106+D$3*$B107+D$4*$B106+D$5*$B105</f>
        <v/>
      </c>
      <c r="D107">
        <f>D102+E$3*$B107+E$4*$B102+E$5*$B97</f>
        <v/>
      </c>
      <c r="E107">
        <f>E97+F$3*$B107+F$4*$B97+F$5*$B87</f>
        <v/>
      </c>
      <c r="F107">
        <f>F106+G$3*$B107+G$4*$B106+G$5*$B105</f>
        <v/>
      </c>
      <c r="G107">
        <f>G102+H$3*$B107+H$4*$B102+H$5*$B97</f>
        <v/>
      </c>
      <c r="H107">
        <f>H97+I$3*$B107+I$4*$B97+I$5*$B87</f>
        <v/>
      </c>
      <c r="L107" t="n">
        <v>1</v>
      </c>
      <c r="M107">
        <f>IF(MOD($A107,D$2)=0,OFFSET(M107,-D$2,0)+ D$3* $B107+D$4*OFFSET($B107,-D$2,0)+ D$5*OFFSET($B107,-2* D$2,0), M106)</f>
        <v/>
      </c>
      <c r="N107">
        <f>IF(MOD($A107,E$2)=0,OFFSET(N107,-E$2,0)+ E$3* $B107+E$4*OFFSET($B107,-E$2,0)+ E$5*OFFSET($B107,-2* E$2,0), N106)</f>
        <v/>
      </c>
      <c r="O107">
        <f>IF(MOD($A107,F$2)=0,OFFSET(O107,-F$2,0)+ F$3* $B107+F$4*OFFSET($B107,-F$2,0)+ F$5*OFFSET($B107,-2* F$2,0), O106)</f>
        <v/>
      </c>
      <c r="P107">
        <f>IF(MOD($A107,G$2)=0,OFFSET(P107,-G$2,0)+ G$3* $B107+G$4*OFFSET($B107,-G$2,0)+ G$5*OFFSET($B107,-2* G$2,0), P106)</f>
        <v/>
      </c>
      <c r="Q107">
        <f>IF(MOD($A107,H$2)=0,OFFSET(Q107,-H$2,0)+ H$3* $B107+H$4*OFFSET($B107,-H$2,0)+ H$5*OFFSET($B107,-2* H$2,0), Q106)</f>
        <v/>
      </c>
      <c r="R107">
        <f>IF(MOD($A107,I$2)=0,OFFSET(R107,-I$2,0)+ I$3* $B107+I$4*OFFSET($B107,-I$2,0)+ I$5*OFFSET($B107,-2* I$2,0), R106)</f>
        <v/>
      </c>
    </row>
    <row r="108">
      <c r="A108" t="n">
        <v>99</v>
      </c>
      <c r="B108" t="n">
        <v>1</v>
      </c>
      <c r="C108">
        <f>C107+D$3*$B108+D$4*$B107+D$5*$B106</f>
        <v/>
      </c>
      <c r="D108">
        <f>D103+E$3*$B108+E$4*$B103+E$5*$B98</f>
        <v/>
      </c>
      <c r="E108">
        <f>E98+F$3*$B108+F$4*$B98+F$5*$B88</f>
        <v/>
      </c>
      <c r="F108">
        <f>F107+G$3*$B108+G$4*$B107+G$5*$B106</f>
        <v/>
      </c>
      <c r="G108">
        <f>G103+H$3*$B108+H$4*$B103+H$5*$B98</f>
        <v/>
      </c>
      <c r="H108">
        <f>H98+I$3*$B108+I$4*$B98+I$5*$B88</f>
        <v/>
      </c>
      <c r="L108" t="n">
        <v>1</v>
      </c>
      <c r="M108">
        <f>IF(MOD($A108,D$2)=0,OFFSET(M108,-D$2,0)+ D$3* $B108+D$4*OFFSET($B108,-D$2,0)+ D$5*OFFSET($B108,-2* D$2,0), M107)</f>
        <v/>
      </c>
      <c r="N108">
        <f>IF(MOD($A108,E$2)=0,OFFSET(N108,-E$2,0)+ E$3* $B108+E$4*OFFSET($B108,-E$2,0)+ E$5*OFFSET($B108,-2* E$2,0), N107)</f>
        <v/>
      </c>
      <c r="O108">
        <f>IF(MOD($A108,F$2)=0,OFFSET(O108,-F$2,0)+ F$3* $B108+F$4*OFFSET($B108,-F$2,0)+ F$5*OFFSET($B108,-2* F$2,0), O107)</f>
        <v/>
      </c>
      <c r="P108">
        <f>IF(MOD($A108,G$2)=0,OFFSET(P108,-G$2,0)+ G$3* $B108+G$4*OFFSET($B108,-G$2,0)+ G$5*OFFSET($B108,-2* G$2,0), P107)</f>
        <v/>
      </c>
      <c r="Q108">
        <f>IF(MOD($A108,H$2)=0,OFFSET(Q108,-H$2,0)+ H$3* $B108+H$4*OFFSET($B108,-H$2,0)+ H$5*OFFSET($B108,-2* H$2,0), Q107)</f>
        <v/>
      </c>
      <c r="R108">
        <f>IF(MOD($A108,I$2)=0,OFFSET(R108,-I$2,0)+ I$3* $B108+I$4*OFFSET($B108,-I$2,0)+ I$5*OFFSET($B108,-2* I$2,0), R107)</f>
        <v/>
      </c>
    </row>
    <row r="109">
      <c r="A109" t="n">
        <v>100</v>
      </c>
      <c r="B109" t="n">
        <v>1</v>
      </c>
      <c r="C109">
        <f>C108+D$3*$B109+D$4*$B108+D$5*$B107</f>
        <v/>
      </c>
      <c r="D109">
        <f>D104+E$3*$B109+E$4*$B104+E$5*$B99</f>
        <v/>
      </c>
      <c r="E109">
        <f>E99+F$3*$B109+F$4*$B99+F$5*$B89</f>
        <v/>
      </c>
      <c r="F109">
        <f>F108+G$3*$B109+G$4*$B108+G$5*$B107</f>
        <v/>
      </c>
      <c r="G109">
        <f>G104+H$3*$B109+H$4*$B104+H$5*$B99</f>
        <v/>
      </c>
      <c r="H109">
        <f>H99+I$3*$B109+I$4*$B99+I$5*$B89</f>
        <v/>
      </c>
      <c r="L109" t="n">
        <v>1</v>
      </c>
      <c r="M109">
        <f>IF(MOD($A109,D$2)=0,OFFSET(M109,-D$2,0)+ D$3* $B109+D$4*OFFSET($B109,-D$2,0)+ D$5*OFFSET($B109,-2* D$2,0), M108)</f>
        <v/>
      </c>
      <c r="N109">
        <f>IF(MOD($A109,E$2)=0,OFFSET(N109,-E$2,0)+ E$3* $B109+E$4*OFFSET($B109,-E$2,0)+ E$5*OFFSET($B109,-2* E$2,0), N108)</f>
        <v/>
      </c>
      <c r="O109">
        <f>IF(MOD($A109,F$2)=0,OFFSET(O109,-F$2,0)+ F$3* $B109+F$4*OFFSET($B109,-F$2,0)+ F$5*OFFSET($B109,-2* F$2,0), O108)</f>
        <v/>
      </c>
      <c r="P109">
        <f>IF(MOD($A109,G$2)=0,OFFSET(P109,-G$2,0)+ G$3* $B109+G$4*OFFSET($B109,-G$2,0)+ G$5*OFFSET($B109,-2* G$2,0), P108)</f>
        <v/>
      </c>
      <c r="Q109">
        <f>IF(MOD($A109,H$2)=0,OFFSET(Q109,-H$2,0)+ H$3* $B109+H$4*OFFSET($B109,-H$2,0)+ H$5*OFFSET($B109,-2* H$2,0), Q108)</f>
        <v/>
      </c>
      <c r="R109">
        <f>IF(MOD($A109,I$2)=0,OFFSET(R109,-I$2,0)+ I$3* $B109+I$4*OFFSET($B109,-I$2,0)+ I$5*OFFSET($B109,-2* I$2,0), R108)</f>
        <v/>
      </c>
    </row>
    <row r="110">
      <c r="A110" t="n">
        <v>101</v>
      </c>
      <c r="B110" t="n">
        <v>1</v>
      </c>
      <c r="C110">
        <f>C109+D$3*$B110+D$4*$B109+D$5*$B108</f>
        <v/>
      </c>
      <c r="D110">
        <f>D105+E$3*$B110+E$4*$B105+E$5*$B100</f>
        <v/>
      </c>
      <c r="E110">
        <f>E100+F$3*$B110+F$4*$B100+F$5*$B90</f>
        <v/>
      </c>
      <c r="F110">
        <f>F109+G$3*$B110+G$4*$B109+G$5*$B108</f>
        <v/>
      </c>
      <c r="G110">
        <f>G105+H$3*$B110+H$4*$B105+H$5*$B100</f>
        <v/>
      </c>
      <c r="H110">
        <f>H100+I$3*$B110+I$4*$B100+I$5*$B90</f>
        <v/>
      </c>
      <c r="L110" t="n">
        <v>1</v>
      </c>
      <c r="M110">
        <f>IF(MOD($A110,D$2)=0,OFFSET(M110,-D$2,0)+ D$3* $B110+D$4*OFFSET($B110,-D$2,0)+ D$5*OFFSET($B110,-2* D$2,0), M109)</f>
        <v/>
      </c>
      <c r="N110">
        <f>IF(MOD($A110,E$2)=0,OFFSET(N110,-E$2,0)+ E$3* $B110+E$4*OFFSET($B110,-E$2,0)+ E$5*OFFSET($B110,-2* E$2,0), N109)</f>
        <v/>
      </c>
      <c r="O110">
        <f>IF(MOD($A110,F$2)=0,OFFSET(O110,-F$2,0)+ F$3* $B110+F$4*OFFSET($B110,-F$2,0)+ F$5*OFFSET($B110,-2* F$2,0), O109)</f>
        <v/>
      </c>
      <c r="P110">
        <f>IF(MOD($A110,G$2)=0,OFFSET(P110,-G$2,0)+ G$3* $B110+G$4*OFFSET($B110,-G$2,0)+ G$5*OFFSET($B110,-2* G$2,0), P109)</f>
        <v/>
      </c>
      <c r="Q110">
        <f>IF(MOD($A110,H$2)=0,OFFSET(Q110,-H$2,0)+ H$3* $B110+H$4*OFFSET($B110,-H$2,0)+ H$5*OFFSET($B110,-2* H$2,0), Q109)</f>
        <v/>
      </c>
      <c r="R110">
        <f>IF(MOD($A110,I$2)=0,OFFSET(R110,-I$2,0)+ I$3* $B110+I$4*OFFSET($B110,-I$2,0)+ I$5*OFFSET($B110,-2* I$2,0), R109)</f>
        <v/>
      </c>
    </row>
    <row r="111">
      <c r="A111" t="n">
        <v>102</v>
      </c>
      <c r="B111" t="n">
        <v>1</v>
      </c>
      <c r="C111">
        <f>C110+D$3*$B111+D$4*$B110+D$5*$B109</f>
        <v/>
      </c>
      <c r="D111">
        <f>D106+E$3*$B111+E$4*$B106+E$5*$B101</f>
        <v/>
      </c>
      <c r="E111">
        <f>E101+F$3*$B111+F$4*$B101+F$5*$B91</f>
        <v/>
      </c>
      <c r="F111">
        <f>F110+G$3*$B111+G$4*$B110+G$5*$B109</f>
        <v/>
      </c>
      <c r="G111">
        <f>G106+H$3*$B111+H$4*$B106+H$5*$B101</f>
        <v/>
      </c>
      <c r="H111">
        <f>H101+I$3*$B111+I$4*$B101+I$5*$B91</f>
        <v/>
      </c>
      <c r="L111" t="n">
        <v>1</v>
      </c>
      <c r="M111">
        <f>IF(MOD($A111,D$2)=0,OFFSET(M111,-D$2,0)+ D$3* $B111+D$4*OFFSET($B111,-D$2,0)+ D$5*OFFSET($B111,-2* D$2,0), M110)</f>
        <v/>
      </c>
      <c r="N111">
        <f>IF(MOD($A111,E$2)=0,OFFSET(N111,-E$2,0)+ E$3* $B111+E$4*OFFSET($B111,-E$2,0)+ E$5*OFFSET($B111,-2* E$2,0), N110)</f>
        <v/>
      </c>
      <c r="O111">
        <f>IF(MOD($A111,F$2)=0,OFFSET(O111,-F$2,0)+ F$3* $B111+F$4*OFFSET($B111,-F$2,0)+ F$5*OFFSET($B111,-2* F$2,0), O110)</f>
        <v/>
      </c>
      <c r="P111">
        <f>IF(MOD($A111,G$2)=0,OFFSET(P111,-G$2,0)+ G$3* $B111+G$4*OFFSET($B111,-G$2,0)+ G$5*OFFSET($B111,-2* G$2,0), P110)</f>
        <v/>
      </c>
      <c r="Q111">
        <f>IF(MOD($A111,H$2)=0,OFFSET(Q111,-H$2,0)+ H$3* $B111+H$4*OFFSET($B111,-H$2,0)+ H$5*OFFSET($B111,-2* H$2,0), Q110)</f>
        <v/>
      </c>
      <c r="R111">
        <f>IF(MOD($A111,I$2)=0,OFFSET(R111,-I$2,0)+ I$3* $B111+I$4*OFFSET($B111,-I$2,0)+ I$5*OFFSET($B111,-2* I$2,0), R110)</f>
        <v/>
      </c>
    </row>
    <row r="112">
      <c r="A112" t="n">
        <v>103</v>
      </c>
      <c r="B112" t="n">
        <v>1</v>
      </c>
      <c r="C112">
        <f>C111+D$3*$B112+D$4*$B111+D$5*$B110</f>
        <v/>
      </c>
      <c r="D112">
        <f>D107+E$3*$B112+E$4*$B107+E$5*$B102</f>
        <v/>
      </c>
      <c r="E112">
        <f>E102+F$3*$B112+F$4*$B102+F$5*$B92</f>
        <v/>
      </c>
      <c r="F112">
        <f>F111+G$3*$B112+G$4*$B111+G$5*$B110</f>
        <v/>
      </c>
      <c r="G112">
        <f>G107+H$3*$B112+H$4*$B107+H$5*$B102</f>
        <v/>
      </c>
      <c r="H112">
        <f>H102+I$3*$B112+I$4*$B102+I$5*$B92</f>
        <v/>
      </c>
      <c r="L112" t="n">
        <v>1</v>
      </c>
      <c r="M112">
        <f>IF(MOD($A112,D$2)=0,OFFSET(M112,-D$2,0)+ D$3* $B112+D$4*OFFSET($B112,-D$2,0)+ D$5*OFFSET($B112,-2* D$2,0), M111)</f>
        <v/>
      </c>
      <c r="N112">
        <f>IF(MOD($A112,E$2)=0,OFFSET(N112,-E$2,0)+ E$3* $B112+E$4*OFFSET($B112,-E$2,0)+ E$5*OFFSET($B112,-2* E$2,0), N111)</f>
        <v/>
      </c>
      <c r="O112">
        <f>IF(MOD($A112,F$2)=0,OFFSET(O112,-F$2,0)+ F$3* $B112+F$4*OFFSET($B112,-F$2,0)+ F$5*OFFSET($B112,-2* F$2,0), O111)</f>
        <v/>
      </c>
      <c r="P112">
        <f>IF(MOD($A112,G$2)=0,OFFSET(P112,-G$2,0)+ G$3* $B112+G$4*OFFSET($B112,-G$2,0)+ G$5*OFFSET($B112,-2* G$2,0), P111)</f>
        <v/>
      </c>
      <c r="Q112">
        <f>IF(MOD($A112,H$2)=0,OFFSET(Q112,-H$2,0)+ H$3* $B112+H$4*OFFSET($B112,-H$2,0)+ H$5*OFFSET($B112,-2* H$2,0), Q111)</f>
        <v/>
      </c>
      <c r="R112">
        <f>IF(MOD($A112,I$2)=0,OFFSET(R112,-I$2,0)+ I$3* $B112+I$4*OFFSET($B112,-I$2,0)+ I$5*OFFSET($B112,-2* I$2,0), R111)</f>
        <v/>
      </c>
    </row>
    <row r="113">
      <c r="A113" t="n">
        <v>104</v>
      </c>
      <c r="B113" t="n">
        <v>1</v>
      </c>
      <c r="C113">
        <f>C112+D$3*$B113+D$4*$B112+D$5*$B111</f>
        <v/>
      </c>
      <c r="D113">
        <f>D108+E$3*$B113+E$4*$B108+E$5*$B103</f>
        <v/>
      </c>
      <c r="E113">
        <f>E103+F$3*$B113+F$4*$B103+F$5*$B93</f>
        <v/>
      </c>
      <c r="F113">
        <f>F112+G$3*$B113+G$4*$B112+G$5*$B111</f>
        <v/>
      </c>
      <c r="G113">
        <f>G108+H$3*$B113+H$4*$B108+H$5*$B103</f>
        <v/>
      </c>
      <c r="H113">
        <f>H103+I$3*$B113+I$4*$B103+I$5*$B93</f>
        <v/>
      </c>
      <c r="L113" t="n">
        <v>1</v>
      </c>
      <c r="M113">
        <f>IF(MOD($A113,D$2)=0,OFFSET(M113,-D$2,0)+ D$3* $B113+D$4*OFFSET($B113,-D$2,0)+ D$5*OFFSET($B113,-2* D$2,0), M112)</f>
        <v/>
      </c>
      <c r="N113">
        <f>IF(MOD($A113,E$2)=0,OFFSET(N113,-E$2,0)+ E$3* $B113+E$4*OFFSET($B113,-E$2,0)+ E$5*OFFSET($B113,-2* E$2,0), N112)</f>
        <v/>
      </c>
      <c r="O113">
        <f>IF(MOD($A113,F$2)=0,OFFSET(O113,-F$2,0)+ F$3* $B113+F$4*OFFSET($B113,-F$2,0)+ F$5*OFFSET($B113,-2* F$2,0), O112)</f>
        <v/>
      </c>
      <c r="P113">
        <f>IF(MOD($A113,G$2)=0,OFFSET(P113,-G$2,0)+ G$3* $B113+G$4*OFFSET($B113,-G$2,0)+ G$5*OFFSET($B113,-2* G$2,0), P112)</f>
        <v/>
      </c>
      <c r="Q113">
        <f>IF(MOD($A113,H$2)=0,OFFSET(Q113,-H$2,0)+ H$3* $B113+H$4*OFFSET($B113,-H$2,0)+ H$5*OFFSET($B113,-2* H$2,0), Q112)</f>
        <v/>
      </c>
      <c r="R113">
        <f>IF(MOD($A113,I$2)=0,OFFSET(R113,-I$2,0)+ I$3* $B113+I$4*OFFSET($B113,-I$2,0)+ I$5*OFFSET($B113,-2* I$2,0), R112)</f>
        <v/>
      </c>
    </row>
    <row r="114">
      <c r="A114" t="n">
        <v>105</v>
      </c>
      <c r="B114" t="n">
        <v>1</v>
      </c>
      <c r="C114">
        <f>C113+D$3*$B114+D$4*$B113+D$5*$B112</f>
        <v/>
      </c>
      <c r="D114">
        <f>D109+E$3*$B114+E$4*$B109+E$5*$B104</f>
        <v/>
      </c>
      <c r="E114">
        <f>E104+F$3*$B114+F$4*$B104+F$5*$B94</f>
        <v/>
      </c>
      <c r="F114">
        <f>F113+G$3*$B114+G$4*$B113+G$5*$B112</f>
        <v/>
      </c>
      <c r="G114">
        <f>G109+H$3*$B114+H$4*$B109+H$5*$B104</f>
        <v/>
      </c>
      <c r="H114">
        <f>H104+I$3*$B114+I$4*$B104+I$5*$B94</f>
        <v/>
      </c>
      <c r="L114" t="n">
        <v>1</v>
      </c>
      <c r="M114">
        <f>IF(MOD($A114,D$2)=0,OFFSET(M114,-D$2,0)+ D$3* $B114+D$4*OFFSET($B114,-D$2,0)+ D$5*OFFSET($B114,-2* D$2,0), M113)</f>
        <v/>
      </c>
      <c r="N114">
        <f>IF(MOD($A114,E$2)=0,OFFSET(N114,-E$2,0)+ E$3* $B114+E$4*OFFSET($B114,-E$2,0)+ E$5*OFFSET($B114,-2* E$2,0), N113)</f>
        <v/>
      </c>
      <c r="O114">
        <f>IF(MOD($A114,F$2)=0,OFFSET(O114,-F$2,0)+ F$3* $B114+F$4*OFFSET($B114,-F$2,0)+ F$5*OFFSET($B114,-2* F$2,0), O113)</f>
        <v/>
      </c>
      <c r="P114">
        <f>IF(MOD($A114,G$2)=0,OFFSET(P114,-G$2,0)+ G$3* $B114+G$4*OFFSET($B114,-G$2,0)+ G$5*OFFSET($B114,-2* G$2,0), P113)</f>
        <v/>
      </c>
      <c r="Q114">
        <f>IF(MOD($A114,H$2)=0,OFFSET(Q114,-H$2,0)+ H$3* $B114+H$4*OFFSET($B114,-H$2,0)+ H$5*OFFSET($B114,-2* H$2,0), Q113)</f>
        <v/>
      </c>
      <c r="R114">
        <f>IF(MOD($A114,I$2)=0,OFFSET(R114,-I$2,0)+ I$3* $B114+I$4*OFFSET($B114,-I$2,0)+ I$5*OFFSET($B114,-2* I$2,0), R113)</f>
        <v/>
      </c>
    </row>
    <row r="115">
      <c r="A115" t="n">
        <v>106</v>
      </c>
      <c r="B115" t="n">
        <v>1</v>
      </c>
      <c r="C115">
        <f>C114+D$3*$B115+D$4*$B114+D$5*$B113</f>
        <v/>
      </c>
      <c r="D115">
        <f>D110+E$3*$B115+E$4*$B110+E$5*$B105</f>
        <v/>
      </c>
      <c r="E115">
        <f>E105+F$3*$B115+F$4*$B105+F$5*$B95</f>
        <v/>
      </c>
      <c r="F115">
        <f>F114+G$3*$B115+G$4*$B114+G$5*$B113</f>
        <v/>
      </c>
      <c r="G115">
        <f>G110+H$3*$B115+H$4*$B110+H$5*$B105</f>
        <v/>
      </c>
      <c r="H115">
        <f>H105+I$3*$B115+I$4*$B105+I$5*$B95</f>
        <v/>
      </c>
      <c r="L115" t="n">
        <v>1</v>
      </c>
      <c r="M115">
        <f>IF(MOD($A115,D$2)=0,OFFSET(M115,-D$2,0)+ D$3* $B115+D$4*OFFSET($B115,-D$2,0)+ D$5*OFFSET($B115,-2* D$2,0), M114)</f>
        <v/>
      </c>
      <c r="N115">
        <f>IF(MOD($A115,E$2)=0,OFFSET(N115,-E$2,0)+ E$3* $B115+E$4*OFFSET($B115,-E$2,0)+ E$5*OFFSET($B115,-2* E$2,0), N114)</f>
        <v/>
      </c>
      <c r="O115">
        <f>IF(MOD($A115,F$2)=0,OFFSET(O115,-F$2,0)+ F$3* $B115+F$4*OFFSET($B115,-F$2,0)+ F$5*OFFSET($B115,-2* F$2,0), O114)</f>
        <v/>
      </c>
      <c r="P115">
        <f>IF(MOD($A115,G$2)=0,OFFSET(P115,-G$2,0)+ G$3* $B115+G$4*OFFSET($B115,-G$2,0)+ G$5*OFFSET($B115,-2* G$2,0), P114)</f>
        <v/>
      </c>
      <c r="Q115">
        <f>IF(MOD($A115,H$2)=0,OFFSET(Q115,-H$2,0)+ H$3* $B115+H$4*OFFSET($B115,-H$2,0)+ H$5*OFFSET($B115,-2* H$2,0), Q114)</f>
        <v/>
      </c>
      <c r="R115">
        <f>IF(MOD($A115,I$2)=0,OFFSET(R115,-I$2,0)+ I$3* $B115+I$4*OFFSET($B115,-I$2,0)+ I$5*OFFSET($B115,-2* I$2,0), R114)</f>
        <v/>
      </c>
    </row>
    <row r="116">
      <c r="A116" t="n">
        <v>107</v>
      </c>
      <c r="B116" t="n">
        <v>1</v>
      </c>
      <c r="C116">
        <f>C115+D$3*$B116+D$4*$B115+D$5*$B114</f>
        <v/>
      </c>
      <c r="D116">
        <f>D111+E$3*$B116+E$4*$B111+E$5*$B106</f>
        <v/>
      </c>
      <c r="E116">
        <f>E106+F$3*$B116+F$4*$B106+F$5*$B96</f>
        <v/>
      </c>
      <c r="F116">
        <f>F115+G$3*$B116+G$4*$B115+G$5*$B114</f>
        <v/>
      </c>
      <c r="G116">
        <f>G111+H$3*$B116+H$4*$B111+H$5*$B106</f>
        <v/>
      </c>
      <c r="H116">
        <f>H106+I$3*$B116+I$4*$B106+I$5*$B96</f>
        <v/>
      </c>
      <c r="L116" t="n">
        <v>1</v>
      </c>
      <c r="M116">
        <f>IF(MOD($A116,D$2)=0,OFFSET(M116,-D$2,0)+ D$3* $B116+D$4*OFFSET($B116,-D$2,0)+ D$5*OFFSET($B116,-2* D$2,0), M115)</f>
        <v/>
      </c>
      <c r="N116">
        <f>IF(MOD($A116,E$2)=0,OFFSET(N116,-E$2,0)+ E$3* $B116+E$4*OFFSET($B116,-E$2,0)+ E$5*OFFSET($B116,-2* E$2,0), N115)</f>
        <v/>
      </c>
      <c r="O116">
        <f>IF(MOD($A116,F$2)=0,OFFSET(O116,-F$2,0)+ F$3* $B116+F$4*OFFSET($B116,-F$2,0)+ F$5*OFFSET($B116,-2* F$2,0), O115)</f>
        <v/>
      </c>
      <c r="P116">
        <f>IF(MOD($A116,G$2)=0,OFFSET(P116,-G$2,0)+ G$3* $B116+G$4*OFFSET($B116,-G$2,0)+ G$5*OFFSET($B116,-2* G$2,0), P115)</f>
        <v/>
      </c>
      <c r="Q116">
        <f>IF(MOD($A116,H$2)=0,OFFSET(Q116,-H$2,0)+ H$3* $B116+H$4*OFFSET($B116,-H$2,0)+ H$5*OFFSET($B116,-2* H$2,0), Q115)</f>
        <v/>
      </c>
      <c r="R116">
        <f>IF(MOD($A116,I$2)=0,OFFSET(R116,-I$2,0)+ I$3* $B116+I$4*OFFSET($B116,-I$2,0)+ I$5*OFFSET($B116,-2* I$2,0), R115)</f>
        <v/>
      </c>
    </row>
    <row r="117">
      <c r="A117" t="n">
        <v>108</v>
      </c>
      <c r="B117" t="n">
        <v>1</v>
      </c>
      <c r="C117">
        <f>C116+D$3*$B117+D$4*$B116+D$5*$B115</f>
        <v/>
      </c>
      <c r="D117">
        <f>D112+E$3*$B117+E$4*$B112+E$5*$B107</f>
        <v/>
      </c>
      <c r="E117">
        <f>E107+F$3*$B117+F$4*$B107+F$5*$B97</f>
        <v/>
      </c>
      <c r="F117">
        <f>F116+G$3*$B117+G$4*$B116+G$5*$B115</f>
        <v/>
      </c>
      <c r="G117">
        <f>G112+H$3*$B117+H$4*$B112+H$5*$B107</f>
        <v/>
      </c>
      <c r="H117">
        <f>H107+I$3*$B117+I$4*$B107+I$5*$B97</f>
        <v/>
      </c>
      <c r="L117" t="n">
        <v>1</v>
      </c>
      <c r="M117">
        <f>IF(MOD($A117,D$2)=0,OFFSET(M117,-D$2,0)+ D$3* $B117+D$4*OFFSET($B117,-D$2,0)+ D$5*OFFSET($B117,-2* D$2,0), M116)</f>
        <v/>
      </c>
      <c r="N117">
        <f>IF(MOD($A117,E$2)=0,OFFSET(N117,-E$2,0)+ E$3* $B117+E$4*OFFSET($B117,-E$2,0)+ E$5*OFFSET($B117,-2* E$2,0), N116)</f>
        <v/>
      </c>
      <c r="O117">
        <f>IF(MOD($A117,F$2)=0,OFFSET(O117,-F$2,0)+ F$3* $B117+F$4*OFFSET($B117,-F$2,0)+ F$5*OFFSET($B117,-2* F$2,0), O116)</f>
        <v/>
      </c>
      <c r="P117">
        <f>IF(MOD($A117,G$2)=0,OFFSET(P117,-G$2,0)+ G$3* $B117+G$4*OFFSET($B117,-G$2,0)+ G$5*OFFSET($B117,-2* G$2,0), P116)</f>
        <v/>
      </c>
      <c r="Q117">
        <f>IF(MOD($A117,H$2)=0,OFFSET(Q117,-H$2,0)+ H$3* $B117+H$4*OFFSET($B117,-H$2,0)+ H$5*OFFSET($B117,-2* H$2,0), Q116)</f>
        <v/>
      </c>
      <c r="R117">
        <f>IF(MOD($A117,I$2)=0,OFFSET(R117,-I$2,0)+ I$3* $B117+I$4*OFFSET($B117,-I$2,0)+ I$5*OFFSET($B117,-2* I$2,0), R116)</f>
        <v/>
      </c>
    </row>
    <row r="118">
      <c r="A118" t="n">
        <v>109</v>
      </c>
      <c r="B118" t="n">
        <v>1</v>
      </c>
      <c r="C118">
        <f>C117+D$3*$B118+D$4*$B117+D$5*$B116</f>
        <v/>
      </c>
      <c r="D118">
        <f>D113+E$3*$B118+E$4*$B113+E$5*$B108</f>
        <v/>
      </c>
      <c r="E118">
        <f>E108+F$3*$B118+F$4*$B108+F$5*$B98</f>
        <v/>
      </c>
      <c r="F118">
        <f>F117+G$3*$B118+G$4*$B117+G$5*$B116</f>
        <v/>
      </c>
      <c r="G118">
        <f>G113+H$3*$B118+H$4*$B113+H$5*$B108</f>
        <v/>
      </c>
      <c r="H118">
        <f>H108+I$3*$B118+I$4*$B108+I$5*$B98</f>
        <v/>
      </c>
      <c r="L118" t="n">
        <v>1</v>
      </c>
      <c r="M118">
        <f>IF(MOD($A118,D$2)=0,OFFSET(M118,-D$2,0)+ D$3* $B118+D$4*OFFSET($B118,-D$2,0)+ D$5*OFFSET($B118,-2* D$2,0), M117)</f>
        <v/>
      </c>
      <c r="N118">
        <f>IF(MOD($A118,E$2)=0,OFFSET(N118,-E$2,0)+ E$3* $B118+E$4*OFFSET($B118,-E$2,0)+ E$5*OFFSET($B118,-2* E$2,0), N117)</f>
        <v/>
      </c>
      <c r="O118">
        <f>IF(MOD($A118,F$2)=0,OFFSET(O118,-F$2,0)+ F$3* $B118+F$4*OFFSET($B118,-F$2,0)+ F$5*OFFSET($B118,-2* F$2,0), O117)</f>
        <v/>
      </c>
      <c r="P118">
        <f>IF(MOD($A118,G$2)=0,OFFSET(P118,-G$2,0)+ G$3* $B118+G$4*OFFSET($B118,-G$2,0)+ G$5*OFFSET($B118,-2* G$2,0), P117)</f>
        <v/>
      </c>
      <c r="Q118">
        <f>IF(MOD($A118,H$2)=0,OFFSET(Q118,-H$2,0)+ H$3* $B118+H$4*OFFSET($B118,-H$2,0)+ H$5*OFFSET($B118,-2* H$2,0), Q117)</f>
        <v/>
      </c>
      <c r="R118">
        <f>IF(MOD($A118,I$2)=0,OFFSET(R118,-I$2,0)+ I$3* $B118+I$4*OFFSET($B118,-I$2,0)+ I$5*OFFSET($B118,-2* I$2,0), R117)</f>
        <v/>
      </c>
    </row>
    <row r="119">
      <c r="A119" t="n">
        <v>110</v>
      </c>
      <c r="B119" t="n">
        <v>1</v>
      </c>
      <c r="C119">
        <f>C118+D$3*$B119+D$4*$B118+D$5*$B117</f>
        <v/>
      </c>
      <c r="D119">
        <f>D114+E$3*$B119+E$4*$B114+E$5*$B109</f>
        <v/>
      </c>
      <c r="E119">
        <f>E109+F$3*$B119+F$4*$B109+F$5*$B99</f>
        <v/>
      </c>
      <c r="F119">
        <f>F118+G$3*$B119+G$4*$B118+G$5*$B117</f>
        <v/>
      </c>
      <c r="G119">
        <f>G114+H$3*$B119+H$4*$B114+H$5*$B109</f>
        <v/>
      </c>
      <c r="H119">
        <f>H109+I$3*$B119+I$4*$B109+I$5*$B99</f>
        <v/>
      </c>
      <c r="L119" t="n">
        <v>1</v>
      </c>
      <c r="M119">
        <f>IF(MOD($A119,D$2)=0,OFFSET(M119,-D$2,0)+ D$3* $B119+D$4*OFFSET($B119,-D$2,0)+ D$5*OFFSET($B119,-2* D$2,0), M118)</f>
        <v/>
      </c>
      <c r="N119">
        <f>IF(MOD($A119,E$2)=0,OFFSET(N119,-E$2,0)+ E$3* $B119+E$4*OFFSET($B119,-E$2,0)+ E$5*OFFSET($B119,-2* E$2,0), N118)</f>
        <v/>
      </c>
      <c r="O119">
        <f>IF(MOD($A119,F$2)=0,OFFSET(O119,-F$2,0)+ F$3* $B119+F$4*OFFSET($B119,-F$2,0)+ F$5*OFFSET($B119,-2* F$2,0), O118)</f>
        <v/>
      </c>
      <c r="P119">
        <f>IF(MOD($A119,G$2)=0,OFFSET(P119,-G$2,0)+ G$3* $B119+G$4*OFFSET($B119,-G$2,0)+ G$5*OFFSET($B119,-2* G$2,0), P118)</f>
        <v/>
      </c>
      <c r="Q119">
        <f>IF(MOD($A119,H$2)=0,OFFSET(Q119,-H$2,0)+ H$3* $B119+H$4*OFFSET($B119,-H$2,0)+ H$5*OFFSET($B119,-2* H$2,0), Q118)</f>
        <v/>
      </c>
      <c r="R119">
        <f>IF(MOD($A119,I$2)=0,OFFSET(R119,-I$2,0)+ I$3* $B119+I$4*OFFSET($B119,-I$2,0)+ I$5*OFFSET($B119,-2* I$2,0), R118)</f>
        <v/>
      </c>
    </row>
    <row r="120">
      <c r="A120" t="n">
        <v>111</v>
      </c>
      <c r="B120" t="n">
        <v>1</v>
      </c>
      <c r="C120">
        <f>C119+D$3*$B120+D$4*$B119+D$5*$B118</f>
        <v/>
      </c>
      <c r="D120">
        <f>D115+E$3*$B120+E$4*$B115+E$5*$B110</f>
        <v/>
      </c>
      <c r="E120">
        <f>E110+F$3*$B120+F$4*$B110+F$5*$B100</f>
        <v/>
      </c>
      <c r="F120">
        <f>F119+G$3*$B120+G$4*$B119+G$5*$B118</f>
        <v/>
      </c>
      <c r="G120">
        <f>G115+H$3*$B120+H$4*$B115+H$5*$B110</f>
        <v/>
      </c>
      <c r="H120">
        <f>H110+I$3*$B120+I$4*$B110+I$5*$B100</f>
        <v/>
      </c>
      <c r="L120" t="n">
        <v>1</v>
      </c>
      <c r="M120">
        <f>IF(MOD($A120,D$2)=0,OFFSET(M120,-D$2,0)+ D$3* $B120+D$4*OFFSET($B120,-D$2,0)+ D$5*OFFSET($B120,-2* D$2,0), M119)</f>
        <v/>
      </c>
      <c r="N120">
        <f>IF(MOD($A120,E$2)=0,OFFSET(N120,-E$2,0)+ E$3* $B120+E$4*OFFSET($B120,-E$2,0)+ E$5*OFFSET($B120,-2* E$2,0), N119)</f>
        <v/>
      </c>
      <c r="O120">
        <f>IF(MOD($A120,F$2)=0,OFFSET(O120,-F$2,0)+ F$3* $B120+F$4*OFFSET($B120,-F$2,0)+ F$5*OFFSET($B120,-2* F$2,0), O119)</f>
        <v/>
      </c>
      <c r="P120">
        <f>IF(MOD($A120,G$2)=0,OFFSET(P120,-G$2,0)+ G$3* $B120+G$4*OFFSET($B120,-G$2,0)+ G$5*OFFSET($B120,-2* G$2,0), P119)</f>
        <v/>
      </c>
      <c r="Q120">
        <f>IF(MOD($A120,H$2)=0,OFFSET(Q120,-H$2,0)+ H$3* $B120+H$4*OFFSET($B120,-H$2,0)+ H$5*OFFSET($B120,-2* H$2,0), Q119)</f>
        <v/>
      </c>
      <c r="R120">
        <f>IF(MOD($A120,I$2)=0,OFFSET(R120,-I$2,0)+ I$3* $B120+I$4*OFFSET($B120,-I$2,0)+ I$5*OFFSET($B120,-2* I$2,0), R119)</f>
        <v/>
      </c>
    </row>
    <row r="121">
      <c r="A121" t="n">
        <v>112</v>
      </c>
      <c r="B121" t="n">
        <v>1</v>
      </c>
      <c r="C121">
        <f>C120+D$3*$B121+D$4*$B120+D$5*$B119</f>
        <v/>
      </c>
      <c r="D121">
        <f>D116+E$3*$B121+E$4*$B116+E$5*$B111</f>
        <v/>
      </c>
      <c r="E121">
        <f>E111+F$3*$B121+F$4*$B111+F$5*$B101</f>
        <v/>
      </c>
      <c r="F121">
        <f>F120+G$3*$B121+G$4*$B120+G$5*$B119</f>
        <v/>
      </c>
      <c r="G121">
        <f>G116+H$3*$B121+H$4*$B116+H$5*$B111</f>
        <v/>
      </c>
      <c r="H121">
        <f>H111+I$3*$B121+I$4*$B111+I$5*$B101</f>
        <v/>
      </c>
      <c r="L121" t="n">
        <v>1</v>
      </c>
      <c r="M121">
        <f>IF(MOD($A121,D$2)=0,OFFSET(M121,-D$2,0)+ D$3* $B121+D$4*OFFSET($B121,-D$2,0)+ D$5*OFFSET($B121,-2* D$2,0), M120)</f>
        <v/>
      </c>
      <c r="N121">
        <f>IF(MOD($A121,E$2)=0,OFFSET(N121,-E$2,0)+ E$3* $B121+E$4*OFFSET($B121,-E$2,0)+ E$5*OFFSET($B121,-2* E$2,0), N120)</f>
        <v/>
      </c>
      <c r="O121">
        <f>IF(MOD($A121,F$2)=0,OFFSET(O121,-F$2,0)+ F$3* $B121+F$4*OFFSET($B121,-F$2,0)+ F$5*OFFSET($B121,-2* F$2,0), O120)</f>
        <v/>
      </c>
      <c r="P121">
        <f>IF(MOD($A121,G$2)=0,OFFSET(P121,-G$2,0)+ G$3* $B121+G$4*OFFSET($B121,-G$2,0)+ G$5*OFFSET($B121,-2* G$2,0), P120)</f>
        <v/>
      </c>
      <c r="Q121">
        <f>IF(MOD($A121,H$2)=0,OFFSET(Q121,-H$2,0)+ H$3* $B121+H$4*OFFSET($B121,-H$2,0)+ H$5*OFFSET($B121,-2* H$2,0), Q120)</f>
        <v/>
      </c>
      <c r="R121">
        <f>IF(MOD($A121,I$2)=0,OFFSET(R121,-I$2,0)+ I$3* $B121+I$4*OFFSET($B121,-I$2,0)+ I$5*OFFSET($B121,-2* I$2,0), R120)</f>
        <v/>
      </c>
    </row>
    <row r="122">
      <c r="A122" t="n">
        <v>113</v>
      </c>
      <c r="B122" t="n">
        <v>1</v>
      </c>
      <c r="C122">
        <f>C121+D$3*$B122+D$4*$B121+D$5*$B120</f>
        <v/>
      </c>
      <c r="D122">
        <f>D117+E$3*$B122+E$4*$B117+E$5*$B112</f>
        <v/>
      </c>
      <c r="E122">
        <f>E112+F$3*$B122+F$4*$B112+F$5*$B102</f>
        <v/>
      </c>
      <c r="F122">
        <f>F121+G$3*$B122+G$4*$B121+G$5*$B120</f>
        <v/>
      </c>
      <c r="G122">
        <f>G117+H$3*$B122+H$4*$B117+H$5*$B112</f>
        <v/>
      </c>
      <c r="H122">
        <f>H112+I$3*$B122+I$4*$B112+I$5*$B102</f>
        <v/>
      </c>
      <c r="L122" t="n">
        <v>1</v>
      </c>
      <c r="M122">
        <f>IF(MOD($A122,D$2)=0,OFFSET(M122,-D$2,0)+ D$3* $B122+D$4*OFFSET($B122,-D$2,0)+ D$5*OFFSET($B122,-2* D$2,0), M121)</f>
        <v/>
      </c>
      <c r="N122">
        <f>IF(MOD($A122,E$2)=0,OFFSET(N122,-E$2,0)+ E$3* $B122+E$4*OFFSET($B122,-E$2,0)+ E$5*OFFSET($B122,-2* E$2,0), N121)</f>
        <v/>
      </c>
      <c r="O122">
        <f>IF(MOD($A122,F$2)=0,OFFSET(O122,-F$2,0)+ F$3* $B122+F$4*OFFSET($B122,-F$2,0)+ F$5*OFFSET($B122,-2* F$2,0), O121)</f>
        <v/>
      </c>
      <c r="P122">
        <f>IF(MOD($A122,G$2)=0,OFFSET(P122,-G$2,0)+ G$3* $B122+G$4*OFFSET($B122,-G$2,0)+ G$5*OFFSET($B122,-2* G$2,0), P121)</f>
        <v/>
      </c>
      <c r="Q122">
        <f>IF(MOD($A122,H$2)=0,OFFSET(Q122,-H$2,0)+ H$3* $B122+H$4*OFFSET($B122,-H$2,0)+ H$5*OFFSET($B122,-2* H$2,0), Q121)</f>
        <v/>
      </c>
      <c r="R122">
        <f>IF(MOD($A122,I$2)=0,OFFSET(R122,-I$2,0)+ I$3* $B122+I$4*OFFSET($B122,-I$2,0)+ I$5*OFFSET($B122,-2* I$2,0), R121)</f>
        <v/>
      </c>
    </row>
    <row r="123">
      <c r="A123" t="n">
        <v>114</v>
      </c>
      <c r="B123" t="n">
        <v>1</v>
      </c>
      <c r="C123">
        <f>C122+D$3*$B123+D$4*$B122+D$5*$B121</f>
        <v/>
      </c>
      <c r="D123">
        <f>D118+E$3*$B123+E$4*$B118+E$5*$B113</f>
        <v/>
      </c>
      <c r="E123">
        <f>E113+F$3*$B123+F$4*$B113+F$5*$B103</f>
        <v/>
      </c>
      <c r="F123">
        <f>F122+G$3*$B123+G$4*$B122+G$5*$B121</f>
        <v/>
      </c>
      <c r="G123">
        <f>G118+H$3*$B123+H$4*$B118+H$5*$B113</f>
        <v/>
      </c>
      <c r="H123">
        <f>H113+I$3*$B123+I$4*$B113+I$5*$B103</f>
        <v/>
      </c>
      <c r="L123" t="n">
        <v>1</v>
      </c>
      <c r="M123">
        <f>IF(MOD($A123,D$2)=0,OFFSET(M123,-D$2,0)+ D$3* $B123+D$4*OFFSET($B123,-D$2,0)+ D$5*OFFSET($B123,-2* D$2,0), M122)</f>
        <v/>
      </c>
      <c r="N123">
        <f>IF(MOD($A123,E$2)=0,OFFSET(N123,-E$2,0)+ E$3* $B123+E$4*OFFSET($B123,-E$2,0)+ E$5*OFFSET($B123,-2* E$2,0), N122)</f>
        <v/>
      </c>
      <c r="O123">
        <f>IF(MOD($A123,F$2)=0,OFFSET(O123,-F$2,0)+ F$3* $B123+F$4*OFFSET($B123,-F$2,0)+ F$5*OFFSET($B123,-2* F$2,0), O122)</f>
        <v/>
      </c>
      <c r="P123">
        <f>IF(MOD($A123,G$2)=0,OFFSET(P123,-G$2,0)+ G$3* $B123+G$4*OFFSET($B123,-G$2,0)+ G$5*OFFSET($B123,-2* G$2,0), P122)</f>
        <v/>
      </c>
      <c r="Q123">
        <f>IF(MOD($A123,H$2)=0,OFFSET(Q123,-H$2,0)+ H$3* $B123+H$4*OFFSET($B123,-H$2,0)+ H$5*OFFSET($B123,-2* H$2,0), Q122)</f>
        <v/>
      </c>
      <c r="R123">
        <f>IF(MOD($A123,I$2)=0,OFFSET(R123,-I$2,0)+ I$3* $B123+I$4*OFFSET($B123,-I$2,0)+ I$5*OFFSET($B123,-2* I$2,0), R122)</f>
        <v/>
      </c>
    </row>
    <row r="124">
      <c r="A124" t="n">
        <v>115</v>
      </c>
      <c r="B124" t="n">
        <v>1</v>
      </c>
      <c r="C124">
        <f>C123+D$3*$B124+D$4*$B123+D$5*$B122</f>
        <v/>
      </c>
      <c r="D124">
        <f>D119+E$3*$B124+E$4*$B119+E$5*$B114</f>
        <v/>
      </c>
      <c r="E124">
        <f>E114+F$3*$B124+F$4*$B114+F$5*$B104</f>
        <v/>
      </c>
      <c r="F124">
        <f>F123+G$3*$B124+G$4*$B123+G$5*$B122</f>
        <v/>
      </c>
      <c r="G124">
        <f>G119+H$3*$B124+H$4*$B119+H$5*$B114</f>
        <v/>
      </c>
      <c r="H124">
        <f>H114+I$3*$B124+I$4*$B114+I$5*$B104</f>
        <v/>
      </c>
      <c r="L124" t="n">
        <v>1</v>
      </c>
      <c r="M124">
        <f>IF(MOD($A124,D$2)=0,OFFSET(M124,-D$2,0)+ D$3* $B124+D$4*OFFSET($B124,-D$2,0)+ D$5*OFFSET($B124,-2* D$2,0), M123)</f>
        <v/>
      </c>
      <c r="N124">
        <f>IF(MOD($A124,E$2)=0,OFFSET(N124,-E$2,0)+ E$3* $B124+E$4*OFFSET($B124,-E$2,0)+ E$5*OFFSET($B124,-2* E$2,0), N123)</f>
        <v/>
      </c>
      <c r="O124">
        <f>IF(MOD($A124,F$2)=0,OFFSET(O124,-F$2,0)+ F$3* $B124+F$4*OFFSET($B124,-F$2,0)+ F$5*OFFSET($B124,-2* F$2,0), O123)</f>
        <v/>
      </c>
      <c r="P124">
        <f>IF(MOD($A124,G$2)=0,OFFSET(P124,-G$2,0)+ G$3* $B124+G$4*OFFSET($B124,-G$2,0)+ G$5*OFFSET($B124,-2* G$2,0), P123)</f>
        <v/>
      </c>
      <c r="Q124">
        <f>IF(MOD($A124,H$2)=0,OFFSET(Q124,-H$2,0)+ H$3* $B124+H$4*OFFSET($B124,-H$2,0)+ H$5*OFFSET($B124,-2* H$2,0), Q123)</f>
        <v/>
      </c>
      <c r="R124">
        <f>IF(MOD($A124,I$2)=0,OFFSET(R124,-I$2,0)+ I$3* $B124+I$4*OFFSET($B124,-I$2,0)+ I$5*OFFSET($B124,-2* I$2,0), R123)</f>
        <v/>
      </c>
    </row>
    <row r="125">
      <c r="A125" t="n">
        <v>116</v>
      </c>
      <c r="B125" t="n">
        <v>1</v>
      </c>
      <c r="C125">
        <f>C124+D$3*$B125+D$4*$B124+D$5*$B123</f>
        <v/>
      </c>
      <c r="D125">
        <f>D120+E$3*$B125+E$4*$B120+E$5*$B115</f>
        <v/>
      </c>
      <c r="E125">
        <f>E115+F$3*$B125+F$4*$B115+F$5*$B105</f>
        <v/>
      </c>
      <c r="F125">
        <f>F124+G$3*$B125+G$4*$B124+G$5*$B123</f>
        <v/>
      </c>
      <c r="G125">
        <f>G120+H$3*$B125+H$4*$B120+H$5*$B115</f>
        <v/>
      </c>
      <c r="H125">
        <f>H115+I$3*$B125+I$4*$B115+I$5*$B105</f>
        <v/>
      </c>
      <c r="L125" t="n">
        <v>1</v>
      </c>
      <c r="M125">
        <f>IF(MOD($A125,D$2)=0,OFFSET(M125,-D$2,0)+ D$3* $B125+D$4*OFFSET($B125,-D$2,0)+ D$5*OFFSET($B125,-2* D$2,0), M124)</f>
        <v/>
      </c>
      <c r="N125">
        <f>IF(MOD($A125,E$2)=0,OFFSET(N125,-E$2,0)+ E$3* $B125+E$4*OFFSET($B125,-E$2,0)+ E$5*OFFSET($B125,-2* E$2,0), N124)</f>
        <v/>
      </c>
      <c r="O125">
        <f>IF(MOD($A125,F$2)=0,OFFSET(O125,-F$2,0)+ F$3* $B125+F$4*OFFSET($B125,-F$2,0)+ F$5*OFFSET($B125,-2* F$2,0), O124)</f>
        <v/>
      </c>
      <c r="P125">
        <f>IF(MOD($A125,G$2)=0,OFFSET(P125,-G$2,0)+ G$3* $B125+G$4*OFFSET($B125,-G$2,0)+ G$5*OFFSET($B125,-2* G$2,0), P124)</f>
        <v/>
      </c>
      <c r="Q125">
        <f>IF(MOD($A125,H$2)=0,OFFSET(Q125,-H$2,0)+ H$3* $B125+H$4*OFFSET($B125,-H$2,0)+ H$5*OFFSET($B125,-2* H$2,0), Q124)</f>
        <v/>
      </c>
      <c r="R125">
        <f>IF(MOD($A125,I$2)=0,OFFSET(R125,-I$2,0)+ I$3* $B125+I$4*OFFSET($B125,-I$2,0)+ I$5*OFFSET($B125,-2* I$2,0), R124)</f>
        <v/>
      </c>
    </row>
    <row r="126">
      <c r="A126" t="n">
        <v>117</v>
      </c>
      <c r="B126" t="n">
        <v>1</v>
      </c>
      <c r="C126">
        <f>C125+D$3*$B126+D$4*$B125+D$5*$B124</f>
        <v/>
      </c>
      <c r="D126">
        <f>D121+E$3*$B126+E$4*$B121+E$5*$B116</f>
        <v/>
      </c>
      <c r="E126">
        <f>E116+F$3*$B126+F$4*$B116+F$5*$B106</f>
        <v/>
      </c>
      <c r="F126">
        <f>F125+G$3*$B126+G$4*$B125+G$5*$B124</f>
        <v/>
      </c>
      <c r="G126">
        <f>G121+H$3*$B126+H$4*$B121+H$5*$B116</f>
        <v/>
      </c>
      <c r="H126">
        <f>H116+I$3*$B126+I$4*$B116+I$5*$B106</f>
        <v/>
      </c>
      <c r="L126" t="n">
        <v>1</v>
      </c>
      <c r="M126">
        <f>IF(MOD($A126,D$2)=0,OFFSET(M126,-D$2,0)+ D$3* $B126+D$4*OFFSET($B126,-D$2,0)+ D$5*OFFSET($B126,-2* D$2,0), M125)</f>
        <v/>
      </c>
      <c r="N126">
        <f>IF(MOD($A126,E$2)=0,OFFSET(N126,-E$2,0)+ E$3* $B126+E$4*OFFSET($B126,-E$2,0)+ E$5*OFFSET($B126,-2* E$2,0), N125)</f>
        <v/>
      </c>
      <c r="O126">
        <f>IF(MOD($A126,F$2)=0,OFFSET(O126,-F$2,0)+ F$3* $B126+F$4*OFFSET($B126,-F$2,0)+ F$5*OFFSET($B126,-2* F$2,0), O125)</f>
        <v/>
      </c>
      <c r="P126">
        <f>IF(MOD($A126,G$2)=0,OFFSET(P126,-G$2,0)+ G$3* $B126+G$4*OFFSET($B126,-G$2,0)+ G$5*OFFSET($B126,-2* G$2,0), P125)</f>
        <v/>
      </c>
      <c r="Q126">
        <f>IF(MOD($A126,H$2)=0,OFFSET(Q126,-H$2,0)+ H$3* $B126+H$4*OFFSET($B126,-H$2,0)+ H$5*OFFSET($B126,-2* H$2,0), Q125)</f>
        <v/>
      </c>
      <c r="R126">
        <f>IF(MOD($A126,I$2)=0,OFFSET(R126,-I$2,0)+ I$3* $B126+I$4*OFFSET($B126,-I$2,0)+ I$5*OFFSET($B126,-2* I$2,0), R125)</f>
        <v/>
      </c>
    </row>
    <row r="127">
      <c r="A127" t="n">
        <v>118</v>
      </c>
      <c r="B127" t="n">
        <v>1</v>
      </c>
      <c r="C127">
        <f>C126+D$3*$B127+D$4*$B126+D$5*$B125</f>
        <v/>
      </c>
      <c r="D127">
        <f>D122+E$3*$B127+E$4*$B122+E$5*$B117</f>
        <v/>
      </c>
      <c r="E127">
        <f>E117+F$3*$B127+F$4*$B117+F$5*$B107</f>
        <v/>
      </c>
      <c r="F127">
        <f>F126+G$3*$B127+G$4*$B126+G$5*$B125</f>
        <v/>
      </c>
      <c r="G127">
        <f>G122+H$3*$B127+H$4*$B122+H$5*$B117</f>
        <v/>
      </c>
      <c r="H127">
        <f>H117+I$3*$B127+I$4*$B117+I$5*$B107</f>
        <v/>
      </c>
      <c r="L127" t="n">
        <v>1</v>
      </c>
      <c r="M127">
        <f>IF(MOD($A127,D$2)=0,OFFSET(M127,-D$2,0)+ D$3* $B127+D$4*OFFSET($B127,-D$2,0)+ D$5*OFFSET($B127,-2* D$2,0), M126)</f>
        <v/>
      </c>
      <c r="N127">
        <f>IF(MOD($A127,E$2)=0,OFFSET(N127,-E$2,0)+ E$3* $B127+E$4*OFFSET($B127,-E$2,0)+ E$5*OFFSET($B127,-2* E$2,0), N126)</f>
        <v/>
      </c>
      <c r="O127">
        <f>IF(MOD($A127,F$2)=0,OFFSET(O127,-F$2,0)+ F$3* $B127+F$4*OFFSET($B127,-F$2,0)+ F$5*OFFSET($B127,-2* F$2,0), O126)</f>
        <v/>
      </c>
      <c r="P127">
        <f>IF(MOD($A127,G$2)=0,OFFSET(P127,-G$2,0)+ G$3* $B127+G$4*OFFSET($B127,-G$2,0)+ G$5*OFFSET($B127,-2* G$2,0), P126)</f>
        <v/>
      </c>
      <c r="Q127">
        <f>IF(MOD($A127,H$2)=0,OFFSET(Q127,-H$2,0)+ H$3* $B127+H$4*OFFSET($B127,-H$2,0)+ H$5*OFFSET($B127,-2* H$2,0), Q126)</f>
        <v/>
      </c>
      <c r="R127">
        <f>IF(MOD($A127,I$2)=0,OFFSET(R127,-I$2,0)+ I$3* $B127+I$4*OFFSET($B127,-I$2,0)+ I$5*OFFSET($B127,-2* I$2,0), R126)</f>
        <v/>
      </c>
    </row>
    <row r="128">
      <c r="A128" t="n">
        <v>119</v>
      </c>
      <c r="B128" t="n">
        <v>1</v>
      </c>
      <c r="C128">
        <f>C127+D$3*$B128+D$4*$B127+D$5*$B126</f>
        <v/>
      </c>
      <c r="D128">
        <f>D123+E$3*$B128+E$4*$B123+E$5*$B118</f>
        <v/>
      </c>
      <c r="E128">
        <f>E118+F$3*$B128+F$4*$B118+F$5*$B108</f>
        <v/>
      </c>
      <c r="F128">
        <f>F127+G$3*$B128+G$4*$B127+G$5*$B126</f>
        <v/>
      </c>
      <c r="G128">
        <f>G123+H$3*$B128+H$4*$B123+H$5*$B118</f>
        <v/>
      </c>
      <c r="H128">
        <f>H118+I$3*$B128+I$4*$B118+I$5*$B108</f>
        <v/>
      </c>
      <c r="L128" t="n">
        <v>1</v>
      </c>
      <c r="M128">
        <f>IF(MOD($A128,D$2)=0,OFFSET(M128,-D$2,0)+ D$3* $B128+D$4*OFFSET($B128,-D$2,0)+ D$5*OFFSET($B128,-2* D$2,0), M127)</f>
        <v/>
      </c>
      <c r="N128">
        <f>IF(MOD($A128,E$2)=0,OFFSET(N128,-E$2,0)+ E$3* $B128+E$4*OFFSET($B128,-E$2,0)+ E$5*OFFSET($B128,-2* E$2,0), N127)</f>
        <v/>
      </c>
      <c r="O128">
        <f>IF(MOD($A128,F$2)=0,OFFSET(O128,-F$2,0)+ F$3* $B128+F$4*OFFSET($B128,-F$2,0)+ F$5*OFFSET($B128,-2* F$2,0), O127)</f>
        <v/>
      </c>
      <c r="P128">
        <f>IF(MOD($A128,G$2)=0,OFFSET(P128,-G$2,0)+ G$3* $B128+G$4*OFFSET($B128,-G$2,0)+ G$5*OFFSET($B128,-2* G$2,0), P127)</f>
        <v/>
      </c>
      <c r="Q128">
        <f>IF(MOD($A128,H$2)=0,OFFSET(Q128,-H$2,0)+ H$3* $B128+H$4*OFFSET($B128,-H$2,0)+ H$5*OFFSET($B128,-2* H$2,0), Q127)</f>
        <v/>
      </c>
      <c r="R128">
        <f>IF(MOD($A128,I$2)=0,OFFSET(R128,-I$2,0)+ I$3* $B128+I$4*OFFSET($B128,-I$2,0)+ I$5*OFFSET($B128,-2* I$2,0), R127)</f>
        <v/>
      </c>
    </row>
    <row r="129">
      <c r="A129" t="n">
        <v>120</v>
      </c>
      <c r="B129" t="n">
        <v>1</v>
      </c>
      <c r="C129">
        <f>C128+D$3*$B129+D$4*$B128+D$5*$B127</f>
        <v/>
      </c>
      <c r="D129">
        <f>D124+E$3*$B129+E$4*$B124+E$5*$B119</f>
        <v/>
      </c>
      <c r="E129">
        <f>E119+F$3*$B129+F$4*$B119+F$5*$B109</f>
        <v/>
      </c>
      <c r="F129">
        <f>F128+G$3*$B129+G$4*$B128+G$5*$B127</f>
        <v/>
      </c>
      <c r="G129">
        <f>G124+H$3*$B129+H$4*$B124+H$5*$B119</f>
        <v/>
      </c>
      <c r="H129">
        <f>H119+I$3*$B129+I$4*$B119+I$5*$B109</f>
        <v/>
      </c>
      <c r="L129" t="n">
        <v>1</v>
      </c>
      <c r="M129">
        <f>IF(MOD($A129,D$2)=0,OFFSET(M129,-D$2,0)+ D$3* $B129+D$4*OFFSET($B129,-D$2,0)+ D$5*OFFSET($B129,-2* D$2,0), M128)</f>
        <v/>
      </c>
      <c r="N129">
        <f>IF(MOD($A129,E$2)=0,OFFSET(N129,-E$2,0)+ E$3* $B129+E$4*OFFSET($B129,-E$2,0)+ E$5*OFFSET($B129,-2* E$2,0), N128)</f>
        <v/>
      </c>
      <c r="O129">
        <f>IF(MOD($A129,F$2)=0,OFFSET(O129,-F$2,0)+ F$3* $B129+F$4*OFFSET($B129,-F$2,0)+ F$5*OFFSET($B129,-2* F$2,0), O128)</f>
        <v/>
      </c>
      <c r="P129">
        <f>IF(MOD($A129,G$2)=0,OFFSET(P129,-G$2,0)+ G$3* $B129+G$4*OFFSET($B129,-G$2,0)+ G$5*OFFSET($B129,-2* G$2,0), P128)</f>
        <v/>
      </c>
      <c r="Q129">
        <f>IF(MOD($A129,H$2)=0,OFFSET(Q129,-H$2,0)+ H$3* $B129+H$4*OFFSET($B129,-H$2,0)+ H$5*OFFSET($B129,-2* H$2,0), Q128)</f>
        <v/>
      </c>
      <c r="R129">
        <f>IF(MOD($A129,I$2)=0,OFFSET(R129,-I$2,0)+ I$3* $B129+I$4*OFFSET($B129,-I$2,0)+ I$5*OFFSET($B129,-2* I$2,0), R128)</f>
        <v/>
      </c>
    </row>
    <row r="130">
      <c r="A130" t="n">
        <v>121</v>
      </c>
      <c r="B130" t="n">
        <v>1</v>
      </c>
      <c r="C130">
        <f>C129+D$3*$B130+D$4*$B129+D$5*$B128</f>
        <v/>
      </c>
      <c r="D130">
        <f>D125+E$3*$B130+E$4*$B125+E$5*$B120</f>
        <v/>
      </c>
      <c r="E130">
        <f>E120+F$3*$B130+F$4*$B120+F$5*$B110</f>
        <v/>
      </c>
      <c r="F130">
        <f>F129+G$3*$B130+G$4*$B129+G$5*$B128</f>
        <v/>
      </c>
      <c r="G130">
        <f>G125+H$3*$B130+H$4*$B125+H$5*$B120</f>
        <v/>
      </c>
      <c r="H130">
        <f>H120+I$3*$B130+I$4*$B120+I$5*$B110</f>
        <v/>
      </c>
      <c r="L130" t="n">
        <v>1</v>
      </c>
      <c r="M130">
        <f>IF(MOD($A130,D$2)=0,OFFSET(M130,-D$2,0)+ D$3* $B130+D$4*OFFSET($B130,-D$2,0)+ D$5*OFFSET($B130,-2* D$2,0), M129)</f>
        <v/>
      </c>
      <c r="N130">
        <f>IF(MOD($A130,E$2)=0,OFFSET(N130,-E$2,0)+ E$3* $B130+E$4*OFFSET($B130,-E$2,0)+ E$5*OFFSET($B130,-2* E$2,0), N129)</f>
        <v/>
      </c>
      <c r="O130">
        <f>IF(MOD($A130,F$2)=0,OFFSET(O130,-F$2,0)+ F$3* $B130+F$4*OFFSET($B130,-F$2,0)+ F$5*OFFSET($B130,-2* F$2,0), O129)</f>
        <v/>
      </c>
      <c r="P130">
        <f>IF(MOD($A130,G$2)=0,OFFSET(P130,-G$2,0)+ G$3* $B130+G$4*OFFSET($B130,-G$2,0)+ G$5*OFFSET($B130,-2* G$2,0), P129)</f>
        <v/>
      </c>
      <c r="Q130">
        <f>IF(MOD($A130,H$2)=0,OFFSET(Q130,-H$2,0)+ H$3* $B130+H$4*OFFSET($B130,-H$2,0)+ H$5*OFFSET($B130,-2* H$2,0), Q129)</f>
        <v/>
      </c>
      <c r="R130">
        <f>IF(MOD($A130,I$2)=0,OFFSET(R130,-I$2,0)+ I$3* $B130+I$4*OFFSET($B130,-I$2,0)+ I$5*OFFSET($B130,-2* I$2,0), R129)</f>
        <v/>
      </c>
    </row>
    <row r="131">
      <c r="A131" t="n">
        <v>122</v>
      </c>
      <c r="B131" t="n">
        <v>1</v>
      </c>
      <c r="C131">
        <f>C130+D$3*$B131+D$4*$B130+D$5*$B129</f>
        <v/>
      </c>
      <c r="D131">
        <f>D126+E$3*$B131+E$4*$B126+E$5*$B121</f>
        <v/>
      </c>
      <c r="E131">
        <f>E121+F$3*$B131+F$4*$B121+F$5*$B111</f>
        <v/>
      </c>
      <c r="F131">
        <f>F130+G$3*$B131+G$4*$B130+G$5*$B129</f>
        <v/>
      </c>
      <c r="G131">
        <f>G126+H$3*$B131+H$4*$B126+H$5*$B121</f>
        <v/>
      </c>
      <c r="H131">
        <f>H121+I$3*$B131+I$4*$B121+I$5*$B111</f>
        <v/>
      </c>
      <c r="L131" t="n">
        <v>1</v>
      </c>
      <c r="M131">
        <f>IF(MOD($A131,D$2)=0,OFFSET(M131,-D$2,0)+ D$3* $B131+D$4*OFFSET($B131,-D$2,0)+ D$5*OFFSET($B131,-2* D$2,0), M130)</f>
        <v/>
      </c>
      <c r="N131">
        <f>IF(MOD($A131,E$2)=0,OFFSET(N131,-E$2,0)+ E$3* $B131+E$4*OFFSET($B131,-E$2,0)+ E$5*OFFSET($B131,-2* E$2,0), N130)</f>
        <v/>
      </c>
      <c r="O131">
        <f>IF(MOD($A131,F$2)=0,OFFSET(O131,-F$2,0)+ F$3* $B131+F$4*OFFSET($B131,-F$2,0)+ F$5*OFFSET($B131,-2* F$2,0), O130)</f>
        <v/>
      </c>
      <c r="P131">
        <f>IF(MOD($A131,G$2)=0,OFFSET(P131,-G$2,0)+ G$3* $B131+G$4*OFFSET($B131,-G$2,0)+ G$5*OFFSET($B131,-2* G$2,0), P130)</f>
        <v/>
      </c>
      <c r="Q131">
        <f>IF(MOD($A131,H$2)=0,OFFSET(Q131,-H$2,0)+ H$3* $B131+H$4*OFFSET($B131,-H$2,0)+ H$5*OFFSET($B131,-2* H$2,0), Q130)</f>
        <v/>
      </c>
      <c r="R131">
        <f>IF(MOD($A131,I$2)=0,OFFSET(R131,-I$2,0)+ I$3* $B131+I$4*OFFSET($B131,-I$2,0)+ I$5*OFFSET($B131,-2* I$2,0), R130)</f>
        <v/>
      </c>
    </row>
    <row r="132">
      <c r="A132" t="n">
        <v>123</v>
      </c>
      <c r="B132" t="n">
        <v>1</v>
      </c>
      <c r="C132">
        <f>C131+D$3*$B132+D$4*$B131+D$5*$B130</f>
        <v/>
      </c>
      <c r="D132">
        <f>D127+E$3*$B132+E$4*$B127+E$5*$B122</f>
        <v/>
      </c>
      <c r="E132">
        <f>E122+F$3*$B132+F$4*$B122+F$5*$B112</f>
        <v/>
      </c>
      <c r="F132">
        <f>F131+G$3*$B132+G$4*$B131+G$5*$B130</f>
        <v/>
      </c>
      <c r="G132">
        <f>G127+H$3*$B132+H$4*$B127+H$5*$B122</f>
        <v/>
      </c>
      <c r="H132">
        <f>H122+I$3*$B132+I$4*$B122+I$5*$B112</f>
        <v/>
      </c>
      <c r="L132" t="n">
        <v>1</v>
      </c>
      <c r="M132">
        <f>IF(MOD($A132,D$2)=0,OFFSET(M132,-D$2,0)+ D$3* $B132+D$4*OFFSET($B132,-D$2,0)+ D$5*OFFSET($B132,-2* D$2,0), M131)</f>
        <v/>
      </c>
      <c r="N132">
        <f>IF(MOD($A132,E$2)=0,OFFSET(N132,-E$2,0)+ E$3* $B132+E$4*OFFSET($B132,-E$2,0)+ E$5*OFFSET($B132,-2* E$2,0), N131)</f>
        <v/>
      </c>
      <c r="O132">
        <f>IF(MOD($A132,F$2)=0,OFFSET(O132,-F$2,0)+ F$3* $B132+F$4*OFFSET($B132,-F$2,0)+ F$5*OFFSET($B132,-2* F$2,0), O131)</f>
        <v/>
      </c>
      <c r="P132">
        <f>IF(MOD($A132,G$2)=0,OFFSET(P132,-G$2,0)+ G$3* $B132+G$4*OFFSET($B132,-G$2,0)+ G$5*OFFSET($B132,-2* G$2,0), P131)</f>
        <v/>
      </c>
      <c r="Q132">
        <f>IF(MOD($A132,H$2)=0,OFFSET(Q132,-H$2,0)+ H$3* $B132+H$4*OFFSET($B132,-H$2,0)+ H$5*OFFSET($B132,-2* H$2,0), Q131)</f>
        <v/>
      </c>
      <c r="R132">
        <f>IF(MOD($A132,I$2)=0,OFFSET(R132,-I$2,0)+ I$3* $B132+I$4*OFFSET($B132,-I$2,0)+ I$5*OFFSET($B132,-2* I$2,0), R131)</f>
        <v/>
      </c>
    </row>
    <row r="133">
      <c r="A133" t="n">
        <v>124</v>
      </c>
      <c r="B133" t="n">
        <v>1</v>
      </c>
      <c r="C133">
        <f>C132+D$3*$B133+D$4*$B132+D$5*$B131</f>
        <v/>
      </c>
      <c r="D133">
        <f>D128+E$3*$B133+E$4*$B128+E$5*$B123</f>
        <v/>
      </c>
      <c r="E133">
        <f>E123+F$3*$B133+F$4*$B123+F$5*$B113</f>
        <v/>
      </c>
      <c r="F133">
        <f>F132+G$3*$B133+G$4*$B132+G$5*$B131</f>
        <v/>
      </c>
      <c r="G133">
        <f>G128+H$3*$B133+H$4*$B128+H$5*$B123</f>
        <v/>
      </c>
      <c r="H133">
        <f>H123+I$3*$B133+I$4*$B123+I$5*$B113</f>
        <v/>
      </c>
      <c r="L133" t="n">
        <v>1</v>
      </c>
      <c r="M133">
        <f>IF(MOD($A133,D$2)=0,OFFSET(M133,-D$2,0)+ D$3* $B133+D$4*OFFSET($B133,-D$2,0)+ D$5*OFFSET($B133,-2* D$2,0), M132)</f>
        <v/>
      </c>
      <c r="N133">
        <f>IF(MOD($A133,E$2)=0,OFFSET(N133,-E$2,0)+ E$3* $B133+E$4*OFFSET($B133,-E$2,0)+ E$5*OFFSET($B133,-2* E$2,0), N132)</f>
        <v/>
      </c>
      <c r="O133">
        <f>IF(MOD($A133,F$2)=0,OFFSET(O133,-F$2,0)+ F$3* $B133+F$4*OFFSET($B133,-F$2,0)+ F$5*OFFSET($B133,-2* F$2,0), O132)</f>
        <v/>
      </c>
      <c r="P133">
        <f>IF(MOD($A133,G$2)=0,OFFSET(P133,-G$2,0)+ G$3* $B133+G$4*OFFSET($B133,-G$2,0)+ G$5*OFFSET($B133,-2* G$2,0), P132)</f>
        <v/>
      </c>
      <c r="Q133">
        <f>IF(MOD($A133,H$2)=0,OFFSET(Q133,-H$2,0)+ H$3* $B133+H$4*OFFSET($B133,-H$2,0)+ H$5*OFFSET($B133,-2* H$2,0), Q132)</f>
        <v/>
      </c>
      <c r="R133">
        <f>IF(MOD($A133,I$2)=0,OFFSET(R133,-I$2,0)+ I$3* $B133+I$4*OFFSET($B133,-I$2,0)+ I$5*OFFSET($B133,-2* I$2,0), R132)</f>
        <v/>
      </c>
    </row>
    <row r="134">
      <c r="A134" t="n">
        <v>125</v>
      </c>
      <c r="B134" t="n">
        <v>1</v>
      </c>
      <c r="C134">
        <f>C133+D$3*$B134+D$4*$B133+D$5*$B132</f>
        <v/>
      </c>
      <c r="D134">
        <f>D129+E$3*$B134+E$4*$B129+E$5*$B124</f>
        <v/>
      </c>
      <c r="E134">
        <f>E124+F$3*$B134+F$4*$B124+F$5*$B114</f>
        <v/>
      </c>
      <c r="F134">
        <f>F133+G$3*$B134+G$4*$B133+G$5*$B132</f>
        <v/>
      </c>
      <c r="G134">
        <f>G129+H$3*$B134+H$4*$B129+H$5*$B124</f>
        <v/>
      </c>
      <c r="H134">
        <f>H124+I$3*$B134+I$4*$B124+I$5*$B114</f>
        <v/>
      </c>
      <c r="L134" t="n">
        <v>1</v>
      </c>
      <c r="M134">
        <f>IF(MOD($A134,D$2)=0,OFFSET(M134,-D$2,0)+ D$3* $B134+D$4*OFFSET($B134,-D$2,0)+ D$5*OFFSET($B134,-2* D$2,0), M133)</f>
        <v/>
      </c>
      <c r="N134">
        <f>IF(MOD($A134,E$2)=0,OFFSET(N134,-E$2,0)+ E$3* $B134+E$4*OFFSET($B134,-E$2,0)+ E$5*OFFSET($B134,-2* E$2,0), N133)</f>
        <v/>
      </c>
      <c r="O134">
        <f>IF(MOD($A134,F$2)=0,OFFSET(O134,-F$2,0)+ F$3* $B134+F$4*OFFSET($B134,-F$2,0)+ F$5*OFFSET($B134,-2* F$2,0), O133)</f>
        <v/>
      </c>
      <c r="P134">
        <f>IF(MOD($A134,G$2)=0,OFFSET(P134,-G$2,0)+ G$3* $B134+G$4*OFFSET($B134,-G$2,0)+ G$5*OFFSET($B134,-2* G$2,0), P133)</f>
        <v/>
      </c>
      <c r="Q134">
        <f>IF(MOD($A134,H$2)=0,OFFSET(Q134,-H$2,0)+ H$3* $B134+H$4*OFFSET($B134,-H$2,0)+ H$5*OFFSET($B134,-2* H$2,0), Q133)</f>
        <v/>
      </c>
      <c r="R134">
        <f>IF(MOD($A134,I$2)=0,OFFSET(R134,-I$2,0)+ I$3* $B134+I$4*OFFSET($B134,-I$2,0)+ I$5*OFFSET($B134,-2* I$2,0), R133)</f>
        <v/>
      </c>
    </row>
    <row r="135">
      <c r="A135" t="n">
        <v>126</v>
      </c>
      <c r="B135" t="n">
        <v>1</v>
      </c>
      <c r="C135">
        <f>C134+D$3*$B135+D$4*$B134+D$5*$B133</f>
        <v/>
      </c>
      <c r="D135">
        <f>D130+E$3*$B135+E$4*$B130+E$5*$B125</f>
        <v/>
      </c>
      <c r="E135">
        <f>E125+F$3*$B135+F$4*$B125+F$5*$B115</f>
        <v/>
      </c>
      <c r="F135">
        <f>F134+G$3*$B135+G$4*$B134+G$5*$B133</f>
        <v/>
      </c>
      <c r="G135">
        <f>G130+H$3*$B135+H$4*$B130+H$5*$B125</f>
        <v/>
      </c>
      <c r="H135">
        <f>H125+I$3*$B135+I$4*$B125+I$5*$B115</f>
        <v/>
      </c>
      <c r="L135" t="n">
        <v>1</v>
      </c>
      <c r="M135">
        <f>IF(MOD($A135,D$2)=0,OFFSET(M135,-D$2,0)+ D$3* $B135+D$4*OFFSET($B135,-D$2,0)+ D$5*OFFSET($B135,-2* D$2,0), M134)</f>
        <v/>
      </c>
      <c r="N135">
        <f>IF(MOD($A135,E$2)=0,OFFSET(N135,-E$2,0)+ E$3* $B135+E$4*OFFSET($B135,-E$2,0)+ E$5*OFFSET($B135,-2* E$2,0), N134)</f>
        <v/>
      </c>
      <c r="O135">
        <f>IF(MOD($A135,F$2)=0,OFFSET(O135,-F$2,0)+ F$3* $B135+F$4*OFFSET($B135,-F$2,0)+ F$5*OFFSET($B135,-2* F$2,0), O134)</f>
        <v/>
      </c>
      <c r="P135">
        <f>IF(MOD($A135,G$2)=0,OFFSET(P135,-G$2,0)+ G$3* $B135+G$4*OFFSET($B135,-G$2,0)+ G$5*OFFSET($B135,-2* G$2,0), P134)</f>
        <v/>
      </c>
      <c r="Q135">
        <f>IF(MOD($A135,H$2)=0,OFFSET(Q135,-H$2,0)+ H$3* $B135+H$4*OFFSET($B135,-H$2,0)+ H$5*OFFSET($B135,-2* H$2,0), Q134)</f>
        <v/>
      </c>
      <c r="R135">
        <f>IF(MOD($A135,I$2)=0,OFFSET(R135,-I$2,0)+ I$3* $B135+I$4*OFFSET($B135,-I$2,0)+ I$5*OFFSET($B135,-2* I$2,0), R134)</f>
        <v/>
      </c>
    </row>
    <row r="136">
      <c r="A136" t="n">
        <v>127</v>
      </c>
      <c r="B136" t="n">
        <v>1</v>
      </c>
      <c r="C136">
        <f>C135+D$3*$B136+D$4*$B135+D$5*$B134</f>
        <v/>
      </c>
      <c r="D136">
        <f>D131+E$3*$B136+E$4*$B131+E$5*$B126</f>
        <v/>
      </c>
      <c r="E136">
        <f>E126+F$3*$B136+F$4*$B126+F$5*$B116</f>
        <v/>
      </c>
      <c r="F136">
        <f>F135+G$3*$B136+G$4*$B135+G$5*$B134</f>
        <v/>
      </c>
      <c r="G136">
        <f>G131+H$3*$B136+H$4*$B131+H$5*$B126</f>
        <v/>
      </c>
      <c r="H136">
        <f>H126+I$3*$B136+I$4*$B126+I$5*$B116</f>
        <v/>
      </c>
      <c r="L136" t="n">
        <v>1</v>
      </c>
      <c r="M136">
        <f>IF(MOD($A136,D$2)=0,OFFSET(M136,-D$2,0)+ D$3* $B136+D$4*OFFSET($B136,-D$2,0)+ D$5*OFFSET($B136,-2* D$2,0), M135)</f>
        <v/>
      </c>
      <c r="N136">
        <f>IF(MOD($A136,E$2)=0,OFFSET(N136,-E$2,0)+ E$3* $B136+E$4*OFFSET($B136,-E$2,0)+ E$5*OFFSET($B136,-2* E$2,0), N135)</f>
        <v/>
      </c>
      <c r="O136">
        <f>IF(MOD($A136,F$2)=0,OFFSET(O136,-F$2,0)+ F$3* $B136+F$4*OFFSET($B136,-F$2,0)+ F$5*OFFSET($B136,-2* F$2,0), O135)</f>
        <v/>
      </c>
      <c r="P136">
        <f>IF(MOD($A136,G$2)=0,OFFSET(P136,-G$2,0)+ G$3* $B136+G$4*OFFSET($B136,-G$2,0)+ G$5*OFFSET($B136,-2* G$2,0), P135)</f>
        <v/>
      </c>
      <c r="Q136">
        <f>IF(MOD($A136,H$2)=0,OFFSET(Q136,-H$2,0)+ H$3* $B136+H$4*OFFSET($B136,-H$2,0)+ H$5*OFFSET($B136,-2* H$2,0), Q135)</f>
        <v/>
      </c>
      <c r="R136">
        <f>IF(MOD($A136,I$2)=0,OFFSET(R136,-I$2,0)+ I$3* $B136+I$4*OFFSET($B136,-I$2,0)+ I$5*OFFSET($B136,-2* I$2,0), R135)</f>
        <v/>
      </c>
    </row>
    <row r="137">
      <c r="A137" t="n">
        <v>128</v>
      </c>
      <c r="B137" t="n">
        <v>1</v>
      </c>
      <c r="C137">
        <f>C136+D$3*$B137+D$4*$B136+D$5*$B135</f>
        <v/>
      </c>
      <c r="D137">
        <f>D132+E$3*$B137+E$4*$B132+E$5*$B127</f>
        <v/>
      </c>
      <c r="E137">
        <f>E127+F$3*$B137+F$4*$B127+F$5*$B117</f>
        <v/>
      </c>
      <c r="F137">
        <f>F136+G$3*$B137+G$4*$B136+G$5*$B135</f>
        <v/>
      </c>
      <c r="G137">
        <f>G132+H$3*$B137+H$4*$B132+H$5*$B127</f>
        <v/>
      </c>
      <c r="H137">
        <f>H127+I$3*$B137+I$4*$B127+I$5*$B117</f>
        <v/>
      </c>
      <c r="L137" t="n">
        <v>1</v>
      </c>
      <c r="M137">
        <f>IF(MOD($A137,D$2)=0,OFFSET(M137,-D$2,0)+ D$3* $B137+D$4*OFFSET($B137,-D$2,0)+ D$5*OFFSET($B137,-2* D$2,0), M136)</f>
        <v/>
      </c>
      <c r="N137">
        <f>IF(MOD($A137,E$2)=0,OFFSET(N137,-E$2,0)+ E$3* $B137+E$4*OFFSET($B137,-E$2,0)+ E$5*OFFSET($B137,-2* E$2,0), N136)</f>
        <v/>
      </c>
      <c r="O137">
        <f>IF(MOD($A137,F$2)=0,OFFSET(O137,-F$2,0)+ F$3* $B137+F$4*OFFSET($B137,-F$2,0)+ F$5*OFFSET($B137,-2* F$2,0), O136)</f>
        <v/>
      </c>
      <c r="P137">
        <f>IF(MOD($A137,G$2)=0,OFFSET(P137,-G$2,0)+ G$3* $B137+G$4*OFFSET($B137,-G$2,0)+ G$5*OFFSET($B137,-2* G$2,0), P136)</f>
        <v/>
      </c>
      <c r="Q137">
        <f>IF(MOD($A137,H$2)=0,OFFSET(Q137,-H$2,0)+ H$3* $B137+H$4*OFFSET($B137,-H$2,0)+ H$5*OFFSET($B137,-2* H$2,0), Q136)</f>
        <v/>
      </c>
      <c r="R137">
        <f>IF(MOD($A137,I$2)=0,OFFSET(R137,-I$2,0)+ I$3* $B137+I$4*OFFSET($B137,-I$2,0)+ I$5*OFFSET($B137,-2* I$2,0), R136)</f>
        <v/>
      </c>
    </row>
    <row r="138">
      <c r="A138" t="n">
        <v>129</v>
      </c>
      <c r="B138" t="n">
        <v>1</v>
      </c>
      <c r="C138">
        <f>C137+D$3*$B138+D$4*$B137+D$5*$B136</f>
        <v/>
      </c>
      <c r="D138">
        <f>D133+E$3*$B138+E$4*$B133+E$5*$B128</f>
        <v/>
      </c>
      <c r="E138">
        <f>E128+F$3*$B138+F$4*$B128+F$5*$B118</f>
        <v/>
      </c>
      <c r="F138">
        <f>F137+G$3*$B138+G$4*$B137+G$5*$B136</f>
        <v/>
      </c>
      <c r="G138">
        <f>G133+H$3*$B138+H$4*$B133+H$5*$B128</f>
        <v/>
      </c>
      <c r="H138">
        <f>H128+I$3*$B138+I$4*$B128+I$5*$B118</f>
        <v/>
      </c>
      <c r="L138" t="n">
        <v>1</v>
      </c>
      <c r="M138">
        <f>IF(MOD($A138,D$2)=0,OFFSET(M138,-D$2,0)+ D$3* $B138+D$4*OFFSET($B138,-D$2,0)+ D$5*OFFSET($B138,-2* D$2,0), M137)</f>
        <v/>
      </c>
      <c r="N138">
        <f>IF(MOD($A138,E$2)=0,OFFSET(N138,-E$2,0)+ E$3* $B138+E$4*OFFSET($B138,-E$2,0)+ E$5*OFFSET($B138,-2* E$2,0), N137)</f>
        <v/>
      </c>
      <c r="O138">
        <f>IF(MOD($A138,F$2)=0,OFFSET(O138,-F$2,0)+ F$3* $B138+F$4*OFFSET($B138,-F$2,0)+ F$5*OFFSET($B138,-2* F$2,0), O137)</f>
        <v/>
      </c>
      <c r="P138">
        <f>IF(MOD($A138,G$2)=0,OFFSET(P138,-G$2,0)+ G$3* $B138+G$4*OFFSET($B138,-G$2,0)+ G$5*OFFSET($B138,-2* G$2,0), P137)</f>
        <v/>
      </c>
      <c r="Q138">
        <f>IF(MOD($A138,H$2)=0,OFFSET(Q138,-H$2,0)+ H$3* $B138+H$4*OFFSET($B138,-H$2,0)+ H$5*OFFSET($B138,-2* H$2,0), Q137)</f>
        <v/>
      </c>
      <c r="R138">
        <f>IF(MOD($A138,I$2)=0,OFFSET(R138,-I$2,0)+ I$3* $B138+I$4*OFFSET($B138,-I$2,0)+ I$5*OFFSET($B138,-2* I$2,0), R137)</f>
        <v/>
      </c>
    </row>
    <row r="139">
      <c r="A139" t="n">
        <v>130</v>
      </c>
      <c r="B139" t="n">
        <v>1</v>
      </c>
      <c r="C139">
        <f>C138+D$3*$B139+D$4*$B138+D$5*$B137</f>
        <v/>
      </c>
      <c r="D139">
        <f>D134+E$3*$B139+E$4*$B134+E$5*$B129</f>
        <v/>
      </c>
      <c r="E139">
        <f>E129+F$3*$B139+F$4*$B129+F$5*$B119</f>
        <v/>
      </c>
      <c r="F139">
        <f>F138+G$3*$B139+G$4*$B138+G$5*$B137</f>
        <v/>
      </c>
      <c r="G139">
        <f>G134+H$3*$B139+H$4*$B134+H$5*$B129</f>
        <v/>
      </c>
      <c r="H139">
        <f>H129+I$3*$B139+I$4*$B129+I$5*$B119</f>
        <v/>
      </c>
      <c r="L139" t="n">
        <v>1</v>
      </c>
      <c r="M139">
        <f>IF(MOD($A139,D$2)=0,OFFSET(M139,-D$2,0)+ D$3* $B139+D$4*OFFSET($B139,-D$2,0)+ D$5*OFFSET($B139,-2* D$2,0), M138)</f>
        <v/>
      </c>
      <c r="N139">
        <f>IF(MOD($A139,E$2)=0,OFFSET(N139,-E$2,0)+ E$3* $B139+E$4*OFFSET($B139,-E$2,0)+ E$5*OFFSET($B139,-2* E$2,0), N138)</f>
        <v/>
      </c>
      <c r="O139">
        <f>IF(MOD($A139,F$2)=0,OFFSET(O139,-F$2,0)+ F$3* $B139+F$4*OFFSET($B139,-F$2,0)+ F$5*OFFSET($B139,-2* F$2,0), O138)</f>
        <v/>
      </c>
      <c r="P139">
        <f>IF(MOD($A139,G$2)=0,OFFSET(P139,-G$2,0)+ G$3* $B139+G$4*OFFSET($B139,-G$2,0)+ G$5*OFFSET($B139,-2* G$2,0), P138)</f>
        <v/>
      </c>
      <c r="Q139">
        <f>IF(MOD($A139,H$2)=0,OFFSET(Q139,-H$2,0)+ H$3* $B139+H$4*OFFSET($B139,-H$2,0)+ H$5*OFFSET($B139,-2* H$2,0), Q138)</f>
        <v/>
      </c>
      <c r="R139">
        <f>IF(MOD($A139,I$2)=0,OFFSET(R139,-I$2,0)+ I$3* $B139+I$4*OFFSET($B139,-I$2,0)+ I$5*OFFSET($B139,-2* I$2,0), R138)</f>
        <v/>
      </c>
    </row>
    <row r="140">
      <c r="A140" t="n">
        <v>131</v>
      </c>
      <c r="B140" t="n">
        <v>1</v>
      </c>
      <c r="C140">
        <f>C139+D$3*$B140+D$4*$B139+D$5*$B138</f>
        <v/>
      </c>
      <c r="D140">
        <f>D135+E$3*$B140+E$4*$B135+E$5*$B130</f>
        <v/>
      </c>
      <c r="E140">
        <f>E130+F$3*$B140+F$4*$B130+F$5*$B120</f>
        <v/>
      </c>
      <c r="F140">
        <f>F139+G$3*$B140+G$4*$B139+G$5*$B138</f>
        <v/>
      </c>
      <c r="G140">
        <f>G135+H$3*$B140+H$4*$B135+H$5*$B130</f>
        <v/>
      </c>
      <c r="H140">
        <f>H130+I$3*$B140+I$4*$B130+I$5*$B120</f>
        <v/>
      </c>
      <c r="L140" t="n">
        <v>1</v>
      </c>
      <c r="M140">
        <f>IF(MOD($A140,D$2)=0,OFFSET(M140,-D$2,0)+ D$3* $B140+D$4*OFFSET($B140,-D$2,0)+ D$5*OFFSET($B140,-2* D$2,0), M139)</f>
        <v/>
      </c>
      <c r="N140">
        <f>IF(MOD($A140,E$2)=0,OFFSET(N140,-E$2,0)+ E$3* $B140+E$4*OFFSET($B140,-E$2,0)+ E$5*OFFSET($B140,-2* E$2,0), N139)</f>
        <v/>
      </c>
      <c r="O140">
        <f>IF(MOD($A140,F$2)=0,OFFSET(O140,-F$2,0)+ F$3* $B140+F$4*OFFSET($B140,-F$2,0)+ F$5*OFFSET($B140,-2* F$2,0), O139)</f>
        <v/>
      </c>
      <c r="P140">
        <f>IF(MOD($A140,G$2)=0,OFFSET(P140,-G$2,0)+ G$3* $B140+G$4*OFFSET($B140,-G$2,0)+ G$5*OFFSET($B140,-2* G$2,0), P139)</f>
        <v/>
      </c>
      <c r="Q140">
        <f>IF(MOD($A140,H$2)=0,OFFSET(Q140,-H$2,0)+ H$3* $B140+H$4*OFFSET($B140,-H$2,0)+ H$5*OFFSET($B140,-2* H$2,0), Q139)</f>
        <v/>
      </c>
      <c r="R140">
        <f>IF(MOD($A140,I$2)=0,OFFSET(R140,-I$2,0)+ I$3* $B140+I$4*OFFSET($B140,-I$2,0)+ I$5*OFFSET($B140,-2* I$2,0), R139)</f>
        <v/>
      </c>
    </row>
    <row r="141">
      <c r="A141" t="n">
        <v>132</v>
      </c>
      <c r="B141" t="n">
        <v>1</v>
      </c>
      <c r="C141">
        <f>C140+D$3*$B141+D$4*$B140+D$5*$B139</f>
        <v/>
      </c>
      <c r="D141">
        <f>D136+E$3*$B141+E$4*$B136+E$5*$B131</f>
        <v/>
      </c>
      <c r="E141">
        <f>E131+F$3*$B141+F$4*$B131+F$5*$B121</f>
        <v/>
      </c>
      <c r="F141">
        <f>F140+G$3*$B141+G$4*$B140+G$5*$B139</f>
        <v/>
      </c>
      <c r="G141">
        <f>G136+H$3*$B141+H$4*$B136+H$5*$B131</f>
        <v/>
      </c>
      <c r="H141">
        <f>H131+I$3*$B141+I$4*$B131+I$5*$B121</f>
        <v/>
      </c>
      <c r="L141" t="n">
        <v>1</v>
      </c>
      <c r="M141">
        <f>IF(MOD($A141,D$2)=0,OFFSET(M141,-D$2,0)+ D$3* $B141+D$4*OFFSET($B141,-D$2,0)+ D$5*OFFSET($B141,-2* D$2,0), M140)</f>
        <v/>
      </c>
      <c r="N141">
        <f>IF(MOD($A141,E$2)=0,OFFSET(N141,-E$2,0)+ E$3* $B141+E$4*OFFSET($B141,-E$2,0)+ E$5*OFFSET($B141,-2* E$2,0), N140)</f>
        <v/>
      </c>
      <c r="O141">
        <f>IF(MOD($A141,F$2)=0,OFFSET(O141,-F$2,0)+ F$3* $B141+F$4*OFFSET($B141,-F$2,0)+ F$5*OFFSET($B141,-2* F$2,0), O140)</f>
        <v/>
      </c>
      <c r="P141">
        <f>IF(MOD($A141,G$2)=0,OFFSET(P141,-G$2,0)+ G$3* $B141+G$4*OFFSET($B141,-G$2,0)+ G$5*OFFSET($B141,-2* G$2,0), P140)</f>
        <v/>
      </c>
      <c r="Q141">
        <f>IF(MOD($A141,H$2)=0,OFFSET(Q141,-H$2,0)+ H$3* $B141+H$4*OFFSET($B141,-H$2,0)+ H$5*OFFSET($B141,-2* H$2,0), Q140)</f>
        <v/>
      </c>
      <c r="R141">
        <f>IF(MOD($A141,I$2)=0,OFFSET(R141,-I$2,0)+ I$3* $B141+I$4*OFFSET($B141,-I$2,0)+ I$5*OFFSET($B141,-2* I$2,0), R140)</f>
        <v/>
      </c>
    </row>
    <row r="142">
      <c r="A142" t="n">
        <v>133</v>
      </c>
      <c r="B142" t="n">
        <v>1</v>
      </c>
      <c r="C142">
        <f>C141+D$3*$B142+D$4*$B141+D$5*$B140</f>
        <v/>
      </c>
      <c r="D142">
        <f>D137+E$3*$B142+E$4*$B137+E$5*$B132</f>
        <v/>
      </c>
      <c r="E142">
        <f>E132+F$3*$B142+F$4*$B132+F$5*$B122</f>
        <v/>
      </c>
      <c r="F142">
        <f>F141+G$3*$B142+G$4*$B141+G$5*$B140</f>
        <v/>
      </c>
      <c r="G142">
        <f>G137+H$3*$B142+H$4*$B137+H$5*$B132</f>
        <v/>
      </c>
      <c r="H142">
        <f>H132+I$3*$B142+I$4*$B132+I$5*$B122</f>
        <v/>
      </c>
      <c r="L142" t="n">
        <v>1</v>
      </c>
      <c r="M142">
        <f>IF(MOD($A142,D$2)=0,OFFSET(M142,-D$2,0)+ D$3* $B142+D$4*OFFSET($B142,-D$2,0)+ D$5*OFFSET($B142,-2* D$2,0), M141)</f>
        <v/>
      </c>
      <c r="N142">
        <f>IF(MOD($A142,E$2)=0,OFFSET(N142,-E$2,0)+ E$3* $B142+E$4*OFFSET($B142,-E$2,0)+ E$5*OFFSET($B142,-2* E$2,0), N141)</f>
        <v/>
      </c>
      <c r="O142">
        <f>IF(MOD($A142,F$2)=0,OFFSET(O142,-F$2,0)+ F$3* $B142+F$4*OFFSET($B142,-F$2,0)+ F$5*OFFSET($B142,-2* F$2,0), O141)</f>
        <v/>
      </c>
      <c r="P142">
        <f>IF(MOD($A142,G$2)=0,OFFSET(P142,-G$2,0)+ G$3* $B142+G$4*OFFSET($B142,-G$2,0)+ G$5*OFFSET($B142,-2* G$2,0), P141)</f>
        <v/>
      </c>
      <c r="Q142">
        <f>IF(MOD($A142,H$2)=0,OFFSET(Q142,-H$2,0)+ H$3* $B142+H$4*OFFSET($B142,-H$2,0)+ H$5*OFFSET($B142,-2* H$2,0), Q141)</f>
        <v/>
      </c>
      <c r="R142">
        <f>IF(MOD($A142,I$2)=0,OFFSET(R142,-I$2,0)+ I$3* $B142+I$4*OFFSET($B142,-I$2,0)+ I$5*OFFSET($B142,-2* I$2,0), R141)</f>
        <v/>
      </c>
    </row>
    <row r="143">
      <c r="A143" t="n">
        <v>134</v>
      </c>
      <c r="B143" t="n">
        <v>1</v>
      </c>
      <c r="C143">
        <f>C142+D$3*$B143+D$4*$B142+D$5*$B141</f>
        <v/>
      </c>
      <c r="D143">
        <f>D138+E$3*$B143+E$4*$B138+E$5*$B133</f>
        <v/>
      </c>
      <c r="E143">
        <f>E133+F$3*$B143+F$4*$B133+F$5*$B123</f>
        <v/>
      </c>
      <c r="F143">
        <f>F142+G$3*$B143+G$4*$B142+G$5*$B141</f>
        <v/>
      </c>
      <c r="G143">
        <f>G138+H$3*$B143+H$4*$B138+H$5*$B133</f>
        <v/>
      </c>
      <c r="H143">
        <f>H133+I$3*$B143+I$4*$B133+I$5*$B123</f>
        <v/>
      </c>
      <c r="L143" t="n">
        <v>1</v>
      </c>
      <c r="M143">
        <f>IF(MOD($A143,D$2)=0,OFFSET(M143,-D$2,0)+ D$3* $B143+D$4*OFFSET($B143,-D$2,0)+ D$5*OFFSET($B143,-2* D$2,0), M142)</f>
        <v/>
      </c>
      <c r="N143">
        <f>IF(MOD($A143,E$2)=0,OFFSET(N143,-E$2,0)+ E$3* $B143+E$4*OFFSET($B143,-E$2,0)+ E$5*OFFSET($B143,-2* E$2,0), N142)</f>
        <v/>
      </c>
      <c r="O143">
        <f>IF(MOD($A143,F$2)=0,OFFSET(O143,-F$2,0)+ F$3* $B143+F$4*OFFSET($B143,-F$2,0)+ F$5*OFFSET($B143,-2* F$2,0), O142)</f>
        <v/>
      </c>
      <c r="P143">
        <f>IF(MOD($A143,G$2)=0,OFFSET(P143,-G$2,0)+ G$3* $B143+G$4*OFFSET($B143,-G$2,0)+ G$5*OFFSET($B143,-2* G$2,0), P142)</f>
        <v/>
      </c>
      <c r="Q143">
        <f>IF(MOD($A143,H$2)=0,OFFSET(Q143,-H$2,0)+ H$3* $B143+H$4*OFFSET($B143,-H$2,0)+ H$5*OFFSET($B143,-2* H$2,0), Q142)</f>
        <v/>
      </c>
      <c r="R143">
        <f>IF(MOD($A143,I$2)=0,OFFSET(R143,-I$2,0)+ I$3* $B143+I$4*OFFSET($B143,-I$2,0)+ I$5*OFFSET($B143,-2* I$2,0), R142)</f>
        <v/>
      </c>
    </row>
    <row r="144">
      <c r="A144" t="n">
        <v>135</v>
      </c>
      <c r="B144" t="n">
        <v>1</v>
      </c>
      <c r="C144">
        <f>C143+D$3*$B144+D$4*$B143+D$5*$B142</f>
        <v/>
      </c>
      <c r="D144">
        <f>D139+E$3*$B144+E$4*$B139+E$5*$B134</f>
        <v/>
      </c>
      <c r="E144">
        <f>E134+F$3*$B144+F$4*$B134+F$5*$B124</f>
        <v/>
      </c>
      <c r="F144">
        <f>F143+G$3*$B144+G$4*$B143+G$5*$B142</f>
        <v/>
      </c>
      <c r="G144">
        <f>G139+H$3*$B144+H$4*$B139+H$5*$B134</f>
        <v/>
      </c>
      <c r="H144">
        <f>H134+I$3*$B144+I$4*$B134+I$5*$B124</f>
        <v/>
      </c>
      <c r="L144" t="n">
        <v>1</v>
      </c>
      <c r="M144">
        <f>IF(MOD($A144,D$2)=0,OFFSET(M144,-D$2,0)+ D$3* $B144+D$4*OFFSET($B144,-D$2,0)+ D$5*OFFSET($B144,-2* D$2,0), M143)</f>
        <v/>
      </c>
      <c r="N144">
        <f>IF(MOD($A144,E$2)=0,OFFSET(N144,-E$2,0)+ E$3* $B144+E$4*OFFSET($B144,-E$2,0)+ E$5*OFFSET($B144,-2* E$2,0), N143)</f>
        <v/>
      </c>
      <c r="O144">
        <f>IF(MOD($A144,F$2)=0,OFFSET(O144,-F$2,0)+ F$3* $B144+F$4*OFFSET($B144,-F$2,0)+ F$5*OFFSET($B144,-2* F$2,0), O143)</f>
        <v/>
      </c>
      <c r="P144">
        <f>IF(MOD($A144,G$2)=0,OFFSET(P144,-G$2,0)+ G$3* $B144+G$4*OFFSET($B144,-G$2,0)+ G$5*OFFSET($B144,-2* G$2,0), P143)</f>
        <v/>
      </c>
      <c r="Q144">
        <f>IF(MOD($A144,H$2)=0,OFFSET(Q144,-H$2,0)+ H$3* $B144+H$4*OFFSET($B144,-H$2,0)+ H$5*OFFSET($B144,-2* H$2,0), Q143)</f>
        <v/>
      </c>
      <c r="R144">
        <f>IF(MOD($A144,I$2)=0,OFFSET(R144,-I$2,0)+ I$3* $B144+I$4*OFFSET($B144,-I$2,0)+ I$5*OFFSET($B144,-2* I$2,0), R143)</f>
        <v/>
      </c>
    </row>
    <row r="145">
      <c r="A145" t="n">
        <v>136</v>
      </c>
      <c r="B145" t="n">
        <v>1</v>
      </c>
      <c r="C145">
        <f>C144+D$3*$B145+D$4*$B144+D$5*$B143</f>
        <v/>
      </c>
      <c r="D145">
        <f>D140+E$3*$B145+E$4*$B140+E$5*$B135</f>
        <v/>
      </c>
      <c r="E145">
        <f>E135+F$3*$B145+F$4*$B135+F$5*$B125</f>
        <v/>
      </c>
      <c r="F145">
        <f>F144+G$3*$B145+G$4*$B144+G$5*$B143</f>
        <v/>
      </c>
      <c r="G145">
        <f>G140+H$3*$B145+H$4*$B140+H$5*$B135</f>
        <v/>
      </c>
      <c r="H145">
        <f>H135+I$3*$B145+I$4*$B135+I$5*$B125</f>
        <v/>
      </c>
      <c r="L145" t="n">
        <v>1</v>
      </c>
      <c r="M145">
        <f>IF(MOD($A145,D$2)=0,OFFSET(M145,-D$2,0)+ D$3* $B145+D$4*OFFSET($B145,-D$2,0)+ D$5*OFFSET($B145,-2* D$2,0), M144)</f>
        <v/>
      </c>
      <c r="N145">
        <f>IF(MOD($A145,E$2)=0,OFFSET(N145,-E$2,0)+ E$3* $B145+E$4*OFFSET($B145,-E$2,0)+ E$5*OFFSET($B145,-2* E$2,0), N144)</f>
        <v/>
      </c>
      <c r="O145">
        <f>IF(MOD($A145,F$2)=0,OFFSET(O145,-F$2,0)+ F$3* $B145+F$4*OFFSET($B145,-F$2,0)+ F$5*OFFSET($B145,-2* F$2,0), O144)</f>
        <v/>
      </c>
      <c r="P145">
        <f>IF(MOD($A145,G$2)=0,OFFSET(P145,-G$2,0)+ G$3* $B145+G$4*OFFSET($B145,-G$2,0)+ G$5*OFFSET($B145,-2* G$2,0), P144)</f>
        <v/>
      </c>
      <c r="Q145">
        <f>IF(MOD($A145,H$2)=0,OFFSET(Q145,-H$2,0)+ H$3* $B145+H$4*OFFSET($B145,-H$2,0)+ H$5*OFFSET($B145,-2* H$2,0), Q144)</f>
        <v/>
      </c>
      <c r="R145">
        <f>IF(MOD($A145,I$2)=0,OFFSET(R145,-I$2,0)+ I$3* $B145+I$4*OFFSET($B145,-I$2,0)+ I$5*OFFSET($B145,-2* I$2,0), R144)</f>
        <v/>
      </c>
    </row>
    <row r="146">
      <c r="A146" t="n">
        <v>137</v>
      </c>
      <c r="B146" t="n">
        <v>1</v>
      </c>
      <c r="C146">
        <f>C145+D$3*$B146+D$4*$B145+D$5*$B144</f>
        <v/>
      </c>
      <c r="D146">
        <f>D141+E$3*$B146+E$4*$B141+E$5*$B136</f>
        <v/>
      </c>
      <c r="E146">
        <f>E136+F$3*$B146+F$4*$B136+F$5*$B126</f>
        <v/>
      </c>
      <c r="F146">
        <f>F145+G$3*$B146+G$4*$B145+G$5*$B144</f>
        <v/>
      </c>
      <c r="G146">
        <f>G141+H$3*$B146+H$4*$B141+H$5*$B136</f>
        <v/>
      </c>
      <c r="H146">
        <f>H136+I$3*$B146+I$4*$B136+I$5*$B126</f>
        <v/>
      </c>
      <c r="L146" t="n">
        <v>1</v>
      </c>
      <c r="M146">
        <f>IF(MOD($A146,D$2)=0,OFFSET(M146,-D$2,0)+ D$3* $B146+D$4*OFFSET($B146,-D$2,0)+ D$5*OFFSET($B146,-2* D$2,0), M145)</f>
        <v/>
      </c>
      <c r="N146">
        <f>IF(MOD($A146,E$2)=0,OFFSET(N146,-E$2,0)+ E$3* $B146+E$4*OFFSET($B146,-E$2,0)+ E$5*OFFSET($B146,-2* E$2,0), N145)</f>
        <v/>
      </c>
      <c r="O146">
        <f>IF(MOD($A146,F$2)=0,OFFSET(O146,-F$2,0)+ F$3* $B146+F$4*OFFSET($B146,-F$2,0)+ F$5*OFFSET($B146,-2* F$2,0), O145)</f>
        <v/>
      </c>
      <c r="P146">
        <f>IF(MOD($A146,G$2)=0,OFFSET(P146,-G$2,0)+ G$3* $B146+G$4*OFFSET($B146,-G$2,0)+ G$5*OFFSET($B146,-2* G$2,0), P145)</f>
        <v/>
      </c>
      <c r="Q146">
        <f>IF(MOD($A146,H$2)=0,OFFSET(Q146,-H$2,0)+ H$3* $B146+H$4*OFFSET($B146,-H$2,0)+ H$5*OFFSET($B146,-2* H$2,0), Q145)</f>
        <v/>
      </c>
      <c r="R146">
        <f>IF(MOD($A146,I$2)=0,OFFSET(R146,-I$2,0)+ I$3* $B146+I$4*OFFSET($B146,-I$2,0)+ I$5*OFFSET($B146,-2* I$2,0), R145)</f>
        <v/>
      </c>
    </row>
    <row r="147">
      <c r="A147" t="n">
        <v>138</v>
      </c>
      <c r="B147" t="n">
        <v>1</v>
      </c>
      <c r="C147">
        <f>C146+D$3*$B147+D$4*$B146+D$5*$B145</f>
        <v/>
      </c>
      <c r="D147">
        <f>D142+E$3*$B147+E$4*$B142+E$5*$B137</f>
        <v/>
      </c>
      <c r="E147">
        <f>E137+F$3*$B147+F$4*$B137+F$5*$B127</f>
        <v/>
      </c>
      <c r="F147">
        <f>F146+G$3*$B147+G$4*$B146+G$5*$B145</f>
        <v/>
      </c>
      <c r="G147">
        <f>G142+H$3*$B147+H$4*$B142+H$5*$B137</f>
        <v/>
      </c>
      <c r="H147">
        <f>H137+I$3*$B147+I$4*$B137+I$5*$B127</f>
        <v/>
      </c>
      <c r="L147" t="n">
        <v>1</v>
      </c>
      <c r="M147">
        <f>IF(MOD($A147,D$2)=0,OFFSET(M147,-D$2,0)+ D$3* $B147+D$4*OFFSET($B147,-D$2,0)+ D$5*OFFSET($B147,-2* D$2,0), M146)</f>
        <v/>
      </c>
      <c r="N147">
        <f>IF(MOD($A147,E$2)=0,OFFSET(N147,-E$2,0)+ E$3* $B147+E$4*OFFSET($B147,-E$2,0)+ E$5*OFFSET($B147,-2* E$2,0), N146)</f>
        <v/>
      </c>
      <c r="O147">
        <f>IF(MOD($A147,F$2)=0,OFFSET(O147,-F$2,0)+ F$3* $B147+F$4*OFFSET($B147,-F$2,0)+ F$5*OFFSET($B147,-2* F$2,0), O146)</f>
        <v/>
      </c>
      <c r="P147">
        <f>IF(MOD($A147,G$2)=0,OFFSET(P147,-G$2,0)+ G$3* $B147+G$4*OFFSET($B147,-G$2,0)+ G$5*OFFSET($B147,-2* G$2,0), P146)</f>
        <v/>
      </c>
      <c r="Q147">
        <f>IF(MOD($A147,H$2)=0,OFFSET(Q147,-H$2,0)+ H$3* $B147+H$4*OFFSET($B147,-H$2,0)+ H$5*OFFSET($B147,-2* H$2,0), Q146)</f>
        <v/>
      </c>
      <c r="R147">
        <f>IF(MOD($A147,I$2)=0,OFFSET(R147,-I$2,0)+ I$3* $B147+I$4*OFFSET($B147,-I$2,0)+ I$5*OFFSET($B147,-2* I$2,0), R146)</f>
        <v/>
      </c>
    </row>
    <row r="148">
      <c r="A148" t="n">
        <v>139</v>
      </c>
      <c r="B148" t="n">
        <v>1</v>
      </c>
      <c r="C148">
        <f>C147+D$3*$B148+D$4*$B147+D$5*$B146</f>
        <v/>
      </c>
      <c r="D148">
        <f>D143+E$3*$B148+E$4*$B143+E$5*$B138</f>
        <v/>
      </c>
      <c r="E148">
        <f>E138+F$3*$B148+F$4*$B138+F$5*$B128</f>
        <v/>
      </c>
      <c r="F148">
        <f>F147+G$3*$B148+G$4*$B147+G$5*$B146</f>
        <v/>
      </c>
      <c r="G148">
        <f>G143+H$3*$B148+H$4*$B143+H$5*$B138</f>
        <v/>
      </c>
      <c r="H148">
        <f>H138+I$3*$B148+I$4*$B138+I$5*$B128</f>
        <v/>
      </c>
      <c r="L148" t="n">
        <v>1</v>
      </c>
      <c r="M148">
        <f>IF(MOD($A148,D$2)=0,OFFSET(M148,-D$2,0)+ D$3* $B148+D$4*OFFSET($B148,-D$2,0)+ D$5*OFFSET($B148,-2* D$2,0), M147)</f>
        <v/>
      </c>
      <c r="N148">
        <f>IF(MOD($A148,E$2)=0,OFFSET(N148,-E$2,0)+ E$3* $B148+E$4*OFFSET($B148,-E$2,0)+ E$5*OFFSET($B148,-2* E$2,0), N147)</f>
        <v/>
      </c>
      <c r="O148">
        <f>IF(MOD($A148,F$2)=0,OFFSET(O148,-F$2,0)+ F$3* $B148+F$4*OFFSET($B148,-F$2,0)+ F$5*OFFSET($B148,-2* F$2,0), O147)</f>
        <v/>
      </c>
      <c r="P148">
        <f>IF(MOD($A148,G$2)=0,OFFSET(P148,-G$2,0)+ G$3* $B148+G$4*OFFSET($B148,-G$2,0)+ G$5*OFFSET($B148,-2* G$2,0), P147)</f>
        <v/>
      </c>
      <c r="Q148">
        <f>IF(MOD($A148,H$2)=0,OFFSET(Q148,-H$2,0)+ H$3* $B148+H$4*OFFSET($B148,-H$2,0)+ H$5*OFFSET($B148,-2* H$2,0), Q147)</f>
        <v/>
      </c>
      <c r="R148">
        <f>IF(MOD($A148,I$2)=0,OFFSET(R148,-I$2,0)+ I$3* $B148+I$4*OFFSET($B148,-I$2,0)+ I$5*OFFSET($B148,-2* I$2,0), R147)</f>
        <v/>
      </c>
    </row>
    <row r="149">
      <c r="A149" t="n">
        <v>140</v>
      </c>
      <c r="B149" t="n">
        <v>1</v>
      </c>
      <c r="C149">
        <f>C148+D$3*$B149+D$4*$B148+D$5*$B147</f>
        <v/>
      </c>
      <c r="D149">
        <f>D144+E$3*$B149+E$4*$B144+E$5*$B139</f>
        <v/>
      </c>
      <c r="E149">
        <f>E139+F$3*$B149+F$4*$B139+F$5*$B129</f>
        <v/>
      </c>
      <c r="F149">
        <f>F148+G$3*$B149+G$4*$B148+G$5*$B147</f>
        <v/>
      </c>
      <c r="G149">
        <f>G144+H$3*$B149+H$4*$B144+H$5*$B139</f>
        <v/>
      </c>
      <c r="H149">
        <f>H139+I$3*$B149+I$4*$B139+I$5*$B129</f>
        <v/>
      </c>
      <c r="L149" t="n">
        <v>1</v>
      </c>
      <c r="M149">
        <f>IF(MOD($A149,D$2)=0,OFFSET(M149,-D$2,0)+ D$3* $B149+D$4*OFFSET($B149,-D$2,0)+ D$5*OFFSET($B149,-2* D$2,0), M148)</f>
        <v/>
      </c>
      <c r="N149">
        <f>IF(MOD($A149,E$2)=0,OFFSET(N149,-E$2,0)+ E$3* $B149+E$4*OFFSET($B149,-E$2,0)+ E$5*OFFSET($B149,-2* E$2,0), N148)</f>
        <v/>
      </c>
      <c r="O149">
        <f>IF(MOD($A149,F$2)=0,OFFSET(O149,-F$2,0)+ F$3* $B149+F$4*OFFSET($B149,-F$2,0)+ F$5*OFFSET($B149,-2* F$2,0), O148)</f>
        <v/>
      </c>
      <c r="P149">
        <f>IF(MOD($A149,G$2)=0,OFFSET(P149,-G$2,0)+ G$3* $B149+G$4*OFFSET($B149,-G$2,0)+ G$5*OFFSET($B149,-2* G$2,0), P148)</f>
        <v/>
      </c>
      <c r="Q149">
        <f>IF(MOD($A149,H$2)=0,OFFSET(Q149,-H$2,0)+ H$3* $B149+H$4*OFFSET($B149,-H$2,0)+ H$5*OFFSET($B149,-2* H$2,0), Q148)</f>
        <v/>
      </c>
      <c r="R149">
        <f>IF(MOD($A149,I$2)=0,OFFSET(R149,-I$2,0)+ I$3* $B149+I$4*OFFSET($B149,-I$2,0)+ I$5*OFFSET($B149,-2* I$2,0), R148)</f>
        <v/>
      </c>
    </row>
    <row r="150">
      <c r="A150" t="n">
        <v>141</v>
      </c>
      <c r="B150" t="n">
        <v>1</v>
      </c>
      <c r="C150">
        <f>C149+D$3*$B150+D$4*$B149+D$5*$B148</f>
        <v/>
      </c>
      <c r="D150">
        <f>D145+E$3*$B150+E$4*$B145+E$5*$B140</f>
        <v/>
      </c>
      <c r="E150">
        <f>E140+F$3*$B150+F$4*$B140+F$5*$B130</f>
        <v/>
      </c>
      <c r="F150">
        <f>F149+G$3*$B150+G$4*$B149+G$5*$B148</f>
        <v/>
      </c>
      <c r="G150">
        <f>G145+H$3*$B150+H$4*$B145+H$5*$B140</f>
        <v/>
      </c>
      <c r="H150">
        <f>H140+I$3*$B150+I$4*$B140+I$5*$B130</f>
        <v/>
      </c>
      <c r="L150" t="n">
        <v>1</v>
      </c>
      <c r="M150">
        <f>IF(MOD($A150,D$2)=0,OFFSET(M150,-D$2,0)+ D$3* $B150+D$4*OFFSET($B150,-D$2,0)+ D$5*OFFSET($B150,-2* D$2,0), M149)</f>
        <v/>
      </c>
      <c r="N150">
        <f>IF(MOD($A150,E$2)=0,OFFSET(N150,-E$2,0)+ E$3* $B150+E$4*OFFSET($B150,-E$2,0)+ E$5*OFFSET($B150,-2* E$2,0), N149)</f>
        <v/>
      </c>
      <c r="O150">
        <f>IF(MOD($A150,F$2)=0,OFFSET(O150,-F$2,0)+ F$3* $B150+F$4*OFFSET($B150,-F$2,0)+ F$5*OFFSET($B150,-2* F$2,0), O149)</f>
        <v/>
      </c>
      <c r="P150">
        <f>IF(MOD($A150,G$2)=0,OFFSET(P150,-G$2,0)+ G$3* $B150+G$4*OFFSET($B150,-G$2,0)+ G$5*OFFSET($B150,-2* G$2,0), P149)</f>
        <v/>
      </c>
      <c r="Q150">
        <f>IF(MOD($A150,H$2)=0,OFFSET(Q150,-H$2,0)+ H$3* $B150+H$4*OFFSET($B150,-H$2,0)+ H$5*OFFSET($B150,-2* H$2,0), Q149)</f>
        <v/>
      </c>
      <c r="R150">
        <f>IF(MOD($A150,I$2)=0,OFFSET(R150,-I$2,0)+ I$3* $B150+I$4*OFFSET($B150,-I$2,0)+ I$5*OFFSET($B150,-2* I$2,0), R149)</f>
        <v/>
      </c>
    </row>
    <row r="151">
      <c r="A151" t="n">
        <v>142</v>
      </c>
      <c r="B151" t="n">
        <v>1</v>
      </c>
      <c r="C151">
        <f>C150+D$3*$B151+D$4*$B150+D$5*$B149</f>
        <v/>
      </c>
      <c r="D151">
        <f>D146+E$3*$B151+E$4*$B146+E$5*$B141</f>
        <v/>
      </c>
      <c r="E151">
        <f>E141+F$3*$B151+F$4*$B141+F$5*$B131</f>
        <v/>
      </c>
      <c r="F151">
        <f>F150+G$3*$B151+G$4*$B150+G$5*$B149</f>
        <v/>
      </c>
      <c r="G151">
        <f>G146+H$3*$B151+H$4*$B146+H$5*$B141</f>
        <v/>
      </c>
      <c r="H151">
        <f>H141+I$3*$B151+I$4*$B141+I$5*$B131</f>
        <v/>
      </c>
      <c r="L151" t="n">
        <v>1</v>
      </c>
      <c r="M151">
        <f>IF(MOD($A151,D$2)=0,OFFSET(M151,-D$2,0)+ D$3* $B151+D$4*OFFSET($B151,-D$2,0)+ D$5*OFFSET($B151,-2* D$2,0), M150)</f>
        <v/>
      </c>
      <c r="N151">
        <f>IF(MOD($A151,E$2)=0,OFFSET(N151,-E$2,0)+ E$3* $B151+E$4*OFFSET($B151,-E$2,0)+ E$5*OFFSET($B151,-2* E$2,0), N150)</f>
        <v/>
      </c>
      <c r="O151">
        <f>IF(MOD($A151,F$2)=0,OFFSET(O151,-F$2,0)+ F$3* $B151+F$4*OFFSET($B151,-F$2,0)+ F$5*OFFSET($B151,-2* F$2,0), O150)</f>
        <v/>
      </c>
      <c r="P151">
        <f>IF(MOD($A151,G$2)=0,OFFSET(P151,-G$2,0)+ G$3* $B151+G$4*OFFSET($B151,-G$2,0)+ G$5*OFFSET($B151,-2* G$2,0), P150)</f>
        <v/>
      </c>
      <c r="Q151">
        <f>IF(MOD($A151,H$2)=0,OFFSET(Q151,-H$2,0)+ H$3* $B151+H$4*OFFSET($B151,-H$2,0)+ H$5*OFFSET($B151,-2* H$2,0), Q150)</f>
        <v/>
      </c>
      <c r="R151">
        <f>IF(MOD($A151,I$2)=0,OFFSET(R151,-I$2,0)+ I$3* $B151+I$4*OFFSET($B151,-I$2,0)+ I$5*OFFSET($B151,-2* I$2,0), R150)</f>
        <v/>
      </c>
    </row>
    <row r="152">
      <c r="A152" t="n">
        <v>143</v>
      </c>
      <c r="B152" t="n">
        <v>1</v>
      </c>
      <c r="C152">
        <f>C151+D$3*$B152+D$4*$B151+D$5*$B150</f>
        <v/>
      </c>
      <c r="D152">
        <f>D147+E$3*$B152+E$4*$B147+E$5*$B142</f>
        <v/>
      </c>
      <c r="E152">
        <f>E142+F$3*$B152+F$4*$B142+F$5*$B132</f>
        <v/>
      </c>
      <c r="F152">
        <f>F151+G$3*$B152+G$4*$B151+G$5*$B150</f>
        <v/>
      </c>
      <c r="G152">
        <f>G147+H$3*$B152+H$4*$B147+H$5*$B142</f>
        <v/>
      </c>
      <c r="H152">
        <f>H142+I$3*$B152+I$4*$B142+I$5*$B132</f>
        <v/>
      </c>
      <c r="L152" t="n">
        <v>1</v>
      </c>
      <c r="M152">
        <f>IF(MOD($A152,D$2)=0,OFFSET(M152,-D$2,0)+ D$3* $B152+D$4*OFFSET($B152,-D$2,0)+ D$5*OFFSET($B152,-2* D$2,0), M151)</f>
        <v/>
      </c>
      <c r="N152">
        <f>IF(MOD($A152,E$2)=0,OFFSET(N152,-E$2,0)+ E$3* $B152+E$4*OFFSET($B152,-E$2,0)+ E$5*OFFSET($B152,-2* E$2,0), N151)</f>
        <v/>
      </c>
      <c r="O152">
        <f>IF(MOD($A152,F$2)=0,OFFSET(O152,-F$2,0)+ F$3* $B152+F$4*OFFSET($B152,-F$2,0)+ F$5*OFFSET($B152,-2* F$2,0), O151)</f>
        <v/>
      </c>
      <c r="P152">
        <f>IF(MOD($A152,G$2)=0,OFFSET(P152,-G$2,0)+ G$3* $B152+G$4*OFFSET($B152,-G$2,0)+ G$5*OFFSET($B152,-2* G$2,0), P151)</f>
        <v/>
      </c>
      <c r="Q152">
        <f>IF(MOD($A152,H$2)=0,OFFSET(Q152,-H$2,0)+ H$3* $B152+H$4*OFFSET($B152,-H$2,0)+ H$5*OFFSET($B152,-2* H$2,0), Q151)</f>
        <v/>
      </c>
      <c r="R152">
        <f>IF(MOD($A152,I$2)=0,OFFSET(R152,-I$2,0)+ I$3* $B152+I$4*OFFSET($B152,-I$2,0)+ I$5*OFFSET($B152,-2* I$2,0), R151)</f>
        <v/>
      </c>
    </row>
    <row r="153">
      <c r="A153" t="n">
        <v>144</v>
      </c>
      <c r="B153" t="n">
        <v>1</v>
      </c>
      <c r="C153">
        <f>C152+D$3*$B153+D$4*$B152+D$5*$B151</f>
        <v/>
      </c>
      <c r="D153">
        <f>D148+E$3*$B153+E$4*$B148+E$5*$B143</f>
        <v/>
      </c>
      <c r="E153">
        <f>E143+F$3*$B153+F$4*$B143+F$5*$B133</f>
        <v/>
      </c>
      <c r="F153">
        <f>F152+G$3*$B153+G$4*$B152+G$5*$B151</f>
        <v/>
      </c>
      <c r="G153">
        <f>G148+H$3*$B153+H$4*$B148+H$5*$B143</f>
        <v/>
      </c>
      <c r="H153">
        <f>H143+I$3*$B153+I$4*$B143+I$5*$B133</f>
        <v/>
      </c>
      <c r="L153" t="n">
        <v>1</v>
      </c>
      <c r="M153">
        <f>IF(MOD($A153,D$2)=0,OFFSET(M153,-D$2,0)+ D$3* $B153+D$4*OFFSET($B153,-D$2,0)+ D$5*OFFSET($B153,-2* D$2,0), M152)</f>
        <v/>
      </c>
      <c r="N153">
        <f>IF(MOD($A153,E$2)=0,OFFSET(N153,-E$2,0)+ E$3* $B153+E$4*OFFSET($B153,-E$2,0)+ E$5*OFFSET($B153,-2* E$2,0), N152)</f>
        <v/>
      </c>
      <c r="O153">
        <f>IF(MOD($A153,F$2)=0,OFFSET(O153,-F$2,0)+ F$3* $B153+F$4*OFFSET($B153,-F$2,0)+ F$5*OFFSET($B153,-2* F$2,0), O152)</f>
        <v/>
      </c>
      <c r="P153">
        <f>IF(MOD($A153,G$2)=0,OFFSET(P153,-G$2,0)+ G$3* $B153+G$4*OFFSET($B153,-G$2,0)+ G$5*OFFSET($B153,-2* G$2,0), P152)</f>
        <v/>
      </c>
      <c r="Q153">
        <f>IF(MOD($A153,H$2)=0,OFFSET(Q153,-H$2,0)+ H$3* $B153+H$4*OFFSET($B153,-H$2,0)+ H$5*OFFSET($B153,-2* H$2,0), Q152)</f>
        <v/>
      </c>
      <c r="R153">
        <f>IF(MOD($A153,I$2)=0,OFFSET(R153,-I$2,0)+ I$3* $B153+I$4*OFFSET($B153,-I$2,0)+ I$5*OFFSET($B153,-2* I$2,0), R152)</f>
        <v/>
      </c>
    </row>
    <row r="154">
      <c r="A154" t="n">
        <v>145</v>
      </c>
      <c r="B154" t="n">
        <v>1</v>
      </c>
      <c r="C154">
        <f>C153+D$3*$B154+D$4*$B153+D$5*$B152</f>
        <v/>
      </c>
      <c r="D154">
        <f>D149+E$3*$B154+E$4*$B149+E$5*$B144</f>
        <v/>
      </c>
      <c r="E154">
        <f>E144+F$3*$B154+F$4*$B144+F$5*$B134</f>
        <v/>
      </c>
      <c r="F154">
        <f>F153+G$3*$B154+G$4*$B153+G$5*$B152</f>
        <v/>
      </c>
      <c r="G154">
        <f>G149+H$3*$B154+H$4*$B149+H$5*$B144</f>
        <v/>
      </c>
      <c r="H154">
        <f>H144+I$3*$B154+I$4*$B144+I$5*$B134</f>
        <v/>
      </c>
      <c r="L154" t="n">
        <v>1</v>
      </c>
      <c r="M154">
        <f>IF(MOD($A154,D$2)=0,OFFSET(M154,-D$2,0)+ D$3* $B154+D$4*OFFSET($B154,-D$2,0)+ D$5*OFFSET($B154,-2* D$2,0), M153)</f>
        <v/>
      </c>
      <c r="N154">
        <f>IF(MOD($A154,E$2)=0,OFFSET(N154,-E$2,0)+ E$3* $B154+E$4*OFFSET($B154,-E$2,0)+ E$5*OFFSET($B154,-2* E$2,0), N153)</f>
        <v/>
      </c>
      <c r="O154">
        <f>IF(MOD($A154,F$2)=0,OFFSET(O154,-F$2,0)+ F$3* $B154+F$4*OFFSET($B154,-F$2,0)+ F$5*OFFSET($B154,-2* F$2,0), O153)</f>
        <v/>
      </c>
      <c r="P154">
        <f>IF(MOD($A154,G$2)=0,OFFSET(P154,-G$2,0)+ G$3* $B154+G$4*OFFSET($B154,-G$2,0)+ G$5*OFFSET($B154,-2* G$2,0), P153)</f>
        <v/>
      </c>
      <c r="Q154">
        <f>IF(MOD($A154,H$2)=0,OFFSET(Q154,-H$2,0)+ H$3* $B154+H$4*OFFSET($B154,-H$2,0)+ H$5*OFFSET($B154,-2* H$2,0), Q153)</f>
        <v/>
      </c>
      <c r="R154">
        <f>IF(MOD($A154,I$2)=0,OFFSET(R154,-I$2,0)+ I$3* $B154+I$4*OFFSET($B154,-I$2,0)+ I$5*OFFSET($B154,-2* I$2,0), R153)</f>
        <v/>
      </c>
    </row>
    <row r="155">
      <c r="A155" t="n">
        <v>146</v>
      </c>
      <c r="B155" t="n">
        <v>1</v>
      </c>
      <c r="C155">
        <f>C154+D$3*$B155+D$4*$B154+D$5*$B153</f>
        <v/>
      </c>
      <c r="D155">
        <f>D150+E$3*$B155+E$4*$B150+E$5*$B145</f>
        <v/>
      </c>
      <c r="E155">
        <f>E145+F$3*$B155+F$4*$B145+F$5*$B135</f>
        <v/>
      </c>
      <c r="F155">
        <f>F154+G$3*$B155+G$4*$B154+G$5*$B153</f>
        <v/>
      </c>
      <c r="G155">
        <f>G150+H$3*$B155+H$4*$B150+H$5*$B145</f>
        <v/>
      </c>
      <c r="H155">
        <f>H145+I$3*$B155+I$4*$B145+I$5*$B135</f>
        <v/>
      </c>
      <c r="L155" t="n">
        <v>1</v>
      </c>
      <c r="M155">
        <f>IF(MOD($A155,D$2)=0,OFFSET(M155,-D$2,0)+ D$3* $B155+D$4*OFFSET($B155,-D$2,0)+ D$5*OFFSET($B155,-2* D$2,0), M154)</f>
        <v/>
      </c>
      <c r="N155">
        <f>IF(MOD($A155,E$2)=0,OFFSET(N155,-E$2,0)+ E$3* $B155+E$4*OFFSET($B155,-E$2,0)+ E$5*OFFSET($B155,-2* E$2,0), N154)</f>
        <v/>
      </c>
      <c r="O155">
        <f>IF(MOD($A155,F$2)=0,OFFSET(O155,-F$2,0)+ F$3* $B155+F$4*OFFSET($B155,-F$2,0)+ F$5*OFFSET($B155,-2* F$2,0), O154)</f>
        <v/>
      </c>
      <c r="P155">
        <f>IF(MOD($A155,G$2)=0,OFFSET(P155,-G$2,0)+ G$3* $B155+G$4*OFFSET($B155,-G$2,0)+ G$5*OFFSET($B155,-2* G$2,0), P154)</f>
        <v/>
      </c>
      <c r="Q155">
        <f>IF(MOD($A155,H$2)=0,OFFSET(Q155,-H$2,0)+ H$3* $B155+H$4*OFFSET($B155,-H$2,0)+ H$5*OFFSET($B155,-2* H$2,0), Q154)</f>
        <v/>
      </c>
      <c r="R155">
        <f>IF(MOD($A155,I$2)=0,OFFSET(R155,-I$2,0)+ I$3* $B155+I$4*OFFSET($B155,-I$2,0)+ I$5*OFFSET($B155,-2* I$2,0), R154)</f>
        <v/>
      </c>
    </row>
    <row r="156">
      <c r="A156" t="n">
        <v>147</v>
      </c>
      <c r="B156" t="n">
        <v>1</v>
      </c>
      <c r="C156">
        <f>C155+D$3*$B156+D$4*$B155+D$5*$B154</f>
        <v/>
      </c>
      <c r="D156">
        <f>D151+E$3*$B156+E$4*$B151+E$5*$B146</f>
        <v/>
      </c>
      <c r="E156">
        <f>E146+F$3*$B156+F$4*$B146+F$5*$B136</f>
        <v/>
      </c>
      <c r="F156">
        <f>F155+G$3*$B156+G$4*$B155+G$5*$B154</f>
        <v/>
      </c>
      <c r="G156">
        <f>G151+H$3*$B156+H$4*$B151+H$5*$B146</f>
        <v/>
      </c>
      <c r="H156">
        <f>H146+I$3*$B156+I$4*$B146+I$5*$B136</f>
        <v/>
      </c>
      <c r="L156" t="n">
        <v>1</v>
      </c>
      <c r="M156">
        <f>IF(MOD($A156,D$2)=0,OFFSET(M156,-D$2,0)+ D$3* $B156+D$4*OFFSET($B156,-D$2,0)+ D$5*OFFSET($B156,-2* D$2,0), M155)</f>
        <v/>
      </c>
      <c r="N156">
        <f>IF(MOD($A156,E$2)=0,OFFSET(N156,-E$2,0)+ E$3* $B156+E$4*OFFSET($B156,-E$2,0)+ E$5*OFFSET($B156,-2* E$2,0), N155)</f>
        <v/>
      </c>
      <c r="O156">
        <f>IF(MOD($A156,F$2)=0,OFFSET(O156,-F$2,0)+ F$3* $B156+F$4*OFFSET($B156,-F$2,0)+ F$5*OFFSET($B156,-2* F$2,0), O155)</f>
        <v/>
      </c>
      <c r="P156">
        <f>IF(MOD($A156,G$2)=0,OFFSET(P156,-G$2,0)+ G$3* $B156+G$4*OFFSET($B156,-G$2,0)+ G$5*OFFSET($B156,-2* G$2,0), P155)</f>
        <v/>
      </c>
      <c r="Q156">
        <f>IF(MOD($A156,H$2)=0,OFFSET(Q156,-H$2,0)+ H$3* $B156+H$4*OFFSET($B156,-H$2,0)+ H$5*OFFSET($B156,-2* H$2,0), Q155)</f>
        <v/>
      </c>
      <c r="R156">
        <f>IF(MOD($A156,I$2)=0,OFFSET(R156,-I$2,0)+ I$3* $B156+I$4*OFFSET($B156,-I$2,0)+ I$5*OFFSET($B156,-2* I$2,0), R155)</f>
        <v/>
      </c>
    </row>
    <row r="157">
      <c r="A157" t="n">
        <v>148</v>
      </c>
      <c r="B157" t="n">
        <v>1</v>
      </c>
      <c r="C157">
        <f>C156+D$3*$B157+D$4*$B156+D$5*$B155</f>
        <v/>
      </c>
      <c r="D157">
        <f>D152+E$3*$B157+E$4*$B152+E$5*$B147</f>
        <v/>
      </c>
      <c r="E157">
        <f>E147+F$3*$B157+F$4*$B147+F$5*$B137</f>
        <v/>
      </c>
      <c r="F157">
        <f>F156+G$3*$B157+G$4*$B156+G$5*$B155</f>
        <v/>
      </c>
      <c r="G157">
        <f>G152+H$3*$B157+H$4*$B152+H$5*$B147</f>
        <v/>
      </c>
      <c r="H157">
        <f>H147+I$3*$B157+I$4*$B147+I$5*$B137</f>
        <v/>
      </c>
      <c r="L157" t="n">
        <v>1</v>
      </c>
      <c r="M157">
        <f>IF(MOD($A157,D$2)=0,OFFSET(M157,-D$2,0)+ D$3* $B157+D$4*OFFSET($B157,-D$2,0)+ D$5*OFFSET($B157,-2* D$2,0), M156)</f>
        <v/>
      </c>
      <c r="N157">
        <f>IF(MOD($A157,E$2)=0,OFFSET(N157,-E$2,0)+ E$3* $B157+E$4*OFFSET($B157,-E$2,0)+ E$5*OFFSET($B157,-2* E$2,0), N156)</f>
        <v/>
      </c>
      <c r="O157">
        <f>IF(MOD($A157,F$2)=0,OFFSET(O157,-F$2,0)+ F$3* $B157+F$4*OFFSET($B157,-F$2,0)+ F$5*OFFSET($B157,-2* F$2,0), O156)</f>
        <v/>
      </c>
      <c r="P157">
        <f>IF(MOD($A157,G$2)=0,OFFSET(P157,-G$2,0)+ G$3* $B157+G$4*OFFSET($B157,-G$2,0)+ G$5*OFFSET($B157,-2* G$2,0), P156)</f>
        <v/>
      </c>
      <c r="Q157">
        <f>IF(MOD($A157,H$2)=0,OFFSET(Q157,-H$2,0)+ H$3* $B157+H$4*OFFSET($B157,-H$2,0)+ H$5*OFFSET($B157,-2* H$2,0), Q156)</f>
        <v/>
      </c>
      <c r="R157">
        <f>IF(MOD($A157,I$2)=0,OFFSET(R157,-I$2,0)+ I$3* $B157+I$4*OFFSET($B157,-I$2,0)+ I$5*OFFSET($B157,-2* I$2,0), R156)</f>
        <v/>
      </c>
    </row>
    <row r="158">
      <c r="A158" t="n">
        <v>149</v>
      </c>
      <c r="B158" t="n">
        <v>1</v>
      </c>
      <c r="C158">
        <f>C157+D$3*$B158+D$4*$B157+D$5*$B156</f>
        <v/>
      </c>
      <c r="D158">
        <f>D153+E$3*$B158+E$4*$B153+E$5*$B148</f>
        <v/>
      </c>
      <c r="E158">
        <f>E148+F$3*$B158+F$4*$B148+F$5*$B138</f>
        <v/>
      </c>
      <c r="F158">
        <f>F157+G$3*$B158+G$4*$B157+G$5*$B156</f>
        <v/>
      </c>
      <c r="G158">
        <f>G153+H$3*$B158+H$4*$B153+H$5*$B148</f>
        <v/>
      </c>
      <c r="H158">
        <f>H148+I$3*$B158+I$4*$B148+I$5*$B138</f>
        <v/>
      </c>
      <c r="L158" t="n">
        <v>1</v>
      </c>
      <c r="M158">
        <f>IF(MOD($A158,D$2)=0,OFFSET(M158,-D$2,0)+ D$3* $B158+D$4*OFFSET($B158,-D$2,0)+ D$5*OFFSET($B158,-2* D$2,0), M157)</f>
        <v/>
      </c>
      <c r="N158">
        <f>IF(MOD($A158,E$2)=0,OFFSET(N158,-E$2,0)+ E$3* $B158+E$4*OFFSET($B158,-E$2,0)+ E$5*OFFSET($B158,-2* E$2,0), N157)</f>
        <v/>
      </c>
      <c r="O158">
        <f>IF(MOD($A158,F$2)=0,OFFSET(O158,-F$2,0)+ F$3* $B158+F$4*OFFSET($B158,-F$2,0)+ F$5*OFFSET($B158,-2* F$2,0), O157)</f>
        <v/>
      </c>
      <c r="P158">
        <f>IF(MOD($A158,G$2)=0,OFFSET(P158,-G$2,0)+ G$3* $B158+G$4*OFFSET($B158,-G$2,0)+ G$5*OFFSET($B158,-2* G$2,0), P157)</f>
        <v/>
      </c>
      <c r="Q158">
        <f>IF(MOD($A158,H$2)=0,OFFSET(Q158,-H$2,0)+ H$3* $B158+H$4*OFFSET($B158,-H$2,0)+ H$5*OFFSET($B158,-2* H$2,0), Q157)</f>
        <v/>
      </c>
      <c r="R158">
        <f>IF(MOD($A158,I$2)=0,OFFSET(R158,-I$2,0)+ I$3* $B158+I$4*OFFSET($B158,-I$2,0)+ I$5*OFFSET($B158,-2* I$2,0), R157)</f>
        <v/>
      </c>
    </row>
    <row r="159">
      <c r="A159" t="n">
        <v>150</v>
      </c>
      <c r="B159" t="n">
        <v>1</v>
      </c>
      <c r="C159">
        <f>C158+D$3*$B159+D$4*$B158+D$5*$B157</f>
        <v/>
      </c>
      <c r="D159">
        <f>D154+E$3*$B159+E$4*$B154+E$5*$B149</f>
        <v/>
      </c>
      <c r="E159">
        <f>E149+F$3*$B159+F$4*$B149+F$5*$B139</f>
        <v/>
      </c>
      <c r="F159">
        <f>F158+G$3*$B159+G$4*$B158+G$5*$B157</f>
        <v/>
      </c>
      <c r="G159">
        <f>G154+H$3*$B159+H$4*$B154+H$5*$B149</f>
        <v/>
      </c>
      <c r="H159">
        <f>H149+I$3*$B159+I$4*$B149+I$5*$B139</f>
        <v/>
      </c>
      <c r="L159" t="n">
        <v>1</v>
      </c>
      <c r="M159">
        <f>IF(MOD($A159,D$2)=0,OFFSET(M159,-D$2,0)+ D$3* $B159+D$4*OFFSET($B159,-D$2,0)+ D$5*OFFSET($B159,-2* D$2,0), M158)</f>
        <v/>
      </c>
      <c r="N159">
        <f>IF(MOD($A159,E$2)=0,OFFSET(N159,-E$2,0)+ E$3* $B159+E$4*OFFSET($B159,-E$2,0)+ E$5*OFFSET($B159,-2* E$2,0), N158)</f>
        <v/>
      </c>
      <c r="O159">
        <f>IF(MOD($A159,F$2)=0,OFFSET(O159,-F$2,0)+ F$3* $B159+F$4*OFFSET($B159,-F$2,0)+ F$5*OFFSET($B159,-2* F$2,0), O158)</f>
        <v/>
      </c>
      <c r="P159">
        <f>IF(MOD($A159,G$2)=0,OFFSET(P159,-G$2,0)+ G$3* $B159+G$4*OFFSET($B159,-G$2,0)+ G$5*OFFSET($B159,-2* G$2,0), P158)</f>
        <v/>
      </c>
      <c r="Q159">
        <f>IF(MOD($A159,H$2)=0,OFFSET(Q159,-H$2,0)+ H$3* $B159+H$4*OFFSET($B159,-H$2,0)+ H$5*OFFSET($B159,-2* H$2,0), Q158)</f>
        <v/>
      </c>
      <c r="R159">
        <f>IF(MOD($A159,I$2)=0,OFFSET(R159,-I$2,0)+ I$3* $B159+I$4*OFFSET($B159,-I$2,0)+ I$5*OFFSET($B159,-2* I$2,0), R158)</f>
        <v/>
      </c>
    </row>
  </sheetData>
  <mergeCells count="7">
    <mergeCell ref="P7:R7"/>
    <mergeCell ref="M7:O7"/>
    <mergeCell ref="A1:B1"/>
    <mergeCell ref="F7:H7"/>
    <mergeCell ref="C7:E7"/>
    <mergeCell ref="D1:F1"/>
    <mergeCell ref="G1:I1"/>
  </mergeCells>
  <pageMargins left="0.7" right="0.7" top="0.75" bottom="0.75" header="0.3" footer="0.3"/>
  <pageSetup orientation="portrait" paperSize="0" horizontalDpi="0" verticalDpi="0" copies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02"/>
  <sheetViews>
    <sheetView tabSelected="1" zoomScale="70" zoomScaleNormal="70" workbookViewId="0">
      <selection activeCell="J17" sqref="J17"/>
    </sheetView>
  </sheetViews>
  <sheetFormatPr baseColWidth="8" defaultColWidth="9.109375" defaultRowHeight="14.4"/>
  <cols>
    <col width="12.33203125" customWidth="1" style="15" min="1" max="1"/>
    <col width="14.33203125" customWidth="1" style="15" min="2" max="2"/>
    <col width="9.109375" customWidth="1" style="15" min="3" max="4"/>
    <col width="9.44140625" bestFit="1" customWidth="1" style="15" min="5" max="5"/>
    <col width="9.109375" customWidth="1" style="15" min="6" max="22"/>
    <col width="9.109375" customWidth="1" style="29" min="23" max="23"/>
    <col width="13.44140625" customWidth="1" style="15" min="24" max="24"/>
    <col width="12.88671875" customWidth="1" style="15" min="25" max="25"/>
    <col width="10.33203125" bestFit="1" customWidth="1" style="15" min="26" max="26"/>
    <col width="21.77734375" customWidth="1" style="15" min="27" max="27"/>
    <col width="19.21875" bestFit="1" customWidth="1" style="15" min="28" max="28"/>
    <col width="9.109375" customWidth="1" style="15" min="29" max="29"/>
    <col width="10.33203125" bestFit="1" customWidth="1" style="15" min="30" max="30"/>
    <col width="9.109375" customWidth="1" style="15" min="31" max="34"/>
    <col width="10.33203125" bestFit="1" customWidth="1" style="15" min="35" max="35"/>
    <col width="9.109375" customWidth="1" style="15" min="36" max="16384"/>
  </cols>
  <sheetData>
    <row r="1" ht="15" customHeight="1" thickBot="1">
      <c r="A1" s="49" t="inlineStr">
        <is>
          <t>Параметры обьекта</t>
        </is>
      </c>
      <c r="B1" s="50" t="n"/>
      <c r="D1" s="28" t="inlineStr">
        <is>
          <t>Т0</t>
        </is>
      </c>
      <c r="E1" s="16" t="n">
        <v>1</v>
      </c>
      <c r="H1" s="17" t="inlineStr">
        <is>
          <t>A1</t>
        </is>
      </c>
      <c r="I1" s="18">
        <f>EXP(-B$6/$B$4)+EXP(-B$6/$B$5)</f>
        <v/>
      </c>
      <c r="L1" s="15" t="inlineStr">
        <is>
          <t>t</t>
        </is>
      </c>
      <c r="M1" s="15" t="inlineStr">
        <is>
          <t>g(nT0)</t>
        </is>
      </c>
      <c r="N1" s="15" t="inlineStr">
        <is>
          <t>e(nT0)</t>
        </is>
      </c>
      <c r="O1" s="15" t="inlineStr">
        <is>
          <t>u(nT0)</t>
        </is>
      </c>
      <c r="P1" s="15" t="inlineStr">
        <is>
          <t>u(t)</t>
        </is>
      </c>
      <c r="Q1" s="15" t="inlineStr">
        <is>
          <t>f(t)</t>
        </is>
      </c>
      <c r="R1" s="15" t="inlineStr">
        <is>
          <t>x(t)</t>
        </is>
      </c>
      <c r="S1" s="15" t="inlineStr">
        <is>
          <t>x*(t)</t>
        </is>
      </c>
      <c r="T1" s="15" t="inlineStr">
        <is>
          <t>s(t)</t>
        </is>
      </c>
      <c r="U1" s="15" t="inlineStr">
        <is>
          <t>y(t)</t>
        </is>
      </c>
      <c r="V1" s="15" t="inlineStr">
        <is>
          <t>y(nT0)</t>
        </is>
      </c>
      <c r="X1" s="15" t="inlineStr">
        <is>
          <t>Граница верх</t>
        </is>
      </c>
      <c r="Y1" s="15" t="inlineStr">
        <is>
          <t>Граница низ</t>
        </is>
      </c>
      <c r="Z1" s="15" t="inlineStr">
        <is>
          <t>Вход</t>
        </is>
      </c>
      <c r="AA1" s="15" t="inlineStr">
        <is>
          <t>Время регулирования</t>
        </is>
      </c>
      <c r="AB1" s="15" t="inlineStr">
        <is>
          <t>Перерегулирование</t>
        </is>
      </c>
    </row>
    <row r="2">
      <c r="A2" s="19" t="inlineStr">
        <is>
          <t>K</t>
        </is>
      </c>
      <c r="B2" s="20" t="n">
        <v>4</v>
      </c>
      <c r="D2" s="21" t="inlineStr">
        <is>
          <t>q0</t>
        </is>
      </c>
      <c r="E2" s="18">
        <f>$B$8*(1+B11/(2*$B$9)+B10/B11)</f>
        <v/>
      </c>
      <c r="H2" s="22" t="inlineStr">
        <is>
          <t>A2</t>
        </is>
      </c>
      <c r="I2" s="20">
        <f>EXP(-B$6/$B$4)*EXP(-B$6/$B$5)</f>
        <v/>
      </c>
      <c r="L2" s="15" t="n">
        <v>0</v>
      </c>
      <c r="M2" s="15">
        <f>IF(L2&lt;$D$16,$D$13,IF(L2&lt;$E$16,$E$13,$F$13))</f>
        <v/>
      </c>
      <c r="N2" s="15">
        <f>M2-V2</f>
        <v/>
      </c>
      <c r="O2" s="15" t="n">
        <v>0</v>
      </c>
      <c r="P2" s="15">
        <f>INT((2^$J$12-1)*O2/100)/(2^$J$12-1)*100</f>
        <v/>
      </c>
      <c r="Q2" s="15" t="n">
        <v>0</v>
      </c>
      <c r="R2" s="15">
        <f>P2+Q2</f>
        <v/>
      </c>
      <c r="S2" s="15">
        <f>$D$13</f>
        <v/>
      </c>
      <c r="T2" s="15">
        <f>RAND()*$G$12</f>
        <v/>
      </c>
      <c r="U2" s="15">
        <f>S2+T2</f>
        <v/>
      </c>
      <c r="V2" s="15">
        <f>INT((2^$J$12-1)*U2/100)/(2^$J$12-1)*100</f>
        <v/>
      </c>
      <c r="X2" s="15">
        <f>M2 * 1.05</f>
        <v/>
      </c>
      <c r="Y2" s="15">
        <f>M2 * 0.95</f>
        <v/>
      </c>
      <c r="Z2" s="15">
        <f>IF(AND(V2 &lt;= X2, V2 &gt;= Y2), 1, 0)</f>
        <v/>
      </c>
      <c r="AA2" s="15">
        <f>INDEX(L42:L300, IFERROR(LOOKUP(2,1/(Z42:Z300=0),ROW(Z42:Z300))-40,1))</f>
        <v/>
      </c>
      <c r="AB2" s="15">
        <f>MAX(V2:V322)</f>
        <v/>
      </c>
    </row>
    <row r="3">
      <c r="A3" s="19" t="inlineStr">
        <is>
          <t>tau</t>
        </is>
      </c>
      <c r="B3" s="20" t="n">
        <v>40</v>
      </c>
      <c r="D3" s="19" t="inlineStr">
        <is>
          <t>q1</t>
        </is>
      </c>
      <c r="E3" s="20">
        <f>$B$8*(B11/(2*$B$9)-1-2*$B$10/B11)</f>
        <v/>
      </c>
      <c r="H3" s="22" t="inlineStr">
        <is>
          <t>B1</t>
        </is>
      </c>
      <c r="I3" s="20">
        <f>$B$2*(1+$B$4/($B$5-$B$4)*EXP(-B6/$B$4)-$B$5/($B$5-$B$4)*EXP(-B6/$B$5))</f>
        <v/>
      </c>
      <c r="L3" s="15" t="n">
        <v>1</v>
      </c>
      <c r="M3" s="15">
        <f>IF(L3&lt;$D$16,$D$13,IF(L3&lt;$E$16,$E$13,$F$13))</f>
        <v/>
      </c>
      <c r="N3" s="15">
        <f>M3-V3</f>
        <v/>
      </c>
      <c r="O3" s="15" t="n">
        <v>0</v>
      </c>
      <c r="P3" s="15">
        <f>INT((2^$J$12-1)*O3/100)/(2^$J$12-1)*100</f>
        <v/>
      </c>
      <c r="Q3" s="15" t="n">
        <v>0</v>
      </c>
      <c r="R3" s="15">
        <f>P3+Q3</f>
        <v/>
      </c>
      <c r="S3" s="15">
        <f>$D$13</f>
        <v/>
      </c>
      <c r="T3" s="15">
        <f>RAND()*$G$12</f>
        <v/>
      </c>
      <c r="U3" s="15">
        <f>S3+T3</f>
        <v/>
      </c>
      <c r="V3" s="15">
        <f>INT((2^$J$12-1)*U3/100)/(2^$J$12-1)*100</f>
        <v/>
      </c>
      <c r="X3" s="15">
        <f>M3 * 1.05</f>
        <v/>
      </c>
      <c r="Y3" s="15">
        <f>M3 * 0.95</f>
        <v/>
      </c>
      <c r="Z3" s="15">
        <f>IF(AND(V3 &lt;= X3, V3 &gt;= Y3), 1, 0)</f>
        <v/>
      </c>
      <c r="AB3" s="15">
        <f>AB2-E13</f>
        <v/>
      </c>
    </row>
    <row r="4" ht="15" customHeight="1" thickBot="1">
      <c r="A4" s="19" t="inlineStr">
        <is>
          <t>T1</t>
        </is>
      </c>
      <c r="B4" s="20" t="n">
        <v>17</v>
      </c>
      <c r="D4" s="23" t="inlineStr">
        <is>
          <t>q2</t>
        </is>
      </c>
      <c r="E4" s="24">
        <f>$B$8*$B$10/B11</f>
        <v/>
      </c>
      <c r="H4" s="25" t="inlineStr">
        <is>
          <t>B2</t>
        </is>
      </c>
      <c r="I4" s="24">
        <f>$B$2*(EXP(-B6/$B$4)*EXP(-B6/$B$5)+$B$4/($B$5-$B$4)*EXP(-B6/$B$5)-$B$5/($B$5-$B$4)*EXP(-B6/$B$4))</f>
        <v/>
      </c>
      <c r="L4" s="15" t="n">
        <v>2</v>
      </c>
      <c r="M4" s="15">
        <f>IF(L4&lt;$D$16,$D$13,IF(L4&lt;$E$16,$E$13,$F$13))</f>
        <v/>
      </c>
      <c r="N4" s="15">
        <f>M4-V4</f>
        <v/>
      </c>
      <c r="O4" s="15" t="n">
        <v>0</v>
      </c>
      <c r="P4" s="15">
        <f>INT((2^$J$12-1)*O4/100)/(2^$J$12-1)*100</f>
        <v/>
      </c>
      <c r="Q4" s="15" t="n">
        <v>0</v>
      </c>
      <c r="R4" s="15">
        <f>P4+Q4</f>
        <v/>
      </c>
      <c r="S4" s="15">
        <f>$D$13</f>
        <v/>
      </c>
      <c r="T4" s="15">
        <f>RAND()*$G$12</f>
        <v/>
      </c>
      <c r="U4" s="15">
        <f>S4+T4</f>
        <v/>
      </c>
      <c r="V4" s="15">
        <f>INT((2^$J$12-1)*U4/100)/(2^$J$12-1)*100</f>
        <v/>
      </c>
      <c r="X4" s="15">
        <f>M4 * 1.05</f>
        <v/>
      </c>
      <c r="Y4" s="15">
        <f>M4 * 0.95</f>
        <v/>
      </c>
      <c r="Z4" s="15">
        <f>IF(AND(V4 &lt;= X4, V4 &gt;= Y4), 1, 0)</f>
        <v/>
      </c>
      <c r="AB4" s="15">
        <f>AB3/E13</f>
        <v/>
      </c>
    </row>
    <row r="5" ht="15" customHeight="1" thickBot="1">
      <c r="A5" s="23" t="inlineStr">
        <is>
          <t>T2</t>
        </is>
      </c>
      <c r="B5" s="24" t="n">
        <v>13</v>
      </c>
      <c r="L5" s="15" t="n">
        <v>3</v>
      </c>
      <c r="M5" s="15">
        <f>IF(L5&lt;$D$16,$D$13,IF(L5&lt;$E$16,$E$13,$F$13))</f>
        <v/>
      </c>
      <c r="N5" s="15">
        <f>M5-V5</f>
        <v/>
      </c>
      <c r="O5" s="15" t="n">
        <v>0</v>
      </c>
      <c r="P5" s="15">
        <f>INT((2^$J$12-1)*O5/100)/(2^$J$12-1)*100</f>
        <v/>
      </c>
      <c r="Q5" s="15" t="n">
        <v>0</v>
      </c>
      <c r="R5" s="15">
        <f>P5+Q5</f>
        <v/>
      </c>
      <c r="S5" s="15">
        <f>$D$13</f>
        <v/>
      </c>
      <c r="T5" s="15">
        <f>RAND()*$G$12</f>
        <v/>
      </c>
      <c r="U5" s="15">
        <f>S5+T5</f>
        <v/>
      </c>
      <c r="V5" s="15">
        <f>INT((2^$J$12-1)*U5/100)/(2^$J$12-1)*100</f>
        <v/>
      </c>
      <c r="X5" s="15">
        <f>M5 * 1.05</f>
        <v/>
      </c>
      <c r="Y5" s="15">
        <f>M5 * 0.95</f>
        <v/>
      </c>
      <c r="Z5" s="15">
        <f>IF(AND(V5 &lt;= X5, V5 &gt;= Y5), 1, 0)</f>
        <v/>
      </c>
      <c r="AB5" s="15">
        <f>AB4*100</f>
        <v/>
      </c>
    </row>
    <row r="6">
      <c r="A6" s="26" t="inlineStr">
        <is>
          <t>T0</t>
        </is>
      </c>
      <c r="B6" s="26" t="n">
        <v>1</v>
      </c>
      <c r="L6" s="15" t="n">
        <v>4</v>
      </c>
      <c r="M6" s="15">
        <f>IF(L6&lt;$D$16,$D$13,IF(L6&lt;$E$16,$E$13,$F$13))</f>
        <v/>
      </c>
      <c r="N6" s="15">
        <f>M6-V6</f>
        <v/>
      </c>
      <c r="O6" s="15" t="n">
        <v>0</v>
      </c>
      <c r="P6" s="15">
        <f>INT((2^$J$12-1)*O6/100)/(2^$J$12-1)*100</f>
        <v/>
      </c>
      <c r="Q6" s="15" t="n">
        <v>0</v>
      </c>
      <c r="R6" s="15">
        <f>P6+Q6</f>
        <v/>
      </c>
      <c r="S6" s="15">
        <f>$D$13</f>
        <v/>
      </c>
      <c r="T6" s="15">
        <f>RAND()*$G$12</f>
        <v/>
      </c>
      <c r="U6" s="15">
        <f>S6+T6</f>
        <v/>
      </c>
      <c r="V6" s="15">
        <f>INT((2^$J$12-1)*U6/100)/(2^$J$12-1)*100</f>
        <v/>
      </c>
      <c r="X6" s="15">
        <f>M6 * 1.05</f>
        <v/>
      </c>
      <c r="Y6" s="15">
        <f>M6 * 0.95</f>
        <v/>
      </c>
      <c r="Z6" s="15">
        <f>IF(AND(V6 &lt;= X6, V6 &gt;= Y6), 1, 0)</f>
        <v/>
      </c>
    </row>
    <row r="7">
      <c r="A7" s="51" t="inlineStr">
        <is>
          <t>Параметры регулятор</t>
        </is>
      </c>
      <c r="B7" s="52" t="n"/>
      <c r="L7" s="15" t="n">
        <v>5</v>
      </c>
      <c r="M7" s="15">
        <f>IF(L7&lt;$D$16,$D$13,IF(L7&lt;$E$16,$E$13,$F$13))</f>
        <v/>
      </c>
      <c r="N7" s="15">
        <f>M7-V7</f>
        <v/>
      </c>
      <c r="O7" s="15" t="n">
        <v>0</v>
      </c>
      <c r="P7" s="15">
        <f>INT((2^$J$12-1)*O7/100)/(2^$J$12-1)*100</f>
        <v/>
      </c>
      <c r="Q7" s="15" t="n">
        <v>0</v>
      </c>
      <c r="R7" s="15">
        <f>P7+Q7</f>
        <v/>
      </c>
      <c r="S7" s="15">
        <f>$D$13</f>
        <v/>
      </c>
      <c r="T7" s="15">
        <f>RAND()*$G$12</f>
        <v/>
      </c>
      <c r="U7" s="15">
        <f>S7+T7</f>
        <v/>
      </c>
      <c r="V7" s="15">
        <f>INT((2^$J$12-1)*U7/100)/(2^$J$12-1)*100</f>
        <v/>
      </c>
      <c r="X7" s="15">
        <f>M7 * 1.05</f>
        <v/>
      </c>
      <c r="Y7" s="15">
        <f>M7 * 0.95</f>
        <v/>
      </c>
      <c r="Z7" s="15">
        <f>IF(AND(V7 &lt;= X7, V7 &gt;= Y7), 1, 0)</f>
        <v/>
      </c>
    </row>
    <row r="8">
      <c r="A8" s="19" t="inlineStr">
        <is>
          <t>kr</t>
        </is>
      </c>
      <c r="B8" s="20" t="n">
        <v>0.18</v>
      </c>
      <c r="E8" s="20" t="n">
        <v>0.18</v>
      </c>
      <c r="G8" s="20" t="n">
        <v>0.22803</v>
      </c>
      <c r="L8" s="15" t="n">
        <v>6</v>
      </c>
      <c r="M8" s="15">
        <f>IF(L8&lt;$D$16,$D$13,IF(L8&lt;$E$16,$E$13,$F$13))</f>
        <v/>
      </c>
      <c r="N8" s="15">
        <f>M8-V8</f>
        <v/>
      </c>
      <c r="O8" s="15" t="n">
        <v>0</v>
      </c>
      <c r="P8" s="15">
        <f>INT((2^$J$12-1)*O8/100)/(2^$J$12-1)*100</f>
        <v/>
      </c>
      <c r="Q8" s="15" t="n">
        <v>0</v>
      </c>
      <c r="R8" s="15">
        <f>P8+Q8</f>
        <v/>
      </c>
      <c r="S8" s="15">
        <f>$D$13</f>
        <v/>
      </c>
      <c r="T8" s="15">
        <f>RAND()*$G$12</f>
        <v/>
      </c>
      <c r="U8" s="15">
        <f>S8+T8</f>
        <v/>
      </c>
      <c r="V8" s="15">
        <f>INT((2^$J$12-1)*U8/100)/(2^$J$12-1)*100</f>
        <v/>
      </c>
      <c r="X8" s="15">
        <f>M8 * 1.05</f>
        <v/>
      </c>
      <c r="Y8" s="15">
        <f>M8 * 0.95</f>
        <v/>
      </c>
      <c r="Z8" s="15">
        <f>IF(AND(V8 &lt;= X8, V8 &gt;= Y8), 1, 0)</f>
        <v/>
      </c>
    </row>
    <row r="9">
      <c r="A9" s="19" t="inlineStr">
        <is>
          <t>Ti</t>
        </is>
      </c>
      <c r="B9" s="20" t="n">
        <v>27.5</v>
      </c>
      <c r="E9" s="20" t="n">
        <v>27.5</v>
      </c>
      <c r="G9" s="20" t="n">
        <v>36.184</v>
      </c>
      <c r="L9" s="15" t="n">
        <v>7</v>
      </c>
      <c r="M9" s="15">
        <f>IF(L9&lt;$D$16,$D$13,IF(L9&lt;$E$16,$E$13,$F$13))</f>
        <v/>
      </c>
      <c r="N9" s="15">
        <f>M9-V9</f>
        <v/>
      </c>
      <c r="O9" s="15" t="n">
        <v>0</v>
      </c>
      <c r="P9" s="15">
        <f>INT((2^$J$12-1)*O9/100)/(2^$J$12-1)*100</f>
        <v/>
      </c>
      <c r="Q9" s="15" t="n">
        <v>0</v>
      </c>
      <c r="R9" s="15">
        <f>P9+Q9</f>
        <v/>
      </c>
      <c r="S9" s="15">
        <f>$D$13</f>
        <v/>
      </c>
      <c r="T9" s="15">
        <f>RAND()*$G$12</f>
        <v/>
      </c>
      <c r="U9" s="15">
        <f>S9+T9</f>
        <v/>
      </c>
      <c r="V9" s="15">
        <f>INT((2^$J$12-1)*U9/100)/(2^$J$12-1)*100</f>
        <v/>
      </c>
      <c r="X9" s="15">
        <f>M9 * 1.05</f>
        <v/>
      </c>
      <c r="Y9" s="15">
        <f>M9 * 0.95</f>
        <v/>
      </c>
      <c r="Z9" s="15">
        <f>IF(AND(V9 &lt;= X9, V9 &gt;= Y9), 1, 0)</f>
        <v/>
      </c>
    </row>
    <row r="10" ht="15" customHeight="1" thickBot="1">
      <c r="A10" s="23" t="inlineStr">
        <is>
          <t>Td</t>
        </is>
      </c>
      <c r="B10" s="24" t="n">
        <v>10</v>
      </c>
      <c r="E10" s="24" t="n">
        <v>10</v>
      </c>
      <c r="G10" s="24" t="n">
        <v>11.157</v>
      </c>
      <c r="L10" s="15" t="n">
        <v>8</v>
      </c>
      <c r="M10" s="15">
        <f>IF(L10&lt;$D$16,$D$13,IF(L10&lt;$E$16,$E$13,$F$13))</f>
        <v/>
      </c>
      <c r="N10" s="15">
        <f>M10-V10</f>
        <v/>
      </c>
      <c r="O10" s="15" t="n">
        <v>0</v>
      </c>
      <c r="P10" s="15">
        <f>INT((2^$J$12-1)*O10/100)/(2^$J$12-1)*100</f>
        <v/>
      </c>
      <c r="Q10" s="15" t="n">
        <v>0</v>
      </c>
      <c r="R10" s="15">
        <f>P10+Q10</f>
        <v/>
      </c>
      <c r="S10" s="15">
        <f>$D$13</f>
        <v/>
      </c>
      <c r="T10" s="15">
        <f>RAND()*$G$12</f>
        <v/>
      </c>
      <c r="U10" s="15">
        <f>S10+T10</f>
        <v/>
      </c>
      <c r="V10" s="15">
        <f>INT((2^$J$12-1)*U10/100)/(2^$J$12-1)*100</f>
        <v/>
      </c>
      <c r="X10" s="15">
        <f>M10 * 1.05</f>
        <v/>
      </c>
      <c r="Y10" s="15">
        <f>M10 * 0.95</f>
        <v/>
      </c>
      <c r="Z10" s="15">
        <f>IF(AND(V10 &lt;= X10, V10 &gt;= Y10), 1, 0)</f>
        <v/>
      </c>
    </row>
    <row r="11">
      <c r="A11" s="15" t="inlineStr">
        <is>
          <t>T0</t>
        </is>
      </c>
      <c r="B11" s="15" t="n">
        <v>3</v>
      </c>
      <c r="D11" s="15" t="inlineStr">
        <is>
          <t>g(nT0)</t>
        </is>
      </c>
      <c r="E11" s="15" t="inlineStr">
        <is>
          <t>g(nT1)</t>
        </is>
      </c>
      <c r="F11" s="15" t="inlineStr">
        <is>
          <t>g(nT2)</t>
        </is>
      </c>
      <c r="G11" s="15" t="inlineStr">
        <is>
          <t>Ks</t>
        </is>
      </c>
      <c r="H11" s="15" t="inlineStr">
        <is>
          <t>Kf</t>
        </is>
      </c>
      <c r="I11" s="15" t="inlineStr">
        <is>
          <t>T0</t>
        </is>
      </c>
      <c r="J11" s="15" t="inlineStr">
        <is>
          <t>n</t>
        </is>
      </c>
      <c r="L11" s="15" t="n">
        <v>9</v>
      </c>
      <c r="M11" s="15">
        <f>IF(L11&lt;$D$16,$D$13,IF(L11&lt;$E$16,$E$13,$F$13))</f>
        <v/>
      </c>
      <c r="N11" s="15">
        <f>M11-V11</f>
        <v/>
      </c>
      <c r="O11" s="15" t="n">
        <v>0</v>
      </c>
      <c r="P11" s="15">
        <f>INT((2^$J$12-1)*O11/100)/(2^$J$12-1)*100</f>
        <v/>
      </c>
      <c r="Q11" s="15" t="n">
        <v>0</v>
      </c>
      <c r="R11" s="15">
        <f>P11+Q11</f>
        <v/>
      </c>
      <c r="S11" s="15">
        <f>$D$13</f>
        <v/>
      </c>
      <c r="T11" s="15">
        <f>RAND()*$G$12</f>
        <v/>
      </c>
      <c r="U11" s="15">
        <f>S11+T11</f>
        <v/>
      </c>
      <c r="V11" s="15">
        <f>INT((2^$J$12-1)*U11/100)/(2^$J$12-1)*100</f>
        <v/>
      </c>
      <c r="X11" s="15">
        <f>M11 * 1.05</f>
        <v/>
      </c>
      <c r="Y11" s="15">
        <f>M11 * 0.95</f>
        <v/>
      </c>
      <c r="Z11" s="15">
        <f>IF(AND(V11 &lt;= X11, V11 &gt;= Y11), 1, 0)</f>
        <v/>
      </c>
    </row>
    <row r="12">
      <c r="D12" s="15" t="n">
        <v>0</v>
      </c>
      <c r="E12" s="15" t="n">
        <v>1</v>
      </c>
      <c r="F12" s="15" t="n">
        <v>0</v>
      </c>
      <c r="G12" s="15" t="n">
        <v>0.01</v>
      </c>
      <c r="H12" s="15" t="n">
        <v>0.1</v>
      </c>
      <c r="I12" s="15">
        <f>B11</f>
        <v/>
      </c>
      <c r="J12" s="15" t="n">
        <v>32</v>
      </c>
      <c r="L12" s="15" t="n">
        <v>10</v>
      </c>
      <c r="M12" s="15">
        <f>IF(L12&lt;$D$16,$D$13,IF(L12&lt;$E$16,$E$13,$F$13))</f>
        <v/>
      </c>
      <c r="N12" s="15">
        <f>M12-V12</f>
        <v/>
      </c>
      <c r="O12" s="15" t="n">
        <v>0</v>
      </c>
      <c r="P12" s="15">
        <f>INT((2^$J$12-1)*O12/100)/(2^$J$12-1)*100</f>
        <v/>
      </c>
      <c r="Q12" s="15" t="n">
        <v>0</v>
      </c>
      <c r="R12" s="15">
        <f>P12+Q12</f>
        <v/>
      </c>
      <c r="S12" s="15">
        <f>$D$13</f>
        <v/>
      </c>
      <c r="T12" s="15">
        <f>RAND()*$G$12</f>
        <v/>
      </c>
      <c r="U12" s="15">
        <f>S12+T12</f>
        <v/>
      </c>
      <c r="V12" s="15">
        <f>INT((2^$J$12-1)*U12/100)/(2^$J$12-1)*100</f>
        <v/>
      </c>
      <c r="X12" s="15">
        <f>M12 * 1.05</f>
        <v/>
      </c>
      <c r="Y12" s="15">
        <f>M12 * 0.95</f>
        <v/>
      </c>
      <c r="Z12" s="15">
        <f>IF(AND(V12 &lt;= X12, V12 &gt;= Y12), 1, 0)</f>
        <v/>
      </c>
    </row>
    <row r="13">
      <c r="D13" s="15" t="n">
        <v>1</v>
      </c>
      <c r="E13" s="15" t="n">
        <v>10</v>
      </c>
      <c r="F13" s="15" t="n">
        <v>1</v>
      </c>
      <c r="H13" s="15" t="inlineStr">
        <is>
          <t>(300 с)</t>
        </is>
      </c>
      <c r="L13" s="15" t="n">
        <v>11</v>
      </c>
      <c r="M13" s="15">
        <f>IF(L13&lt;$D$16,$D$13,IF(L13&lt;$E$16,$E$13,$F$13))</f>
        <v/>
      </c>
      <c r="N13" s="15">
        <f>M13-V13</f>
        <v/>
      </c>
      <c r="O13" s="15" t="n">
        <v>0</v>
      </c>
      <c r="P13" s="15">
        <f>INT((2^$J$12-1)*O13/100)/(2^$J$12-1)*100</f>
        <v/>
      </c>
      <c r="Q13" s="15" t="n">
        <v>0</v>
      </c>
      <c r="R13" s="15">
        <f>P13+Q13</f>
        <v/>
      </c>
      <c r="S13" s="15">
        <f>$D$13</f>
        <v/>
      </c>
      <c r="T13" s="15">
        <f>RAND()*$G$12</f>
        <v/>
      </c>
      <c r="U13" s="15">
        <f>S13+T13</f>
        <v/>
      </c>
      <c r="V13" s="15">
        <f>INT((2^$J$12-1)*U13/100)/(2^$J$12-1)*100</f>
        <v/>
      </c>
      <c r="X13" s="15">
        <f>M13 * 1.05</f>
        <v/>
      </c>
      <c r="Y13" s="15">
        <f>M13 * 0.95</f>
        <v/>
      </c>
      <c r="Z13" s="15">
        <f>IF(AND(V13 &lt;= X13, V13 &gt;= Y13), 1, 0)</f>
        <v/>
      </c>
    </row>
    <row r="14">
      <c r="L14" s="15" t="n">
        <v>12</v>
      </c>
      <c r="M14" s="15">
        <f>IF(L14&lt;$D$16,$D$13,IF(L14&lt;$E$16,$E$13,$F$13))</f>
        <v/>
      </c>
      <c r="N14" s="15">
        <f>M14-V14</f>
        <v/>
      </c>
      <c r="O14" s="15" t="n">
        <v>0</v>
      </c>
      <c r="P14" s="15">
        <f>INT((2^$J$12-1)*O14/100)/(2^$J$12-1)*100</f>
        <v/>
      </c>
      <c r="Q14" s="15" t="n">
        <v>0</v>
      </c>
      <c r="R14" s="15">
        <f>P14+Q14</f>
        <v/>
      </c>
      <c r="S14" s="15">
        <f>$D$13</f>
        <v/>
      </c>
      <c r="T14" s="15">
        <f>RAND()*$G$12</f>
        <v/>
      </c>
      <c r="U14" s="15">
        <f>S14+T14</f>
        <v/>
      </c>
      <c r="V14" s="15">
        <f>INT((2^$J$12-1)*U14/100)/(2^$J$12-1)*100</f>
        <v/>
      </c>
      <c r="X14" s="15">
        <f>M14 * 1.05</f>
        <v/>
      </c>
      <c r="Y14" s="15">
        <f>M14 * 0.95</f>
        <v/>
      </c>
      <c r="Z14" s="15">
        <f>IF(AND(V14 &lt;= X14, V14 &gt;= Y14), 1, 0)</f>
        <v/>
      </c>
    </row>
    <row r="15">
      <c r="L15" s="15" t="n">
        <v>13</v>
      </c>
      <c r="M15" s="15">
        <f>IF(L15&lt;$D$16,$D$13,IF(L15&lt;$E$16,$E$13,$F$13))</f>
        <v/>
      </c>
      <c r="N15" s="15">
        <f>M15-V15</f>
        <v/>
      </c>
      <c r="O15" s="15" t="n">
        <v>0</v>
      </c>
      <c r="P15" s="15">
        <f>INT((2^$J$12-1)*O15/100)/(2^$J$12-1)*100</f>
        <v/>
      </c>
      <c r="Q15" s="15" t="n">
        <v>0</v>
      </c>
      <c r="R15" s="15">
        <f>P15+Q15</f>
        <v/>
      </c>
      <c r="S15" s="15">
        <f>$D$13</f>
        <v/>
      </c>
      <c r="T15" s="15">
        <f>RAND()*$G$12</f>
        <v/>
      </c>
      <c r="U15" s="15">
        <f>S15+T15</f>
        <v/>
      </c>
      <c r="V15" s="15">
        <f>INT((2^$J$12-1)*U15/100)/(2^$J$12-1)*100</f>
        <v/>
      </c>
      <c r="X15" s="15">
        <f>M15 * 1.05</f>
        <v/>
      </c>
      <c r="Y15" s="15">
        <f>M15 * 0.95</f>
        <v/>
      </c>
      <c r="Z15" s="15">
        <f>IF(AND(V15 &lt;= X15, V15 &gt;= Y15), 1, 0)</f>
        <v/>
      </c>
    </row>
    <row r="16">
      <c r="D16" s="15" t="n">
        <v>40</v>
      </c>
      <c r="E16" s="15" t="n">
        <v>600</v>
      </c>
      <c r="L16" s="15" t="n">
        <v>14</v>
      </c>
      <c r="M16" s="15">
        <f>IF(L16&lt;$D$16,$D$13,IF(L16&lt;$E$16,$E$13,$F$13))</f>
        <v/>
      </c>
      <c r="N16" s="15">
        <f>M16-V16</f>
        <v/>
      </c>
      <c r="O16" s="15" t="n">
        <v>0</v>
      </c>
      <c r="P16" s="15">
        <f>INT((2^$J$12-1)*O16/100)/(2^$J$12-1)*100</f>
        <v/>
      </c>
      <c r="Q16" s="15" t="n">
        <v>0</v>
      </c>
      <c r="R16" s="15">
        <f>P16+Q16</f>
        <v/>
      </c>
      <c r="S16" s="15">
        <f>$D$13</f>
        <v/>
      </c>
      <c r="T16" s="15">
        <f>RAND()*$G$12</f>
        <v/>
      </c>
      <c r="U16" s="15">
        <f>S16+T16</f>
        <v/>
      </c>
      <c r="V16" s="15">
        <f>INT((2^$J$12-1)*U16/100)/(2^$J$12-1)*100</f>
        <v/>
      </c>
      <c r="X16" s="15">
        <f>M16 * 1.05</f>
        <v/>
      </c>
      <c r="Y16" s="15">
        <f>M16 * 0.95</f>
        <v/>
      </c>
      <c r="Z16" s="15">
        <f>IF(AND(V16 &lt;= X16, V16 &gt;= Y16), 1, 0)</f>
        <v/>
      </c>
    </row>
    <row r="17">
      <c r="L17" s="15" t="n">
        <v>15</v>
      </c>
      <c r="M17" s="15">
        <f>IF(L17&lt;$D$16,$D$13,IF(L17&lt;$E$16,$E$13,$F$13))</f>
        <v/>
      </c>
      <c r="N17" s="15">
        <f>M17-V17</f>
        <v/>
      </c>
      <c r="O17" s="15" t="n">
        <v>0</v>
      </c>
      <c r="P17" s="15">
        <f>INT((2^$J$12-1)*O17/100)/(2^$J$12-1)*100</f>
        <v/>
      </c>
      <c r="Q17" s="15" t="n">
        <v>0</v>
      </c>
      <c r="R17" s="15">
        <f>P17+Q17</f>
        <v/>
      </c>
      <c r="S17" s="15">
        <f>$D$13</f>
        <v/>
      </c>
      <c r="T17" s="15">
        <f>RAND()*$G$12</f>
        <v/>
      </c>
      <c r="U17" s="15">
        <f>S17+T17</f>
        <v/>
      </c>
      <c r="V17" s="15">
        <f>INT((2^$J$12-1)*U17/100)/(2^$J$12-1)*100</f>
        <v/>
      </c>
      <c r="X17" s="15">
        <f>M17 * 1.05</f>
        <v/>
      </c>
      <c r="Y17" s="15">
        <f>M17 * 0.95</f>
        <v/>
      </c>
      <c r="Z17" s="15">
        <f>IF(AND(V17 &lt;= X17, V17 &gt;= Y17), 1, 0)</f>
        <v/>
      </c>
    </row>
    <row r="18">
      <c r="L18" s="15" t="n">
        <v>16</v>
      </c>
      <c r="M18" s="15">
        <f>IF(L18&lt;$D$16,$D$13,IF(L18&lt;$E$16,$E$13,$F$13))</f>
        <v/>
      </c>
      <c r="N18" s="15">
        <f>M18-V18</f>
        <v/>
      </c>
      <c r="O18" s="15" t="n">
        <v>0</v>
      </c>
      <c r="P18" s="15">
        <f>INT((2^$J$12-1)*O18/100)/(2^$J$12-1)*100</f>
        <v/>
      </c>
      <c r="Q18" s="15" t="n">
        <v>0</v>
      </c>
      <c r="R18" s="15">
        <f>P18+Q18</f>
        <v/>
      </c>
      <c r="S18" s="15">
        <f>$D$13</f>
        <v/>
      </c>
      <c r="T18" s="15">
        <f>RAND()*$G$12</f>
        <v/>
      </c>
      <c r="U18" s="15">
        <f>S18+T18</f>
        <v/>
      </c>
      <c r="V18" s="15">
        <f>INT((2^$J$12-1)*U18/100)/(2^$J$12-1)*100</f>
        <v/>
      </c>
      <c r="X18" s="15">
        <f>M18 * 1.05</f>
        <v/>
      </c>
      <c r="Y18" s="15">
        <f>M18 * 0.95</f>
        <v/>
      </c>
      <c r="Z18" s="15">
        <f>IF(AND(V18 &lt;= X18, V18 &gt;= Y18), 1, 0)</f>
        <v/>
      </c>
    </row>
    <row r="19">
      <c r="L19" s="15" t="n">
        <v>17</v>
      </c>
      <c r="M19" s="15">
        <f>IF(L19&lt;$D$16,$D$13,IF(L19&lt;$E$16,$E$13,$F$13))</f>
        <v/>
      </c>
      <c r="N19" s="15">
        <f>M19-V19</f>
        <v/>
      </c>
      <c r="O19" s="15" t="n">
        <v>0</v>
      </c>
      <c r="P19" s="15">
        <f>INT((2^$J$12-1)*O19/100)/(2^$J$12-1)*100</f>
        <v/>
      </c>
      <c r="Q19" s="15" t="n">
        <v>0</v>
      </c>
      <c r="R19" s="15">
        <f>P19+Q19</f>
        <v/>
      </c>
      <c r="S19" s="15">
        <f>$D$13</f>
        <v/>
      </c>
      <c r="T19" s="15">
        <f>RAND()*$G$12</f>
        <v/>
      </c>
      <c r="U19" s="15">
        <f>S19+T19</f>
        <v/>
      </c>
      <c r="V19" s="15">
        <f>INT((2^$J$12-1)*U19/100)/(2^$J$12-1)*100</f>
        <v/>
      </c>
      <c r="X19" s="15">
        <f>M19 * 1.05</f>
        <v/>
      </c>
      <c r="Y19" s="15">
        <f>M19 * 0.95</f>
        <v/>
      </c>
      <c r="Z19" s="15">
        <f>IF(AND(V19 &lt;= X19, V19 &gt;= Y19), 1, 0)</f>
        <v/>
      </c>
    </row>
    <row r="20">
      <c r="L20" s="15" t="n">
        <v>18</v>
      </c>
      <c r="M20" s="15">
        <f>IF(L20&lt;$D$16,$D$13,IF(L20&lt;$E$16,$E$13,$F$13))</f>
        <v/>
      </c>
      <c r="N20" s="15">
        <f>M20-V20</f>
        <v/>
      </c>
      <c r="O20" s="15" t="n">
        <v>0</v>
      </c>
      <c r="P20" s="15">
        <f>INT((2^$J$12-1)*O20/100)/(2^$J$12-1)*100</f>
        <v/>
      </c>
      <c r="Q20" s="15" t="n">
        <v>0</v>
      </c>
      <c r="R20" s="15">
        <f>P20+Q20</f>
        <v/>
      </c>
      <c r="S20" s="15">
        <f>$D$13</f>
        <v/>
      </c>
      <c r="T20" s="15">
        <f>RAND()*$G$12</f>
        <v/>
      </c>
      <c r="U20" s="15">
        <f>S20+T20</f>
        <v/>
      </c>
      <c r="V20" s="15">
        <f>INT((2^$J$12-1)*U20/100)/(2^$J$12-1)*100</f>
        <v/>
      </c>
      <c r="X20" s="15">
        <f>M20 * 1.05</f>
        <v/>
      </c>
      <c r="Y20" s="15">
        <f>M20 * 0.95</f>
        <v/>
      </c>
      <c r="Z20" s="15">
        <f>IF(AND(V20 &lt;= X20, V20 &gt;= Y20), 1, 0)</f>
        <v/>
      </c>
    </row>
    <row r="21">
      <c r="L21" s="15" t="n">
        <v>19</v>
      </c>
      <c r="M21" s="15">
        <f>IF(L21&lt;$D$16,$D$13,IF(L21&lt;$E$16,$E$13,$F$13))</f>
        <v/>
      </c>
      <c r="N21" s="15">
        <f>M21-V21</f>
        <v/>
      </c>
      <c r="O21" s="15" t="n">
        <v>0</v>
      </c>
      <c r="P21" s="15">
        <f>INT((2^$J$12-1)*O21/100)/(2^$J$12-1)*100</f>
        <v/>
      </c>
      <c r="Q21" s="15" t="n">
        <v>0</v>
      </c>
      <c r="R21" s="15">
        <f>P21+Q21</f>
        <v/>
      </c>
      <c r="S21" s="15">
        <f>$D$13</f>
        <v/>
      </c>
      <c r="T21" s="15">
        <f>RAND()*$G$12</f>
        <v/>
      </c>
      <c r="U21" s="15">
        <f>S21+T21</f>
        <v/>
      </c>
      <c r="V21" s="15">
        <f>INT((2^$J$12-1)*U21/100)/(2^$J$12-1)*100</f>
        <v/>
      </c>
      <c r="X21" s="15">
        <f>M21 * 1.05</f>
        <v/>
      </c>
      <c r="Y21" s="15">
        <f>M21 * 0.95</f>
        <v/>
      </c>
      <c r="Z21" s="15">
        <f>IF(AND(V21 &lt;= X21, V21 &gt;= Y21), 1, 0)</f>
        <v/>
      </c>
    </row>
    <row r="22">
      <c r="L22" s="15" t="n">
        <v>20</v>
      </c>
      <c r="M22" s="15" t="n">
        <v>1</v>
      </c>
      <c r="N22" s="15">
        <f>M22-V22</f>
        <v/>
      </c>
      <c r="O22" s="15" t="n">
        <v>0</v>
      </c>
      <c r="P22" s="15">
        <f>INT((2^$J$12-1)*O22/100)/(2^$J$12-1)*100</f>
        <v/>
      </c>
      <c r="Q22" s="15" t="n">
        <v>0</v>
      </c>
      <c r="R22" s="15">
        <f>P22+Q22</f>
        <v/>
      </c>
      <c r="S22" s="15">
        <f>$D$13</f>
        <v/>
      </c>
      <c r="T22" s="15">
        <f>RAND()*$G$12</f>
        <v/>
      </c>
      <c r="U22" s="15">
        <f>S22+T22</f>
        <v/>
      </c>
      <c r="V22" s="15">
        <f>INT((2^$J$12-1)*U22/100)/(2^$J$12-1)*100</f>
        <v/>
      </c>
      <c r="X22" s="15">
        <f>M22 * 1.05</f>
        <v/>
      </c>
      <c r="Y22" s="15">
        <f>M22 * 0.95</f>
        <v/>
      </c>
      <c r="Z22" s="15">
        <f>IF(AND(V22 &lt;= X22, V22 &gt;= Y22), 1, 0)</f>
        <v/>
      </c>
    </row>
    <row r="23">
      <c r="L23" s="15" t="n">
        <v>21</v>
      </c>
      <c r="M23" s="15" t="n">
        <v>1</v>
      </c>
      <c r="N23" s="15">
        <f>M23-V23</f>
        <v/>
      </c>
      <c r="O23" s="15" t="n">
        <v>0</v>
      </c>
      <c r="P23" s="15">
        <f>INT((2^$J$12-1)*O23/100)/(2^$J$12-1)*100</f>
        <v/>
      </c>
      <c r="Q23" s="15" t="n">
        <v>0</v>
      </c>
      <c r="R23" s="15">
        <f>P23+Q23</f>
        <v/>
      </c>
      <c r="S23" s="15">
        <f>$D$13</f>
        <v/>
      </c>
      <c r="T23" s="15">
        <f>RAND()*$G$12</f>
        <v/>
      </c>
      <c r="U23" s="15">
        <f>S23+T23</f>
        <v/>
      </c>
      <c r="V23" s="15">
        <f>INT((2^$J$12-1)*U23/100)/(2^$J$12-1)*100</f>
        <v/>
      </c>
      <c r="X23" s="15">
        <f>M23 * 1.05</f>
        <v/>
      </c>
      <c r="Y23" s="15">
        <f>M23 * 0.95</f>
        <v/>
      </c>
      <c r="Z23" s="15">
        <f>IF(AND(V23 &lt;= X23, V23 &gt;= Y23), 1, 0)</f>
        <v/>
      </c>
    </row>
    <row r="24">
      <c r="L24" s="15" t="n">
        <v>22</v>
      </c>
      <c r="M24" s="15" t="n">
        <v>1</v>
      </c>
      <c r="N24" s="15">
        <f>M24-V24</f>
        <v/>
      </c>
      <c r="O24" s="15" t="n">
        <v>0</v>
      </c>
      <c r="P24" s="15">
        <f>INT((2^$J$12-1)*O24/100)/(2^$J$12-1)*100</f>
        <v/>
      </c>
      <c r="Q24" s="15" t="n">
        <v>0</v>
      </c>
      <c r="R24" s="15">
        <f>P24+Q24</f>
        <v/>
      </c>
      <c r="S24" s="15">
        <f>$D$13</f>
        <v/>
      </c>
      <c r="T24" s="15">
        <f>RAND()*$G$12</f>
        <v/>
      </c>
      <c r="U24" s="15">
        <f>S24+T24</f>
        <v/>
      </c>
      <c r="V24" s="15">
        <f>INT((2^$J$12-1)*U24/100)/(2^$J$12-1)*100</f>
        <v/>
      </c>
      <c r="X24" s="15">
        <f>M24 * 1.05</f>
        <v/>
      </c>
      <c r="Y24" s="15">
        <f>M24 * 0.95</f>
        <v/>
      </c>
      <c r="Z24" s="15">
        <f>IF(AND(V24 &lt;= X24, V24 &gt;= Y24), 1, 0)</f>
        <v/>
      </c>
    </row>
    <row r="25">
      <c r="L25" s="15" t="n">
        <v>23</v>
      </c>
      <c r="M25" s="15" t="n">
        <v>1</v>
      </c>
      <c r="N25" s="15">
        <f>M25-V25</f>
        <v/>
      </c>
      <c r="O25" s="15" t="n">
        <v>0</v>
      </c>
      <c r="P25" s="15">
        <f>INT((2^$J$12-1)*O25/100)/(2^$J$12-1)*100</f>
        <v/>
      </c>
      <c r="Q25" s="15" t="n">
        <v>0</v>
      </c>
      <c r="R25" s="15">
        <f>P25+Q25</f>
        <v/>
      </c>
      <c r="S25" s="15">
        <f>$D$13</f>
        <v/>
      </c>
      <c r="T25" s="15">
        <f>RAND()*$G$12</f>
        <v/>
      </c>
      <c r="U25" s="15">
        <f>S25+T25</f>
        <v/>
      </c>
      <c r="V25" s="15">
        <f>INT((2^$J$12-1)*U25/100)/(2^$J$12-1)*100</f>
        <v/>
      </c>
      <c r="X25" s="15">
        <f>M25 * 1.05</f>
        <v/>
      </c>
      <c r="Y25" s="15">
        <f>M25 * 0.95</f>
        <v/>
      </c>
      <c r="Z25" s="15">
        <f>IF(AND(V25 &lt;= X25, V25 &gt;= Y25), 1, 0)</f>
        <v/>
      </c>
    </row>
    <row r="26">
      <c r="L26" s="15" t="n">
        <v>24</v>
      </c>
      <c r="M26" s="15" t="n">
        <v>1</v>
      </c>
      <c r="N26" s="15">
        <f>M26-V26</f>
        <v/>
      </c>
      <c r="O26" s="15" t="n">
        <v>0</v>
      </c>
      <c r="P26" s="15">
        <f>INT((2^$J$12-1)*O26/100)/(2^$J$12-1)*100</f>
        <v/>
      </c>
      <c r="Q26" s="15" t="n">
        <v>0</v>
      </c>
      <c r="R26" s="15">
        <f>P26+Q26</f>
        <v/>
      </c>
      <c r="S26" s="15">
        <f>$D$13</f>
        <v/>
      </c>
      <c r="T26" s="15">
        <f>RAND()*$G$12</f>
        <v/>
      </c>
      <c r="U26" s="15">
        <f>S26+T26</f>
        <v/>
      </c>
      <c r="V26" s="15">
        <f>INT((2^$J$12-1)*U26/100)/(2^$J$12-1)*100</f>
        <v/>
      </c>
      <c r="X26" s="15">
        <f>M26 * 1.05</f>
        <v/>
      </c>
      <c r="Y26" s="15">
        <f>M26 * 0.95</f>
        <v/>
      </c>
      <c r="Z26" s="15">
        <f>IF(AND(V26 &lt;= X26, V26 &gt;= Y26), 1, 0)</f>
        <v/>
      </c>
    </row>
    <row r="27">
      <c r="L27" s="15" t="n">
        <v>25</v>
      </c>
      <c r="M27" s="15" t="n">
        <v>1</v>
      </c>
      <c r="N27" s="15">
        <f>M27-V27</f>
        <v/>
      </c>
      <c r="O27" s="15" t="n">
        <v>0</v>
      </c>
      <c r="P27" s="15">
        <f>INT((2^$J$12-1)*O27/100)/(2^$J$12-1)*100</f>
        <v/>
      </c>
      <c r="Q27" s="15" t="n">
        <v>0</v>
      </c>
      <c r="R27" s="15">
        <f>P27+Q27</f>
        <v/>
      </c>
      <c r="S27" s="15">
        <f>$D$13</f>
        <v/>
      </c>
      <c r="T27" s="15">
        <f>RAND()*$G$12</f>
        <v/>
      </c>
      <c r="U27" s="15">
        <f>S27+T27</f>
        <v/>
      </c>
      <c r="V27" s="15">
        <f>INT((2^$J$12-1)*U27/100)/(2^$J$12-1)*100</f>
        <v/>
      </c>
      <c r="X27" s="15">
        <f>M27 * 1.05</f>
        <v/>
      </c>
      <c r="Y27" s="15">
        <f>M27 * 0.95</f>
        <v/>
      </c>
      <c r="Z27" s="15">
        <f>IF(AND(V27 &lt;= X27, V27 &gt;= Y27), 1, 0)</f>
        <v/>
      </c>
    </row>
    <row r="28">
      <c r="L28" s="15" t="n">
        <v>26</v>
      </c>
      <c r="M28" s="15" t="n">
        <v>1</v>
      </c>
      <c r="N28" s="15">
        <f>M28-V28</f>
        <v/>
      </c>
      <c r="O28" s="15" t="n">
        <v>0</v>
      </c>
      <c r="P28" s="15">
        <f>INT((2^$J$12-1)*O28/100)/(2^$J$12-1)*100</f>
        <v/>
      </c>
      <c r="Q28" s="15" t="n">
        <v>0</v>
      </c>
      <c r="R28" s="15">
        <f>P28+Q28</f>
        <v/>
      </c>
      <c r="S28" s="15">
        <f>$D$13</f>
        <v/>
      </c>
      <c r="T28" s="15">
        <f>RAND()*$G$12</f>
        <v/>
      </c>
      <c r="U28" s="15">
        <f>S28+T28</f>
        <v/>
      </c>
      <c r="V28" s="15">
        <f>INT((2^$J$12-1)*U28/100)/(2^$J$12-1)*100</f>
        <v/>
      </c>
      <c r="X28" s="15">
        <f>M28 * 1.05</f>
        <v/>
      </c>
      <c r="Y28" s="15">
        <f>M28 * 0.95</f>
        <v/>
      </c>
      <c r="Z28" s="15">
        <f>IF(AND(V28 &lt;= X28, V28 &gt;= Y28), 1, 0)</f>
        <v/>
      </c>
    </row>
    <row r="29">
      <c r="L29" s="15" t="n">
        <v>27</v>
      </c>
      <c r="M29" s="15" t="n">
        <v>1</v>
      </c>
      <c r="N29" s="15">
        <f>M29-V29</f>
        <v/>
      </c>
      <c r="O29" s="15" t="n">
        <v>0</v>
      </c>
      <c r="P29" s="15">
        <f>INT((2^$J$12-1)*O29/100)/(2^$J$12-1)*100</f>
        <v/>
      </c>
      <c r="Q29" s="15" t="n">
        <v>0</v>
      </c>
      <c r="R29" s="15">
        <f>P29+Q29</f>
        <v/>
      </c>
      <c r="S29" s="15">
        <f>$D$13</f>
        <v/>
      </c>
      <c r="T29" s="15">
        <f>RAND()*$G$12</f>
        <v/>
      </c>
      <c r="U29" s="15">
        <f>S29+T29</f>
        <v/>
      </c>
      <c r="V29" s="15">
        <f>INT((2^$J$12-1)*U29/100)/(2^$J$12-1)*100</f>
        <v/>
      </c>
      <c r="X29" s="15">
        <f>M29 * 1.05</f>
        <v/>
      </c>
      <c r="Y29" s="15">
        <f>M29 * 0.95</f>
        <v/>
      </c>
      <c r="Z29" s="15">
        <f>IF(AND(V29 &lt;= X29, V29 &gt;= Y29), 1, 0)</f>
        <v/>
      </c>
    </row>
    <row r="30">
      <c r="L30" s="15" t="n">
        <v>28</v>
      </c>
      <c r="M30" s="15" t="n">
        <v>1</v>
      </c>
      <c r="N30" s="15">
        <f>M30-V30</f>
        <v/>
      </c>
      <c r="O30" s="15" t="n">
        <v>0</v>
      </c>
      <c r="P30" s="15">
        <f>INT((2^$J$12-1)*O30/100)/(2^$J$12-1)*100</f>
        <v/>
      </c>
      <c r="Q30" s="15" t="n">
        <v>0</v>
      </c>
      <c r="R30" s="15">
        <f>P30+Q30</f>
        <v/>
      </c>
      <c r="S30" s="15">
        <f>$D$13</f>
        <v/>
      </c>
      <c r="T30" s="15">
        <f>RAND()*$G$12</f>
        <v/>
      </c>
      <c r="U30" s="15">
        <f>S30+T30</f>
        <v/>
      </c>
      <c r="V30" s="15">
        <f>INT((2^$J$12-1)*U30/100)/(2^$J$12-1)*100</f>
        <v/>
      </c>
      <c r="X30" s="15">
        <f>M30 * 1.05</f>
        <v/>
      </c>
      <c r="Y30" s="15">
        <f>M30 * 0.95</f>
        <v/>
      </c>
      <c r="Z30" s="15">
        <f>IF(AND(V30 &lt;= X30, V30 &gt;= Y30), 1, 0)</f>
        <v/>
      </c>
    </row>
    <row r="31">
      <c r="L31" s="15" t="n">
        <v>29</v>
      </c>
      <c r="M31" s="15" t="n">
        <v>1</v>
      </c>
      <c r="N31" s="15">
        <f>M31-V31</f>
        <v/>
      </c>
      <c r="O31" s="15" t="n">
        <v>0</v>
      </c>
      <c r="P31" s="15">
        <f>INT((2^$J$12-1)*O31/100)/(2^$J$12-1)*100</f>
        <v/>
      </c>
      <c r="Q31" s="15" t="n">
        <v>0</v>
      </c>
      <c r="R31" s="15">
        <f>P31+Q31</f>
        <v/>
      </c>
      <c r="S31" s="15">
        <f>$D$13</f>
        <v/>
      </c>
      <c r="T31" s="15">
        <f>RAND()*$G$12</f>
        <v/>
      </c>
      <c r="U31" s="15">
        <f>S31+T31</f>
        <v/>
      </c>
      <c r="V31" s="15">
        <f>INT((2^$J$12-1)*U31/100)/(2^$J$12-1)*100</f>
        <v/>
      </c>
      <c r="X31" s="15">
        <f>M31 * 1.05</f>
        <v/>
      </c>
      <c r="Y31" s="15">
        <f>M31 * 0.95</f>
        <v/>
      </c>
      <c r="Z31" s="15">
        <f>IF(AND(V31 &lt;= X31, V31 &gt;= Y31), 1, 0)</f>
        <v/>
      </c>
    </row>
    <row r="32">
      <c r="L32" s="15" t="n">
        <v>30</v>
      </c>
      <c r="M32" s="15" t="n">
        <v>1</v>
      </c>
      <c r="N32" s="15">
        <f>M32-V32</f>
        <v/>
      </c>
      <c r="O32" s="15" t="n">
        <v>0</v>
      </c>
      <c r="P32" s="15">
        <f>INT((2^$J$12-1)*O32/100)/(2^$J$12-1)*100</f>
        <v/>
      </c>
      <c r="Q32" s="15" t="n">
        <v>0</v>
      </c>
      <c r="R32" s="15">
        <f>P32+Q32</f>
        <v/>
      </c>
      <c r="S32" s="15">
        <f>$D$13</f>
        <v/>
      </c>
      <c r="T32" s="15">
        <f>RAND()*$G$12</f>
        <v/>
      </c>
      <c r="U32" s="15">
        <f>S32+T32</f>
        <v/>
      </c>
      <c r="V32" s="15">
        <f>INT((2^$J$12-1)*U32/100)/(2^$J$12-1)*100</f>
        <v/>
      </c>
      <c r="X32" s="15">
        <f>M32 * 1.05</f>
        <v/>
      </c>
      <c r="Y32" s="15">
        <f>M32 * 0.95</f>
        <v/>
      </c>
      <c r="Z32" s="15">
        <f>IF(AND(V32 &lt;= X32, V32 &gt;= Y32), 1, 0)</f>
        <v/>
      </c>
    </row>
    <row r="33">
      <c r="L33" s="15" t="n">
        <v>31</v>
      </c>
      <c r="M33" s="15" t="n">
        <v>1</v>
      </c>
      <c r="N33" s="15">
        <f>M33-V33</f>
        <v/>
      </c>
      <c r="O33" s="15" t="n">
        <v>0</v>
      </c>
      <c r="P33" s="15">
        <f>INT((2^$J$12-1)*O33/100)/(2^$J$12-1)*100</f>
        <v/>
      </c>
      <c r="Q33" s="15" t="n">
        <v>0</v>
      </c>
      <c r="R33" s="15">
        <f>P33+Q33</f>
        <v/>
      </c>
      <c r="S33" s="15">
        <f>$D$13</f>
        <v/>
      </c>
      <c r="T33" s="15">
        <f>RAND()*$G$12</f>
        <v/>
      </c>
      <c r="U33" s="15">
        <f>S33+T33</f>
        <v/>
      </c>
      <c r="V33" s="15">
        <f>INT((2^$J$12-1)*U33/100)/(2^$J$12-1)*100</f>
        <v/>
      </c>
      <c r="X33" s="15">
        <f>M33 * 1.05</f>
        <v/>
      </c>
      <c r="Y33" s="15">
        <f>M33 * 0.95</f>
        <v/>
      </c>
      <c r="Z33" s="15">
        <f>IF(AND(V33 &lt;= X33, V33 &gt;= Y33), 1, 0)</f>
        <v/>
      </c>
    </row>
    <row r="34">
      <c r="L34" s="15" t="n">
        <v>32</v>
      </c>
      <c r="M34" s="15" t="n">
        <v>1</v>
      </c>
      <c r="N34" s="15">
        <f>M34-V34</f>
        <v/>
      </c>
      <c r="O34" s="15" t="n">
        <v>0</v>
      </c>
      <c r="P34" s="15">
        <f>INT((2^$J$12-1)*O34/100)/(2^$J$12-1)*100</f>
        <v/>
      </c>
      <c r="Q34" s="15" t="n">
        <v>0</v>
      </c>
      <c r="R34" s="15">
        <f>P34+Q34</f>
        <v/>
      </c>
      <c r="S34" s="15">
        <f>$D$13</f>
        <v/>
      </c>
      <c r="T34" s="15">
        <f>RAND()*$G$12</f>
        <v/>
      </c>
      <c r="U34" s="15">
        <f>S34+T34</f>
        <v/>
      </c>
      <c r="V34" s="15">
        <f>INT((2^$J$12-1)*U34/100)/(2^$J$12-1)*100</f>
        <v/>
      </c>
      <c r="X34" s="15">
        <f>M34 * 1.05</f>
        <v/>
      </c>
      <c r="Y34" s="15">
        <f>M34 * 0.95</f>
        <v/>
      </c>
      <c r="Z34" s="15">
        <f>IF(AND(V34 &lt;= X34, V34 &gt;= Y34), 1, 0)</f>
        <v/>
      </c>
    </row>
    <row r="35">
      <c r="L35" s="15" t="n">
        <v>33</v>
      </c>
      <c r="M35" s="15" t="n">
        <v>1</v>
      </c>
      <c r="N35" s="15">
        <f>M35-V35</f>
        <v/>
      </c>
      <c r="O35" s="15" t="n">
        <v>0</v>
      </c>
      <c r="P35" s="15">
        <f>INT((2^$J$12-1)*O35/100)/(2^$J$12-1)*100</f>
        <v/>
      </c>
      <c r="Q35" s="15" t="n">
        <v>0</v>
      </c>
      <c r="R35" s="15">
        <f>P35+Q35</f>
        <v/>
      </c>
      <c r="S35" s="15">
        <f>$D$13</f>
        <v/>
      </c>
      <c r="T35" s="15">
        <f>RAND()*$G$12</f>
        <v/>
      </c>
      <c r="U35" s="15">
        <f>S35+T35</f>
        <v/>
      </c>
      <c r="V35" s="15">
        <f>INT((2^$J$12-1)*U35/100)/(2^$J$12-1)*100</f>
        <v/>
      </c>
      <c r="X35" s="15">
        <f>M35 * 1.05</f>
        <v/>
      </c>
      <c r="Y35" s="15">
        <f>M35 * 0.95</f>
        <v/>
      </c>
      <c r="Z35" s="15">
        <f>IF(AND(V35 &lt;= X35, V35 &gt;= Y35), 1, 0)</f>
        <v/>
      </c>
    </row>
    <row r="36">
      <c r="L36" s="15" t="n">
        <v>34</v>
      </c>
      <c r="M36" s="15" t="n">
        <v>1</v>
      </c>
      <c r="N36" s="15">
        <f>M36-V36</f>
        <v/>
      </c>
      <c r="O36" s="15" t="n">
        <v>0</v>
      </c>
      <c r="P36" s="15">
        <f>INT((2^$J$12-1)*O36/100)/(2^$J$12-1)*100</f>
        <v/>
      </c>
      <c r="Q36" s="15" t="n">
        <v>0</v>
      </c>
      <c r="R36" s="15">
        <f>P36+Q36</f>
        <v/>
      </c>
      <c r="S36" s="15">
        <f>$D$13</f>
        <v/>
      </c>
      <c r="T36" s="15">
        <f>RAND()*$G$12</f>
        <v/>
      </c>
      <c r="U36" s="15">
        <f>S36+T36</f>
        <v/>
      </c>
      <c r="V36" s="15">
        <f>INT((2^$J$12-1)*U36/100)/(2^$J$12-1)*100</f>
        <v/>
      </c>
      <c r="X36" s="15">
        <f>M36 * 1.05</f>
        <v/>
      </c>
      <c r="Y36" s="15">
        <f>M36 * 0.95</f>
        <v/>
      </c>
      <c r="Z36" s="15">
        <f>IF(AND(V36 &lt;= X36, V36 &gt;= Y36), 1, 0)</f>
        <v/>
      </c>
    </row>
    <row r="37">
      <c r="L37" s="15" t="n">
        <v>35</v>
      </c>
      <c r="M37" s="15" t="n">
        <v>1</v>
      </c>
      <c r="N37" s="15">
        <f>M37-V37</f>
        <v/>
      </c>
      <c r="O37" s="15" t="n">
        <v>0</v>
      </c>
      <c r="P37" s="15">
        <f>INT((2^$J$12-1)*O37/100)/(2^$J$12-1)*100</f>
        <v/>
      </c>
      <c r="Q37" s="15" t="n">
        <v>0</v>
      </c>
      <c r="R37" s="15">
        <f>P37+Q37</f>
        <v/>
      </c>
      <c r="S37" s="15">
        <f>$D$13</f>
        <v/>
      </c>
      <c r="T37" s="15">
        <f>RAND()*$G$12</f>
        <v/>
      </c>
      <c r="U37" s="15">
        <f>S37+T37</f>
        <v/>
      </c>
      <c r="V37" s="15">
        <f>INT((2^$J$12-1)*U37/100)/(2^$J$12-1)*100</f>
        <v/>
      </c>
      <c r="X37" s="15">
        <f>M37 * 1.05</f>
        <v/>
      </c>
      <c r="Y37" s="15">
        <f>M37 * 0.95</f>
        <v/>
      </c>
      <c r="Z37" s="15">
        <f>IF(AND(V37 &lt;= X37, V37 &gt;= Y37), 1, 0)</f>
        <v/>
      </c>
    </row>
    <row r="38">
      <c r="L38" s="15" t="n">
        <v>36</v>
      </c>
      <c r="M38" s="15" t="n">
        <v>1</v>
      </c>
      <c r="N38" s="15">
        <f>M38-V38</f>
        <v/>
      </c>
      <c r="O38" s="15" t="n">
        <v>0</v>
      </c>
      <c r="P38" s="15">
        <f>INT((2^$J$12-1)*O38/100)/(2^$J$12-1)*100</f>
        <v/>
      </c>
      <c r="Q38" s="15" t="n">
        <v>0</v>
      </c>
      <c r="R38" s="15">
        <f>P38+Q38</f>
        <v/>
      </c>
      <c r="S38" s="15">
        <f>$D$13</f>
        <v/>
      </c>
      <c r="T38" s="15">
        <f>RAND()*$G$12</f>
        <v/>
      </c>
      <c r="U38" s="15">
        <f>S38+T38</f>
        <v/>
      </c>
      <c r="V38" s="15">
        <f>INT((2^$J$12-1)*U38/100)/(2^$J$12-1)*100</f>
        <v/>
      </c>
      <c r="X38" s="15">
        <f>M38 * 1.05</f>
        <v/>
      </c>
      <c r="Y38" s="15">
        <f>M38 * 0.95</f>
        <v/>
      </c>
      <c r="Z38" s="15">
        <f>IF(AND(V38 &lt;= X38, V38 &gt;= Y38), 1, 0)</f>
        <v/>
      </c>
    </row>
    <row r="39">
      <c r="L39" s="15" t="n">
        <v>37</v>
      </c>
      <c r="M39" s="15" t="n">
        <v>1</v>
      </c>
      <c r="N39" s="15">
        <f>M39-V39</f>
        <v/>
      </c>
      <c r="O39" s="15" t="n">
        <v>0</v>
      </c>
      <c r="P39" s="15">
        <f>INT((2^$J$12-1)*O39/100)/(2^$J$12-1)*100</f>
        <v/>
      </c>
      <c r="Q39" s="15" t="n">
        <v>0</v>
      </c>
      <c r="R39" s="15">
        <f>P39+Q39</f>
        <v/>
      </c>
      <c r="S39" s="15">
        <f>$D$13</f>
        <v/>
      </c>
      <c r="T39" s="15">
        <f>RAND()*$G$12</f>
        <v/>
      </c>
      <c r="U39" s="15">
        <f>S39+T39</f>
        <v/>
      </c>
      <c r="V39" s="15">
        <f>INT((2^$J$12-1)*U39/100)/(2^$J$12-1)*100</f>
        <v/>
      </c>
      <c r="X39" s="15">
        <f>M39 * 1.05</f>
        <v/>
      </c>
      <c r="Y39" s="15">
        <f>M39 * 0.95</f>
        <v/>
      </c>
      <c r="Z39" s="15">
        <f>IF(AND(V39 &lt;= X39, V39 &gt;= Y39), 1, 0)</f>
        <v/>
      </c>
    </row>
    <row r="40">
      <c r="L40" s="15" t="n">
        <v>38</v>
      </c>
      <c r="M40" s="15" t="n">
        <v>1</v>
      </c>
      <c r="N40" s="15">
        <f>M40-V40</f>
        <v/>
      </c>
      <c r="O40" s="15" t="n">
        <v>0</v>
      </c>
      <c r="P40" s="15">
        <f>INT((2^$J$12-1)*O40/100)/(2^$J$12-1)*100</f>
        <v/>
      </c>
      <c r="Q40" s="15" t="n">
        <v>0</v>
      </c>
      <c r="R40" s="15">
        <f>P40+Q40</f>
        <v/>
      </c>
      <c r="S40" s="15">
        <f>$D$13</f>
        <v/>
      </c>
      <c r="T40" s="15">
        <f>RAND()*$G$12</f>
        <v/>
      </c>
      <c r="U40" s="15">
        <f>S40+T40</f>
        <v/>
      </c>
      <c r="V40" s="15">
        <f>INT((2^$J$12-1)*U40/100)/(2^$J$12-1)*100</f>
        <v/>
      </c>
      <c r="X40" s="15">
        <f>M40 * 1.05</f>
        <v/>
      </c>
      <c r="Y40" s="15">
        <f>M40 * 0.95</f>
        <v/>
      </c>
      <c r="Z40" s="15">
        <f>IF(AND(V40 &lt;= X40, V40 &gt;= Y40), 1, 0)</f>
        <v/>
      </c>
    </row>
    <row r="41">
      <c r="L41" s="15" t="n">
        <v>39</v>
      </c>
      <c r="M41" s="15" t="n">
        <v>1</v>
      </c>
      <c r="N41" s="15">
        <f>M41-V41</f>
        <v/>
      </c>
      <c r="O41" s="15" t="n">
        <v>0</v>
      </c>
      <c r="P41" s="15">
        <f>INT((2^$J$12-1)*O41/100)/(2^$J$12-1)*100</f>
        <v/>
      </c>
      <c r="Q41" s="15" t="n">
        <v>0</v>
      </c>
      <c r="R41" s="15">
        <f>P41+Q41</f>
        <v/>
      </c>
      <c r="S41" s="15">
        <f>$D$13</f>
        <v/>
      </c>
      <c r="T41" s="15">
        <f>RAND()*$G$12</f>
        <v/>
      </c>
      <c r="U41" s="15">
        <f>S41+T41</f>
        <v/>
      </c>
      <c r="V41" s="15">
        <f>INT((2^$J$12-1)*U41/100)/(2^$J$12-1)*100</f>
        <v/>
      </c>
      <c r="X41" s="15">
        <f>M41 * 1.05</f>
        <v/>
      </c>
      <c r="Y41" s="15">
        <f>M41 * 0.95</f>
        <v/>
      </c>
      <c r="Z41" s="15">
        <f>IF(AND(V41 &lt;= X41, V41 &gt;= Y41), 1, 0)</f>
        <v/>
      </c>
    </row>
    <row r="42">
      <c r="L42" s="15" t="n">
        <v>40</v>
      </c>
      <c r="M42" s="15">
        <f>IF(L42&lt;$D$16,$D$13,IF(L42&lt;$E$16,$E$13,$F$13))</f>
        <v/>
      </c>
      <c r="N42" s="15">
        <f>M42-V42</f>
        <v/>
      </c>
      <c r="O42" s="15">
        <f>IF(MOD(L42,$B$11)=0,OFFSET(O42,-$B$11,0)+ $E$2*N42+$E$3*OFFSET(N42,-$B$11,0)+ $E$4*OFFSET(N42,-2* $B$11,0), O41)</f>
        <v/>
      </c>
      <c r="P42" s="15">
        <f>INT((2^$J$12-1)*O42/100)/(2^$J$12-1)*100</f>
        <v/>
      </c>
      <c r="Q42" s="15" t="n">
        <v>0</v>
      </c>
      <c r="R42" s="15">
        <f>P42+Q42</f>
        <v/>
      </c>
      <c r="S42" s="15">
        <f>$D$13</f>
        <v/>
      </c>
      <c r="T42" s="15">
        <f>RAND()*$G$12</f>
        <v/>
      </c>
      <c r="U42" s="15">
        <f>S42+T42</f>
        <v/>
      </c>
      <c r="V42" s="15">
        <f>INT((2^$J$12-1)*U42/100)/(2^$J$12-1)*100</f>
        <v/>
      </c>
      <c r="X42" s="15">
        <f>M42 * 1.05</f>
        <v/>
      </c>
      <c r="Y42" s="15">
        <f>M42 * 0.95</f>
        <v/>
      </c>
      <c r="Z42" s="15">
        <f>IF(AND(V42 &lt;= X42, V42 &gt;= Y42), 1, 0)</f>
        <v/>
      </c>
    </row>
    <row r="43">
      <c r="L43" s="15" t="n">
        <v>41</v>
      </c>
      <c r="M43" s="15">
        <f>IF(L43&lt;$D$16,$D$13,IF(L43&lt;$E$16,$E$13,$F$13))</f>
        <v/>
      </c>
      <c r="N43" s="15">
        <f>M43-V43</f>
        <v/>
      </c>
      <c r="O43" s="15">
        <f>IF(MOD(L43,$B$11)=0,OFFSET(O43,-$B$11,0)+ $E$2*N43+$E$3*OFFSET(N43,-$B$11,0)+ $E$4*OFFSET(N43,-2* $B$11,0), O42)</f>
        <v/>
      </c>
      <c r="P43" s="15">
        <f>INT((2^$J$12-1)*O43/100)/(2^$J$12-1)*100</f>
        <v/>
      </c>
      <c r="Q43" s="15" t="n">
        <v>0</v>
      </c>
      <c r="R43" s="15">
        <f>P43+Q43</f>
        <v/>
      </c>
      <c r="S43" s="15">
        <f>$D$13</f>
        <v/>
      </c>
      <c r="T43" s="15">
        <f>RAND()*$G$12</f>
        <v/>
      </c>
      <c r="U43" s="15">
        <f>S43+T43</f>
        <v/>
      </c>
      <c r="V43" s="15">
        <f>INT((2^$J$12-1)*U43/100)/(2^$J$12-1)*100</f>
        <v/>
      </c>
      <c r="X43" s="15">
        <f>M43 * 1.05</f>
        <v/>
      </c>
      <c r="Y43" s="15">
        <f>M43 * 0.95</f>
        <v/>
      </c>
      <c r="Z43" s="15">
        <f>IF(AND(V43 &lt;= X43, V43 &gt;= Y43), 1, 0)</f>
        <v/>
      </c>
    </row>
    <row r="44">
      <c r="L44" s="15" t="n">
        <v>42</v>
      </c>
      <c r="M44" s="15">
        <f>IF(L44&lt;$D$16,$D$13,IF(L44&lt;$E$16,$E$13,$F$13))</f>
        <v/>
      </c>
      <c r="N44" s="15">
        <f>M44-V44</f>
        <v/>
      </c>
      <c r="O44" s="15">
        <f>IF(MOD(L44,$B$11)=0,OFFSET(O44,-$B$11,0)+ $E$2*N44+$E$3*OFFSET(N44,-$B$11,0)+ $E$4*OFFSET(N44,-2* $B$11,0), O43)</f>
        <v/>
      </c>
      <c r="P44" s="15">
        <f>INT((2^$J$12-1)*O44/100)/(2^$J$12-1)*100</f>
        <v/>
      </c>
      <c r="Q44" s="15" t="n">
        <v>0</v>
      </c>
      <c r="R44" s="15">
        <f>P44+Q44</f>
        <v/>
      </c>
      <c r="S44" s="15">
        <f>$I$1*S43-$I$2*S42+$I$3*R3+$I$4*R2</f>
        <v/>
      </c>
      <c r="T44" s="15">
        <f>RAND()*$G$12</f>
        <v/>
      </c>
      <c r="U44" s="15">
        <f>S44+T44</f>
        <v/>
      </c>
      <c r="V44" s="15">
        <f>INT((2^$J$12-1)*U44/100)/(2^$J$12-1)*100</f>
        <v/>
      </c>
      <c r="X44" s="15">
        <f>M44 * 1.05</f>
        <v/>
      </c>
      <c r="Y44" s="15">
        <f>M44 * 0.95</f>
        <v/>
      </c>
      <c r="Z44" s="15">
        <f>IF(AND(V44 &lt;= X44, V44 &gt;= Y44), 1, 0)</f>
        <v/>
      </c>
    </row>
    <row r="45">
      <c r="L45" s="15" t="n">
        <v>43</v>
      </c>
      <c r="M45" s="15">
        <f>IF(L45&lt;$D$16,$D$13,IF(L45&lt;$E$16,$E$13,$F$13))</f>
        <v/>
      </c>
      <c r="N45" s="15">
        <f>M45-V45</f>
        <v/>
      </c>
      <c r="O45" s="15">
        <f>IF(MOD(L45,$B$11)=0,OFFSET(O45,-$B$11,0)+ $E$2*N45+$E$3*OFFSET(N45,-$B$11,0)+ $E$4*OFFSET(N45,-2* $B$11,0), O44)</f>
        <v/>
      </c>
      <c r="P45" s="15">
        <f>INT((2^$J$12-1)*O45/100)/(2^$J$12-1)*100</f>
        <v/>
      </c>
      <c r="Q45" s="15" t="n">
        <v>0</v>
      </c>
      <c r="R45" s="15">
        <f>P45+Q45</f>
        <v/>
      </c>
      <c r="S45" s="15">
        <f>$I$1*S44-$I$2*S43+$I$3*R24+$I$4*R23</f>
        <v/>
      </c>
      <c r="T45" s="15">
        <f>RAND()*$G$12</f>
        <v/>
      </c>
      <c r="U45" s="15">
        <f>S45+T45</f>
        <v/>
      </c>
      <c r="V45" s="15">
        <f>INT((2^$J$12-1)*U45/100)/(2^$J$12-1)*100</f>
        <v/>
      </c>
      <c r="X45" s="15">
        <f>M45 * 1.05</f>
        <v/>
      </c>
      <c r="Y45" s="15">
        <f>M45 * 0.95</f>
        <v/>
      </c>
      <c r="Z45" s="15">
        <f>IF(AND(V45 &lt;= X45, V45 &gt;= Y45), 1, 0)</f>
        <v/>
      </c>
    </row>
    <row r="46">
      <c r="L46" s="15" t="n">
        <v>44</v>
      </c>
      <c r="M46" s="15">
        <f>IF(L46&lt;$D$16,$D$13,IF(L46&lt;$E$16,$E$13,$F$13))</f>
        <v/>
      </c>
      <c r="N46" s="15">
        <f>M46-V46</f>
        <v/>
      </c>
      <c r="O46" s="15">
        <f>IF(MOD(L46,$B$11)=0,OFFSET(O46,-$B$11,0)+ $E$2*N46+$E$3*OFFSET(N46,-$B$11,0)+ $E$4*OFFSET(N46,-2* $B$11,0), O45)</f>
        <v/>
      </c>
      <c r="P46" s="15">
        <f>INT((2^$J$12-1)*O46/100)/(2^$J$12-1)*100</f>
        <v/>
      </c>
      <c r="Q46" s="15" t="n">
        <v>0</v>
      </c>
      <c r="R46" s="15">
        <f>P46+Q46</f>
        <v/>
      </c>
      <c r="S46" s="15">
        <f>$I$1*S45-$I$2*S44+$I$3*R25+$I$4*R24</f>
        <v/>
      </c>
      <c r="T46" s="15">
        <f>RAND()*$G$12</f>
        <v/>
      </c>
      <c r="U46" s="15">
        <f>S46+T46</f>
        <v/>
      </c>
      <c r="V46" s="15">
        <f>INT((2^$J$12-1)*U46/100)/(2^$J$12-1)*100</f>
        <v/>
      </c>
      <c r="X46" s="15">
        <f>M46 * 1.05</f>
        <v/>
      </c>
      <c r="Y46" s="15">
        <f>M46 * 0.95</f>
        <v/>
      </c>
      <c r="Z46" s="15">
        <f>IF(AND(V46 &lt;= X46, V46 &gt;= Y46), 1, 0)</f>
        <v/>
      </c>
    </row>
    <row r="47">
      <c r="L47" s="15" t="n">
        <v>45</v>
      </c>
      <c r="M47" s="15">
        <f>IF(L47&lt;$D$16,$D$13,IF(L47&lt;$E$16,$E$13,$F$13))</f>
        <v/>
      </c>
      <c r="N47" s="15">
        <f>M47-V47</f>
        <v/>
      </c>
      <c r="O47" s="15">
        <f>IF(MOD(L47,$B$11)=0,OFFSET(O47,-$B$11,0)+ $E$2*N47+$E$3*OFFSET(N47,-$B$11,0)+ $E$4*OFFSET(N47,-2* $B$11,0), O46)</f>
        <v/>
      </c>
      <c r="P47" s="15">
        <f>INT((2^$J$12-1)*O47/100)/(2^$J$12-1)*100</f>
        <v/>
      </c>
      <c r="Q47" s="15" t="n">
        <v>0</v>
      </c>
      <c r="R47" s="15">
        <f>P47+Q47</f>
        <v/>
      </c>
      <c r="S47" s="15">
        <f>$I$1*S46-$I$2*S45+$I$3*R26+$I$4*R25</f>
        <v/>
      </c>
      <c r="T47" s="15">
        <f>RAND()*$G$12</f>
        <v/>
      </c>
      <c r="U47" s="15">
        <f>S47+T47</f>
        <v/>
      </c>
      <c r="V47" s="15">
        <f>INT((2^$J$12-1)*U47/100)/(2^$J$12-1)*100</f>
        <v/>
      </c>
      <c r="X47" s="15">
        <f>M47 * 1.05</f>
        <v/>
      </c>
      <c r="Y47" s="15">
        <f>M47 * 0.95</f>
        <v/>
      </c>
      <c r="Z47" s="15">
        <f>IF(AND(V47 &lt;= X47, V47 &gt;= Y47), 1, 0)</f>
        <v/>
      </c>
    </row>
    <row r="48">
      <c r="L48" s="15" t="n">
        <v>46</v>
      </c>
      <c r="M48" s="15">
        <f>IF(L48&lt;$D$16,$D$13,IF(L48&lt;$E$16,$E$13,$F$13))</f>
        <v/>
      </c>
      <c r="N48" s="15">
        <f>M48-V48</f>
        <v/>
      </c>
      <c r="O48" s="15">
        <f>IF(MOD(L48,$B$11)=0,OFFSET(O48,-$B$11,0)+ $E$2*N48+$E$3*OFFSET(N48,-$B$11,0)+ $E$4*OFFSET(N48,-2* $B$11,0), O47)</f>
        <v/>
      </c>
      <c r="P48" s="15">
        <f>INT((2^$J$12-1)*O48/100)/(2^$J$12-1)*100</f>
        <v/>
      </c>
      <c r="Q48" s="15" t="n">
        <v>0</v>
      </c>
      <c r="R48" s="15">
        <f>P48+Q48</f>
        <v/>
      </c>
      <c r="S48" s="15">
        <f>$I$1*S47-$I$2*S46+$I$3*R27+$I$4*R26</f>
        <v/>
      </c>
      <c r="T48" s="15">
        <f>RAND()*$G$12</f>
        <v/>
      </c>
      <c r="U48" s="15">
        <f>S48+T48</f>
        <v/>
      </c>
      <c r="V48" s="15">
        <f>INT((2^$J$12-1)*U48/100)/(2^$J$12-1)*100</f>
        <v/>
      </c>
      <c r="X48" s="15">
        <f>M48 * 1.05</f>
        <v/>
      </c>
      <c r="Y48" s="15">
        <f>M48 * 0.95</f>
        <v/>
      </c>
      <c r="Z48" s="15">
        <f>IF(AND(V48 &lt;= X48, V48 &gt;= Y48), 1, 0)</f>
        <v/>
      </c>
    </row>
    <row r="49">
      <c r="L49" s="15" t="n">
        <v>47</v>
      </c>
      <c r="M49" s="15">
        <f>IF(L49&lt;$D$16,$D$13,IF(L49&lt;$E$16,$E$13,$F$13))</f>
        <v/>
      </c>
      <c r="N49" s="15">
        <f>M49-V49</f>
        <v/>
      </c>
      <c r="O49" s="15">
        <f>IF(MOD(L49,$B$11)=0,OFFSET(O49,-$B$11,0)+ $E$2*N49+$E$3*OFFSET(N49,-$B$11,0)+ $E$4*OFFSET(N49,-2* $B$11,0), O48)</f>
        <v/>
      </c>
      <c r="P49" s="15">
        <f>INT((2^$J$12-1)*O49/100)/(2^$J$12-1)*100</f>
        <v/>
      </c>
      <c r="Q49" s="15" t="n">
        <v>0</v>
      </c>
      <c r="R49" s="15">
        <f>P49+Q49</f>
        <v/>
      </c>
      <c r="S49" s="15">
        <f>$I$1*S48-$I$2*S47+$I$3*R28+$I$4*R27</f>
        <v/>
      </c>
      <c r="T49" s="15">
        <f>RAND()*$G$12</f>
        <v/>
      </c>
      <c r="U49" s="15">
        <f>S49+T49</f>
        <v/>
      </c>
      <c r="V49" s="15">
        <f>INT((2^$J$12-1)*U49/100)/(2^$J$12-1)*100</f>
        <v/>
      </c>
      <c r="X49" s="15">
        <f>M49 * 1.05</f>
        <v/>
      </c>
      <c r="Y49" s="15">
        <f>M49 * 0.95</f>
        <v/>
      </c>
      <c r="Z49" s="15">
        <f>IF(AND(V49 &lt;= X49, V49 &gt;= Y49), 1, 0)</f>
        <v/>
      </c>
    </row>
    <row r="50">
      <c r="L50" s="15" t="n">
        <v>48</v>
      </c>
      <c r="M50" s="15">
        <f>IF(L50&lt;$D$16,$D$13,IF(L50&lt;$E$16,$E$13,$F$13))</f>
        <v/>
      </c>
      <c r="N50" s="15">
        <f>M50-V50</f>
        <v/>
      </c>
      <c r="O50" s="15">
        <f>IF(MOD(L50,$B$11)=0,OFFSET(O50,-$B$11,0)+ $E$2*N50+$E$3*OFFSET(N50,-$B$11,0)+ $E$4*OFFSET(N50,-2* $B$11,0), O49)</f>
        <v/>
      </c>
      <c r="P50" s="15">
        <f>INT((2^$J$12-1)*O50/100)/(2^$J$12-1)*100</f>
        <v/>
      </c>
      <c r="Q50" s="15" t="n">
        <v>0</v>
      </c>
      <c r="R50" s="15">
        <f>P50+Q50</f>
        <v/>
      </c>
      <c r="S50" s="15">
        <f>$I$1*S49-$I$2*S48+$I$3*R29+$I$4*R28</f>
        <v/>
      </c>
      <c r="T50" s="15">
        <f>RAND()*$G$12</f>
        <v/>
      </c>
      <c r="U50" s="15">
        <f>S50+T50</f>
        <v/>
      </c>
      <c r="V50" s="15">
        <f>INT((2^$J$12-1)*U50/100)/(2^$J$12-1)*100</f>
        <v/>
      </c>
      <c r="X50" s="15">
        <f>M50 * 1.05</f>
        <v/>
      </c>
      <c r="Y50" s="15">
        <f>M50 * 0.95</f>
        <v/>
      </c>
      <c r="Z50" s="15">
        <f>IF(AND(V50 &lt;= X50, V50 &gt;= Y50), 1, 0)</f>
        <v/>
      </c>
    </row>
    <row r="51">
      <c r="L51" s="15" t="n">
        <v>49</v>
      </c>
      <c r="M51" s="15">
        <f>IF(L51&lt;$D$16,$D$13,IF(L51&lt;$E$16,$E$13,$F$13))</f>
        <v/>
      </c>
      <c r="N51" s="15">
        <f>M51-V51</f>
        <v/>
      </c>
      <c r="O51" s="15">
        <f>IF(MOD(L51,$B$11)=0,OFFSET(O51,-$B$11,0)+ $E$2*N51+$E$3*OFFSET(N51,-$B$11,0)+ $E$4*OFFSET(N51,-2* $B$11,0), O50)</f>
        <v/>
      </c>
      <c r="P51" s="15">
        <f>INT((2^$J$12-1)*O51/100)/(2^$J$12-1)*100</f>
        <v/>
      </c>
      <c r="Q51" s="15" t="n">
        <v>0</v>
      </c>
      <c r="R51" s="15">
        <f>P51+Q51</f>
        <v/>
      </c>
      <c r="S51" s="15">
        <f>$I$1*S50-$I$2*S49+$I$3*R30+$I$4*R29</f>
        <v/>
      </c>
      <c r="T51" s="15">
        <f>RAND()*$G$12</f>
        <v/>
      </c>
      <c r="U51" s="15">
        <f>S51+T51</f>
        <v/>
      </c>
      <c r="V51" s="15">
        <f>INT((2^$J$12-1)*U51/100)/(2^$J$12-1)*100</f>
        <v/>
      </c>
      <c r="X51" s="15">
        <f>M51 * 1.05</f>
        <v/>
      </c>
      <c r="Y51" s="15">
        <f>M51 * 0.95</f>
        <v/>
      </c>
      <c r="Z51" s="15">
        <f>IF(AND(V51 &lt;= X51, V51 &gt;= Y51), 1, 0)</f>
        <v/>
      </c>
    </row>
    <row r="52">
      <c r="L52" s="15" t="n">
        <v>50</v>
      </c>
      <c r="M52" s="15">
        <f>IF(L52&lt;$D$16,$D$13,IF(L52&lt;$E$16,$E$13,$F$13))</f>
        <v/>
      </c>
      <c r="N52" s="15">
        <f>M52-V52</f>
        <v/>
      </c>
      <c r="O52" s="15">
        <f>IF(MOD(L52,$B$11)=0,OFFSET(O52,-$B$11,0)+ $E$2*N52+$E$3*OFFSET(N52,-$B$11,0)+ $E$4*OFFSET(N52,-2* $B$11,0), O51)</f>
        <v/>
      </c>
      <c r="P52" s="15">
        <f>INT((2^$J$12-1)*O52/100)/(2^$J$12-1)*100</f>
        <v/>
      </c>
      <c r="Q52" s="15" t="n">
        <v>0</v>
      </c>
      <c r="R52" s="15">
        <f>P52+Q52</f>
        <v/>
      </c>
      <c r="S52" s="15">
        <f>$I$1*S51-$I$2*S50+$I$3*R31+$I$4*R30</f>
        <v/>
      </c>
      <c r="T52" s="15">
        <f>RAND()*$G$12</f>
        <v/>
      </c>
      <c r="U52" s="15">
        <f>S52+T52</f>
        <v/>
      </c>
      <c r="V52" s="15">
        <f>INT((2^$J$12-1)*U52/100)/(2^$J$12-1)*100</f>
        <v/>
      </c>
      <c r="X52" s="15">
        <f>M52 * 1.05</f>
        <v/>
      </c>
      <c r="Y52" s="15">
        <f>M52 * 0.95</f>
        <v/>
      </c>
      <c r="Z52" s="15">
        <f>IF(AND(V52 &lt;= X52, V52 &gt;= Y52), 1, 0)</f>
        <v/>
      </c>
    </row>
    <row r="53">
      <c r="L53" s="15" t="n">
        <v>51</v>
      </c>
      <c r="M53" s="15">
        <f>IF(L53&lt;$D$16,$D$13,IF(L53&lt;$E$16,$E$13,$F$13))</f>
        <v/>
      </c>
      <c r="N53" s="15">
        <f>M53-V53</f>
        <v/>
      </c>
      <c r="O53" s="15">
        <f>IF(MOD(L53,$B$11)=0,OFFSET(O53,-$B$11,0)+ $E$2*N53+$E$3*OFFSET(N53,-$B$11,0)+ $E$4*OFFSET(N53,-2* $B$11,0), O52)</f>
        <v/>
      </c>
      <c r="P53" s="15">
        <f>INT((2^$J$12-1)*O53/100)/(2^$J$12-1)*100</f>
        <v/>
      </c>
      <c r="Q53" s="15" t="n">
        <v>0</v>
      </c>
      <c r="R53" s="15">
        <f>P53+Q53</f>
        <v/>
      </c>
      <c r="S53" s="15">
        <f>$I$1*S52-$I$2*S51+$I$3*R32+$I$4*R31</f>
        <v/>
      </c>
      <c r="T53" s="15">
        <f>RAND()*$G$12</f>
        <v/>
      </c>
      <c r="U53" s="15">
        <f>S53+T53</f>
        <v/>
      </c>
      <c r="V53" s="15">
        <f>INT((2^$J$12-1)*U53/100)/(2^$J$12-1)*100</f>
        <v/>
      </c>
      <c r="X53" s="15">
        <f>M53 * 1.05</f>
        <v/>
      </c>
      <c r="Y53" s="15">
        <f>M53 * 0.95</f>
        <v/>
      </c>
      <c r="Z53" s="15">
        <f>IF(AND(V53 &lt;= X53, V53 &gt;= Y53), 1, 0)</f>
        <v/>
      </c>
    </row>
    <row r="54">
      <c r="L54" s="15" t="n">
        <v>52</v>
      </c>
      <c r="M54" s="15">
        <f>IF(L54&lt;$D$16,$D$13,IF(L54&lt;$E$16,$E$13,$F$13))</f>
        <v/>
      </c>
      <c r="N54" s="15">
        <f>M54-V54</f>
        <v/>
      </c>
      <c r="O54" s="15">
        <f>IF(MOD(L54,$B$11)=0,OFFSET(O54,-$B$11,0)+ $E$2*N54+$E$3*OFFSET(N54,-$B$11,0)+ $E$4*OFFSET(N54,-2* $B$11,0), O53)</f>
        <v/>
      </c>
      <c r="P54" s="15">
        <f>INT((2^$J$12-1)*O54/100)/(2^$J$12-1)*100</f>
        <v/>
      </c>
      <c r="Q54" s="15" t="n">
        <v>0</v>
      </c>
      <c r="R54" s="15">
        <f>P54+Q54</f>
        <v/>
      </c>
      <c r="S54" s="15">
        <f>$I$1*S53-$I$2*S52+$I$3*R33+$I$4*R32</f>
        <v/>
      </c>
      <c r="T54" s="15">
        <f>RAND()*$G$12</f>
        <v/>
      </c>
      <c r="U54" s="15">
        <f>S54+T54</f>
        <v/>
      </c>
      <c r="V54" s="15">
        <f>INT((2^$J$12-1)*U54/100)/(2^$J$12-1)*100</f>
        <v/>
      </c>
      <c r="X54" s="15">
        <f>M54 * 1.05</f>
        <v/>
      </c>
      <c r="Y54" s="15">
        <f>M54 * 0.95</f>
        <v/>
      </c>
      <c r="Z54" s="15">
        <f>IF(AND(V54 &lt;= X54, V54 &gt;= Y54), 1, 0)</f>
        <v/>
      </c>
    </row>
    <row r="55">
      <c r="L55" s="15" t="n">
        <v>53</v>
      </c>
      <c r="M55" s="15">
        <f>IF(L55&lt;$D$16,$D$13,IF(L55&lt;$E$16,$E$13,$F$13))</f>
        <v/>
      </c>
      <c r="N55" s="15">
        <f>M55-V55</f>
        <v/>
      </c>
      <c r="O55" s="15">
        <f>IF(MOD(L55,$B$11)=0,OFFSET(O55,-$B$11,0)+ $E$2*N55+$E$3*OFFSET(N55,-$B$11,0)+ $E$4*OFFSET(N55,-2* $B$11,0), O54)</f>
        <v/>
      </c>
      <c r="P55" s="15">
        <f>INT((2^$J$12-1)*O55/100)/(2^$J$12-1)*100</f>
        <v/>
      </c>
      <c r="Q55" s="15" t="n">
        <v>0</v>
      </c>
      <c r="R55" s="15">
        <f>P55+Q55</f>
        <v/>
      </c>
      <c r="S55" s="15">
        <f>$I$1*S54-$I$2*S53+$I$3*R34+$I$4*R33</f>
        <v/>
      </c>
      <c r="T55" s="15">
        <f>RAND()*$G$12</f>
        <v/>
      </c>
      <c r="U55" s="15">
        <f>S55+T55</f>
        <v/>
      </c>
      <c r="V55" s="15">
        <f>INT((2^$J$12-1)*U55/100)/(2^$J$12-1)*100</f>
        <v/>
      </c>
      <c r="X55" s="15">
        <f>M55 * 1.05</f>
        <v/>
      </c>
      <c r="Y55" s="15">
        <f>M55 * 0.95</f>
        <v/>
      </c>
      <c r="Z55" s="15">
        <f>IF(AND(V55 &lt;= X55, V55 &gt;= Y55), 1, 0)</f>
        <v/>
      </c>
    </row>
    <row r="56">
      <c r="L56" s="15" t="n">
        <v>54</v>
      </c>
      <c r="M56" s="15">
        <f>IF(L56&lt;$D$16,$D$13,IF(L56&lt;$E$16,$E$13,$F$13))</f>
        <v/>
      </c>
      <c r="N56" s="15">
        <f>M56-V56</f>
        <v/>
      </c>
      <c r="O56" s="15">
        <f>IF(MOD(L56,$B$11)=0,OFFSET(O56,-$B$11,0)+ $E$2*N56+$E$3*OFFSET(N56,-$B$11,0)+ $E$4*OFFSET(N56,-2* $B$11,0), O55)</f>
        <v/>
      </c>
      <c r="P56" s="15">
        <f>INT((2^$J$12-1)*O56/100)/(2^$J$12-1)*100</f>
        <v/>
      </c>
      <c r="Q56" s="15" t="n">
        <v>0</v>
      </c>
      <c r="R56" s="15">
        <f>P56+Q56</f>
        <v/>
      </c>
      <c r="S56" s="15">
        <f>$I$1*S55-$I$2*S54+$I$3*R35+$I$4*R34</f>
        <v/>
      </c>
      <c r="T56" s="15">
        <f>RAND()*$G$12</f>
        <v/>
      </c>
      <c r="U56" s="15">
        <f>S56+T56</f>
        <v/>
      </c>
      <c r="V56" s="15">
        <f>INT((2^$J$12-1)*U56/100)/(2^$J$12-1)*100</f>
        <v/>
      </c>
      <c r="X56" s="15">
        <f>M56 * 1.05</f>
        <v/>
      </c>
      <c r="Y56" s="15">
        <f>M56 * 0.95</f>
        <v/>
      </c>
      <c r="Z56" s="15">
        <f>IF(AND(V56 &lt;= X56, V56 &gt;= Y56), 1, 0)</f>
        <v/>
      </c>
    </row>
    <row r="57">
      <c r="L57" s="15" t="n">
        <v>55</v>
      </c>
      <c r="M57" s="15">
        <f>IF(L57&lt;$D$16,$D$13,IF(L57&lt;$E$16,$E$13,$F$13))</f>
        <v/>
      </c>
      <c r="N57" s="15">
        <f>M57-V57</f>
        <v/>
      </c>
      <c r="O57" s="15">
        <f>IF(MOD(L57,$B$11)=0,OFFSET(O57,-$B$11,0)+ $E$2*N57+$E$3*OFFSET(N57,-$B$11,0)+ $E$4*OFFSET(N57,-2* $B$11,0), O56)</f>
        <v/>
      </c>
      <c r="P57" s="15">
        <f>INT((2^$J$12-1)*O57/100)/(2^$J$12-1)*100</f>
        <v/>
      </c>
      <c r="Q57" s="15" t="n">
        <v>0</v>
      </c>
      <c r="R57" s="15">
        <f>P57+Q57</f>
        <v/>
      </c>
      <c r="S57" s="15">
        <f>$I$1*S56-$I$2*S55+$I$3*R36+$I$4*R35</f>
        <v/>
      </c>
      <c r="T57" s="15">
        <f>RAND()*$G$12</f>
        <v/>
      </c>
      <c r="U57" s="15">
        <f>S57+T57</f>
        <v/>
      </c>
      <c r="V57" s="15">
        <f>INT((2^$J$12-1)*U57/100)/(2^$J$12-1)*100</f>
        <v/>
      </c>
      <c r="X57" s="15">
        <f>M57 * 1.05</f>
        <v/>
      </c>
      <c r="Y57" s="15">
        <f>M57 * 0.95</f>
        <v/>
      </c>
      <c r="Z57" s="15">
        <f>IF(AND(V57 &lt;= X57, V57 &gt;= Y57), 1, 0)</f>
        <v/>
      </c>
    </row>
    <row r="58">
      <c r="L58" s="15" t="n">
        <v>56</v>
      </c>
      <c r="M58" s="15">
        <f>IF(L58&lt;$D$16,$D$13,IF(L58&lt;$E$16,$E$13,$F$13))</f>
        <v/>
      </c>
      <c r="N58" s="15">
        <f>M58-V58</f>
        <v/>
      </c>
      <c r="O58" s="15">
        <f>IF(MOD(L58,$B$11)=0,OFFSET(O58,-$B$11,0)+ $E$2*N58+$E$3*OFFSET(N58,-$B$11,0)+ $E$4*OFFSET(N58,-2* $B$11,0), O57)</f>
        <v/>
      </c>
      <c r="P58" s="15">
        <f>INT((2^$J$12-1)*O58/100)/(2^$J$12-1)*100</f>
        <v/>
      </c>
      <c r="Q58" s="15" t="n">
        <v>0</v>
      </c>
      <c r="R58" s="15">
        <f>P58+Q58</f>
        <v/>
      </c>
      <c r="S58" s="15">
        <f>$I$1*S57-$I$2*S56+$I$3*R37+$I$4*R36</f>
        <v/>
      </c>
      <c r="T58" s="15">
        <f>RAND()*$G$12</f>
        <v/>
      </c>
      <c r="U58" s="15">
        <f>S58+T58</f>
        <v/>
      </c>
      <c r="V58" s="15">
        <f>INT((2^$J$12-1)*U58/100)/(2^$J$12-1)*100</f>
        <v/>
      </c>
      <c r="X58" s="15">
        <f>M58 * 1.05</f>
        <v/>
      </c>
      <c r="Y58" s="15">
        <f>M58 * 0.95</f>
        <v/>
      </c>
      <c r="Z58" s="15">
        <f>IF(AND(V58 &lt;= X58, V58 &gt;= Y58), 1, 0)</f>
        <v/>
      </c>
    </row>
    <row r="59">
      <c r="L59" s="15" t="n">
        <v>57</v>
      </c>
      <c r="M59" s="15">
        <f>IF(L59&lt;$D$16,$D$13,IF(L59&lt;$E$16,$E$13,$F$13))</f>
        <v/>
      </c>
      <c r="N59" s="15">
        <f>M59-V59</f>
        <v/>
      </c>
      <c r="O59" s="15">
        <f>IF(MOD(L59,$B$11)=0,OFFSET(O59,-$B$11,0)+ $E$2*N59+$E$3*OFFSET(N59,-$B$11,0)+ $E$4*OFFSET(N59,-2* $B$11,0), O58)</f>
        <v/>
      </c>
      <c r="P59" s="15">
        <f>INT((2^$J$12-1)*O59/100)/(2^$J$12-1)*100</f>
        <v/>
      </c>
      <c r="Q59" s="15" t="n">
        <v>0</v>
      </c>
      <c r="R59" s="15">
        <f>P59+Q59</f>
        <v/>
      </c>
      <c r="S59" s="15">
        <f>$I$1*S58-$I$2*S57+$I$3*R38+$I$4*R37</f>
        <v/>
      </c>
      <c r="T59" s="15">
        <f>RAND()*$G$12</f>
        <v/>
      </c>
      <c r="U59" s="15">
        <f>S59+T59</f>
        <v/>
      </c>
      <c r="V59" s="15">
        <f>INT((2^$J$12-1)*U59/100)/(2^$J$12-1)*100</f>
        <v/>
      </c>
      <c r="X59" s="15">
        <f>M59 * 1.05</f>
        <v/>
      </c>
      <c r="Y59" s="15">
        <f>M59 * 0.95</f>
        <v/>
      </c>
      <c r="Z59" s="15">
        <f>IF(AND(V59 &lt;= X59, V59 &gt;= Y59), 1, 0)</f>
        <v/>
      </c>
    </row>
    <row r="60">
      <c r="L60" s="15" t="n">
        <v>58</v>
      </c>
      <c r="M60" s="15">
        <f>IF(L60&lt;$D$16,$D$13,IF(L60&lt;$E$16,$E$13,$F$13))</f>
        <v/>
      </c>
      <c r="N60" s="15">
        <f>M60-V60</f>
        <v/>
      </c>
      <c r="O60" s="15">
        <f>IF(MOD(L60,$B$11)=0,OFFSET(O60,-$B$11,0)+ $E$2*N60+$E$3*OFFSET(N60,-$B$11,0)+ $E$4*OFFSET(N60,-2* $B$11,0), O59)</f>
        <v/>
      </c>
      <c r="P60" s="15">
        <f>INT((2^$J$12-1)*O60/100)/(2^$J$12-1)*100</f>
        <v/>
      </c>
      <c r="Q60" s="15" t="n">
        <v>0</v>
      </c>
      <c r="R60" s="15">
        <f>P60+Q60</f>
        <v/>
      </c>
      <c r="S60" s="15">
        <f>$I$1*S59-$I$2*S58+$I$3*R39+$I$4*R38</f>
        <v/>
      </c>
      <c r="T60" s="15">
        <f>RAND()*$G$12</f>
        <v/>
      </c>
      <c r="U60" s="15">
        <f>S60+T60</f>
        <v/>
      </c>
      <c r="V60" s="15">
        <f>INT((2^$J$12-1)*U60/100)/(2^$J$12-1)*100</f>
        <v/>
      </c>
      <c r="X60" s="15">
        <f>M60 * 1.05</f>
        <v/>
      </c>
      <c r="Y60" s="15">
        <f>M60 * 0.95</f>
        <v/>
      </c>
      <c r="Z60" s="15">
        <f>IF(AND(V60 &lt;= X60, V60 &gt;= Y60), 1, 0)</f>
        <v/>
      </c>
    </row>
    <row r="61">
      <c r="L61" s="15" t="n">
        <v>59</v>
      </c>
      <c r="M61" s="15">
        <f>IF(L61&lt;$D$16,$D$13,IF(L61&lt;$E$16,$E$13,$F$13))</f>
        <v/>
      </c>
      <c r="N61" s="15">
        <f>M61-V61</f>
        <v/>
      </c>
      <c r="O61" s="15">
        <f>IF(MOD(L61,$B$11)=0,OFFSET(O61,-$B$11,0)+ $E$2*N61+$E$3*OFFSET(N61,-$B$11,0)+ $E$4*OFFSET(N61,-2* $B$11,0), O60)</f>
        <v/>
      </c>
      <c r="P61" s="15">
        <f>INT((2^$J$12-1)*O61/100)/(2^$J$12-1)*100</f>
        <v/>
      </c>
      <c r="Q61" s="15" t="n">
        <v>0</v>
      </c>
      <c r="R61" s="15">
        <f>P61+Q61</f>
        <v/>
      </c>
      <c r="S61" s="15">
        <f>$I$1*S60-$I$2*S59+$I$3*R40+$I$4*R39</f>
        <v/>
      </c>
      <c r="T61" s="15">
        <f>RAND()*$G$12</f>
        <v/>
      </c>
      <c r="U61" s="15">
        <f>S61+T61</f>
        <v/>
      </c>
      <c r="V61" s="15">
        <f>INT((2^$J$12-1)*U61/100)/(2^$J$12-1)*100</f>
        <v/>
      </c>
      <c r="X61" s="15">
        <f>M61 * 1.05</f>
        <v/>
      </c>
      <c r="Y61" s="15">
        <f>M61 * 0.95</f>
        <v/>
      </c>
      <c r="Z61" s="15">
        <f>IF(AND(V61 &lt;= X61, V61 &gt;= Y61), 1, 0)</f>
        <v/>
      </c>
    </row>
    <row r="62">
      <c r="L62" s="15" t="n">
        <v>60</v>
      </c>
      <c r="M62" s="15">
        <f>IF(L62&lt;$D$16,$D$13,IF(L62&lt;$E$16,$E$13,$F$13))</f>
        <v/>
      </c>
      <c r="N62" s="15">
        <f>M62-V62</f>
        <v/>
      </c>
      <c r="O62" s="15">
        <f>IF(MOD(L62,$B$11)=0,OFFSET(O62,-$B$11,0)+ $E$2*N62+$E$3*OFFSET(N62,-$B$11,0)+ $E$4*OFFSET(N62,-2* $B$11,0), O61)</f>
        <v/>
      </c>
      <c r="P62" s="15">
        <f>INT((2^$J$12-1)*O62/100)/(2^$J$12-1)*100</f>
        <v/>
      </c>
      <c r="Q62" s="15" t="n">
        <v>0</v>
      </c>
      <c r="R62" s="15">
        <f>P62+Q62</f>
        <v/>
      </c>
      <c r="S62" s="15">
        <f>$I$1*S61-$I$2*S60+$I$3*R41+$I$4*R40</f>
        <v/>
      </c>
      <c r="T62" s="15">
        <f>RAND()*$G$12</f>
        <v/>
      </c>
      <c r="U62" s="15">
        <f>S62+T62</f>
        <v/>
      </c>
      <c r="V62" s="15">
        <f>INT((2^$J$12-1)*U62/100)/(2^$J$12-1)*100</f>
        <v/>
      </c>
      <c r="X62" s="15">
        <f>M62 * 1.05</f>
        <v/>
      </c>
      <c r="Y62" s="15">
        <f>M62 * 0.95</f>
        <v/>
      </c>
      <c r="Z62" s="15">
        <f>IF(AND(V62 &lt;= X62, V62 &gt;= Y62), 1, 0)</f>
        <v/>
      </c>
    </row>
    <row r="63">
      <c r="L63" s="15" t="n">
        <v>61</v>
      </c>
      <c r="M63" s="15">
        <f>IF(L63&lt;$D$16,$D$13,IF(L63&lt;$E$16,$E$13,$F$13))</f>
        <v/>
      </c>
      <c r="N63" s="15">
        <f>M63-V63</f>
        <v/>
      </c>
      <c r="O63" s="15">
        <f>IF(MOD(L63,$B$11)=0,OFFSET(O63,-$B$11,0)+ $E$2*N63+$E$3*OFFSET(N63,-$B$11,0)+ $E$4*OFFSET(N63,-2* $B$11,0), O62)</f>
        <v/>
      </c>
      <c r="P63" s="15">
        <f>INT((2^$J$12-1)*O63/100)/(2^$J$12-1)*100</f>
        <v/>
      </c>
      <c r="Q63" s="15" t="n">
        <v>0</v>
      </c>
      <c r="R63" s="15">
        <f>P63+Q63</f>
        <v/>
      </c>
      <c r="S63" s="15">
        <f>$I$1*S62-$I$2*S61+$I$3*R42+$I$4*R41</f>
        <v/>
      </c>
      <c r="T63" s="15">
        <f>RAND()*$G$12</f>
        <v/>
      </c>
      <c r="U63" s="15">
        <f>S63+T63</f>
        <v/>
      </c>
      <c r="V63" s="15">
        <f>INT((2^$J$12-1)*U63/100)/(2^$J$12-1)*100</f>
        <v/>
      </c>
      <c r="X63" s="15">
        <f>M63 * 1.05</f>
        <v/>
      </c>
      <c r="Y63" s="15">
        <f>M63 * 0.95</f>
        <v/>
      </c>
      <c r="Z63" s="15">
        <f>IF(AND(V63 &lt;= X63, V63 &gt;= Y63), 1, 0)</f>
        <v/>
      </c>
    </row>
    <row r="64">
      <c r="L64" s="15" t="n">
        <v>62</v>
      </c>
      <c r="M64" s="15">
        <f>IF(L64&lt;$D$16,$D$13,IF(L64&lt;$E$16,$E$13,$F$13))</f>
        <v/>
      </c>
      <c r="N64" s="15">
        <f>M64-V64</f>
        <v/>
      </c>
      <c r="O64" s="15">
        <f>IF(MOD(L64,$B$11)=0,OFFSET(O64,-$B$11,0)+ $E$2*N64+$E$3*OFFSET(N64,-$B$11,0)+ $E$4*OFFSET(N64,-2* $B$11,0), O63)</f>
        <v/>
      </c>
      <c r="P64" s="15">
        <f>INT((2^$J$12-1)*O64/100)/(2^$J$12-1)*100</f>
        <v/>
      </c>
      <c r="Q64" s="15" t="n">
        <v>0</v>
      </c>
      <c r="R64" s="15">
        <f>P64+Q64</f>
        <v/>
      </c>
      <c r="S64" s="15">
        <f>$I$1*S63-$I$2*S62+$I$3*R43+$I$4*R42</f>
        <v/>
      </c>
      <c r="T64" s="15">
        <f>RAND()*$G$12</f>
        <v/>
      </c>
      <c r="U64" s="15">
        <f>S64+T64</f>
        <v/>
      </c>
      <c r="V64" s="15">
        <f>INT((2^$J$12-1)*U64/100)/(2^$J$12-1)*100</f>
        <v/>
      </c>
      <c r="X64" s="15">
        <f>M64 * 1.05</f>
        <v/>
      </c>
      <c r="Y64" s="15">
        <f>M64 * 0.95</f>
        <v/>
      </c>
      <c r="Z64" s="15">
        <f>IF(AND(V64 &lt;= X64, V64 &gt;= Y64), 1, 0)</f>
        <v/>
      </c>
    </row>
    <row r="65">
      <c r="L65" s="15" t="n">
        <v>63</v>
      </c>
      <c r="M65" s="15">
        <f>IF(L65&lt;$D$16,$D$13,IF(L65&lt;$E$16,$E$13,$F$13))</f>
        <v/>
      </c>
      <c r="N65" s="15">
        <f>M65-V65</f>
        <v/>
      </c>
      <c r="O65" s="15">
        <f>IF(MOD(L65,$B$11)=0,OFFSET(O65,-$B$11,0)+ $E$2*N65+$E$3*OFFSET(N65,-$B$11,0)+ $E$4*OFFSET(N65,-2* $B$11,0), O64)</f>
        <v/>
      </c>
      <c r="P65" s="15">
        <f>INT((2^$J$12-1)*O65/100)/(2^$J$12-1)*100</f>
        <v/>
      </c>
      <c r="Q65" s="15" t="n">
        <v>0</v>
      </c>
      <c r="R65" s="15">
        <f>P65+Q65</f>
        <v/>
      </c>
      <c r="S65" s="15">
        <f>$I$1*S64-$I$2*S63+$I$3*R44+$I$4*R43</f>
        <v/>
      </c>
      <c r="T65" s="15">
        <f>RAND()*$G$12</f>
        <v/>
      </c>
      <c r="U65" s="15">
        <f>S65+T65</f>
        <v/>
      </c>
      <c r="V65" s="15">
        <f>INT((2^$J$12-1)*U65/100)/(2^$J$12-1)*100</f>
        <v/>
      </c>
      <c r="X65" s="15">
        <f>M65 * 1.05</f>
        <v/>
      </c>
      <c r="Y65" s="15">
        <f>M65 * 0.95</f>
        <v/>
      </c>
      <c r="Z65" s="15">
        <f>IF(AND(V65 &lt;= X65, V65 &gt;= Y65), 1, 0)</f>
        <v/>
      </c>
    </row>
    <row r="66">
      <c r="L66" s="15" t="n">
        <v>64</v>
      </c>
      <c r="M66" s="15">
        <f>IF(L66&lt;$D$16,$D$13,IF(L66&lt;$E$16,$E$13,$F$13))</f>
        <v/>
      </c>
      <c r="N66" s="15">
        <f>M66-V66</f>
        <v/>
      </c>
      <c r="O66" s="15">
        <f>IF(MOD(L66,$B$11)=0,OFFSET(O66,-$B$11,0)+ $E$2*N66+$E$3*OFFSET(N66,-$B$11,0)+ $E$4*OFFSET(N66,-2* $B$11,0), O65)</f>
        <v/>
      </c>
      <c r="P66" s="15">
        <f>INT((2^$J$12-1)*O66/100)/(2^$J$12-1)*100</f>
        <v/>
      </c>
      <c r="Q66" s="15" t="n">
        <v>0</v>
      </c>
      <c r="R66" s="15">
        <f>P66+Q66</f>
        <v/>
      </c>
      <c r="S66" s="15">
        <f>$I$1*S65-$I$2*S64+$I$3*R45+$I$4*R44</f>
        <v/>
      </c>
      <c r="T66" s="15">
        <f>RAND()*$G$12</f>
        <v/>
      </c>
      <c r="U66" s="15">
        <f>S66+T66</f>
        <v/>
      </c>
      <c r="V66" s="15">
        <f>INT((2^$J$12-1)*U66/100)/(2^$J$12-1)*100</f>
        <v/>
      </c>
      <c r="X66" s="15">
        <f>M66 * 1.05</f>
        <v/>
      </c>
      <c r="Y66" s="15">
        <f>M66 * 0.95</f>
        <v/>
      </c>
      <c r="Z66" s="15">
        <f>IF(AND(V66 &lt;= X66, V66 &gt;= Y66), 1, 0)</f>
        <v/>
      </c>
    </row>
    <row r="67">
      <c r="L67" s="15" t="n">
        <v>65</v>
      </c>
      <c r="M67" s="15">
        <f>IF(L67&lt;$D$16,$D$13,IF(L67&lt;$E$16,$E$13,$F$13))</f>
        <v/>
      </c>
      <c r="N67" s="15">
        <f>M67-V67</f>
        <v/>
      </c>
      <c r="O67" s="15">
        <f>IF(MOD(L67,$B$11)=0,OFFSET(O67,-$B$11,0)+ $E$2*N67+$E$3*OFFSET(N67,-$B$11,0)+ $E$4*OFFSET(N67,-2* $B$11,0), O66)</f>
        <v/>
      </c>
      <c r="P67" s="15">
        <f>INT((2^$J$12-1)*O67/100)/(2^$J$12-1)*100</f>
        <v/>
      </c>
      <c r="Q67" s="15" t="n">
        <v>0</v>
      </c>
      <c r="R67" s="15">
        <f>P67+Q67</f>
        <v/>
      </c>
      <c r="S67" s="15">
        <f>$I$1*S66-$I$2*S65+$I$3*R46+$I$4*R45</f>
        <v/>
      </c>
      <c r="T67" s="15">
        <f>RAND()*$G$12</f>
        <v/>
      </c>
      <c r="U67" s="15">
        <f>S67+T67</f>
        <v/>
      </c>
      <c r="V67" s="15">
        <f>INT((2^$J$12-1)*U67/100)/(2^$J$12-1)*100</f>
        <v/>
      </c>
      <c r="X67" s="15">
        <f>M67 * 1.05</f>
        <v/>
      </c>
      <c r="Y67" s="15">
        <f>M67 * 0.95</f>
        <v/>
      </c>
      <c r="Z67" s="15">
        <f>IF(AND(V67 &lt;= X67, V67 &gt;= Y67), 1, 0)</f>
        <v/>
      </c>
    </row>
    <row r="68">
      <c r="L68" s="15" t="n">
        <v>66</v>
      </c>
      <c r="M68" s="15">
        <f>IF(L68&lt;$D$16,$D$13,IF(L68&lt;$E$16,$E$13,$F$13))</f>
        <v/>
      </c>
      <c r="N68" s="15">
        <f>M68-V68</f>
        <v/>
      </c>
      <c r="O68" s="15">
        <f>IF(MOD(L68,$B$11)=0,OFFSET(O68,-$B$11,0)+ $E$2*N68+$E$3*OFFSET(N68,-$B$11,0)+ $E$4*OFFSET(N68,-2* $B$11,0), O67)</f>
        <v/>
      </c>
      <c r="P68" s="15">
        <f>INT((2^$J$12-1)*O68/100)/(2^$J$12-1)*100</f>
        <v/>
      </c>
      <c r="Q68" s="15" t="n">
        <v>0</v>
      </c>
      <c r="R68" s="15">
        <f>P68+Q68</f>
        <v/>
      </c>
      <c r="S68" s="15">
        <f>$I$1*S67-$I$2*S66+$I$3*R47+$I$4*R46</f>
        <v/>
      </c>
      <c r="T68" s="15">
        <f>RAND()*$G$12</f>
        <v/>
      </c>
      <c r="U68" s="15">
        <f>S68+T68</f>
        <v/>
      </c>
      <c r="V68" s="15">
        <f>INT((2^$J$12-1)*U68/100)/(2^$J$12-1)*100</f>
        <v/>
      </c>
      <c r="X68" s="15">
        <f>M68 * 1.05</f>
        <v/>
      </c>
      <c r="Y68" s="15">
        <f>M68 * 0.95</f>
        <v/>
      </c>
      <c r="Z68" s="15">
        <f>IF(AND(V68 &lt;= X68, V68 &gt;= Y68), 1, 0)</f>
        <v/>
      </c>
    </row>
    <row r="69">
      <c r="L69" s="15" t="n">
        <v>67</v>
      </c>
      <c r="M69" s="15">
        <f>IF(L69&lt;$D$16,$D$13,IF(L69&lt;$E$16,$E$13,$F$13))</f>
        <v/>
      </c>
      <c r="N69" s="15">
        <f>M69-V69</f>
        <v/>
      </c>
      <c r="O69" s="15">
        <f>IF(MOD(L69,$B$11)=0,OFFSET(O69,-$B$11,0)+ $E$2*N69+$E$3*OFFSET(N69,-$B$11,0)+ $E$4*OFFSET(N69,-2* $B$11,0), O68)</f>
        <v/>
      </c>
      <c r="P69" s="15">
        <f>INT((2^$J$12-1)*O69/100)/(2^$J$12-1)*100</f>
        <v/>
      </c>
      <c r="Q69" s="15" t="n">
        <v>0</v>
      </c>
      <c r="R69" s="15">
        <f>P69+Q69</f>
        <v/>
      </c>
      <c r="S69" s="15">
        <f>$I$1*S68-$I$2*S67+$I$3*R48+$I$4*R47</f>
        <v/>
      </c>
      <c r="T69" s="15">
        <f>RAND()*$G$12</f>
        <v/>
      </c>
      <c r="U69" s="15">
        <f>S69+T69</f>
        <v/>
      </c>
      <c r="V69" s="15">
        <f>INT((2^$J$12-1)*U69/100)/(2^$J$12-1)*100</f>
        <v/>
      </c>
      <c r="X69" s="15">
        <f>M69 * 1.05</f>
        <v/>
      </c>
      <c r="Y69" s="15">
        <f>M69 * 0.95</f>
        <v/>
      </c>
      <c r="Z69" s="15">
        <f>IF(AND(V69 &lt;= X69, V69 &gt;= Y69), 1, 0)</f>
        <v/>
      </c>
    </row>
    <row r="70">
      <c r="L70" s="15" t="n">
        <v>68</v>
      </c>
      <c r="M70" s="15">
        <f>IF(L70&lt;$D$16,$D$13,IF(L70&lt;$E$16,$E$13,$F$13))</f>
        <v/>
      </c>
      <c r="N70" s="15">
        <f>M70-V70</f>
        <v/>
      </c>
      <c r="O70" s="15">
        <f>IF(MOD(L70,$B$11)=0,OFFSET(O70,-$B$11,0)+ $E$2*N70+$E$3*OFFSET(N70,-$B$11,0)+ $E$4*OFFSET(N70,-2* $B$11,0), O69)</f>
        <v/>
      </c>
      <c r="P70" s="15">
        <f>INT((2^$J$12-1)*O70/100)/(2^$J$12-1)*100</f>
        <v/>
      </c>
      <c r="Q70" s="15" t="n">
        <v>0</v>
      </c>
      <c r="R70" s="15">
        <f>P70+Q70</f>
        <v/>
      </c>
      <c r="S70" s="15">
        <f>$I$1*S69-$I$2*S68+$I$3*R49+$I$4*R48</f>
        <v/>
      </c>
      <c r="T70" s="15">
        <f>RAND()*$G$12</f>
        <v/>
      </c>
      <c r="U70" s="15">
        <f>S70+T70</f>
        <v/>
      </c>
      <c r="V70" s="15">
        <f>INT((2^$J$12-1)*U70/100)/(2^$J$12-1)*100</f>
        <v/>
      </c>
      <c r="X70" s="15">
        <f>M70 * 1.05</f>
        <v/>
      </c>
      <c r="Y70" s="15">
        <f>M70 * 0.95</f>
        <v/>
      </c>
      <c r="Z70" s="15">
        <f>IF(AND(V70 &lt;= X70, V70 &gt;= Y70), 1, 0)</f>
        <v/>
      </c>
    </row>
    <row r="71">
      <c r="L71" s="15" t="n">
        <v>69</v>
      </c>
      <c r="M71" s="15">
        <f>IF(L71&lt;$D$16,$D$13,IF(L71&lt;$E$16,$E$13,$F$13))</f>
        <v/>
      </c>
      <c r="N71" s="15">
        <f>M71-V71</f>
        <v/>
      </c>
      <c r="O71" s="15">
        <f>IF(MOD(L71,$B$11)=0,OFFSET(O71,-$B$11,0)+ $E$2*N71+$E$3*OFFSET(N71,-$B$11,0)+ $E$4*OFFSET(N71,-2* $B$11,0), O70)</f>
        <v/>
      </c>
      <c r="P71" s="15">
        <f>INT((2^$J$12-1)*O71/100)/(2^$J$12-1)*100</f>
        <v/>
      </c>
      <c r="Q71" s="15" t="n">
        <v>0</v>
      </c>
      <c r="R71" s="15">
        <f>P71+Q71</f>
        <v/>
      </c>
      <c r="S71" s="15">
        <f>$I$1*S70-$I$2*S69+$I$3*R50+$I$4*R49</f>
        <v/>
      </c>
      <c r="T71" s="15">
        <f>RAND()*$G$12</f>
        <v/>
      </c>
      <c r="U71" s="15">
        <f>S71+T71</f>
        <v/>
      </c>
      <c r="V71" s="15">
        <f>INT((2^$J$12-1)*U71/100)/(2^$J$12-1)*100</f>
        <v/>
      </c>
      <c r="X71" s="15">
        <f>M71 * 1.05</f>
        <v/>
      </c>
      <c r="Y71" s="15">
        <f>M71 * 0.95</f>
        <v/>
      </c>
      <c r="Z71" s="15">
        <f>IF(AND(V71 &lt;= X71, V71 &gt;= Y71), 1, 0)</f>
        <v/>
      </c>
    </row>
    <row r="72">
      <c r="L72" s="15" t="n">
        <v>70</v>
      </c>
      <c r="M72" s="15">
        <f>IF(L72&lt;$D$16,$D$13,IF(L72&lt;$E$16,$E$13,$F$13))</f>
        <v/>
      </c>
      <c r="N72" s="15">
        <f>M72-V72</f>
        <v/>
      </c>
      <c r="O72" s="15">
        <f>IF(MOD(L72,$B$11)=0,OFFSET(O72,-$B$11,0)+ $E$2*N72+$E$3*OFFSET(N72,-$B$11,0)+ $E$4*OFFSET(N72,-2* $B$11,0), O71)</f>
        <v/>
      </c>
      <c r="P72" s="15">
        <f>INT((2^$J$12-1)*O72/100)/(2^$J$12-1)*100</f>
        <v/>
      </c>
      <c r="Q72" s="15" t="n">
        <v>0</v>
      </c>
      <c r="R72" s="15">
        <f>P72+Q72</f>
        <v/>
      </c>
      <c r="S72" s="15">
        <f>$I$1*S71-$I$2*S70+$I$3*R51+$I$4*R50</f>
        <v/>
      </c>
      <c r="T72" s="15">
        <f>RAND()*$G$12</f>
        <v/>
      </c>
      <c r="U72" s="15">
        <f>S72+T72</f>
        <v/>
      </c>
      <c r="V72" s="15">
        <f>INT((2^$J$12-1)*U72/100)/(2^$J$12-1)*100</f>
        <v/>
      </c>
      <c r="X72" s="15">
        <f>M72 * 1.05</f>
        <v/>
      </c>
      <c r="Y72" s="15">
        <f>M72 * 0.95</f>
        <v/>
      </c>
      <c r="Z72" s="15">
        <f>IF(AND(V72 &lt;= X72, V72 &gt;= Y72), 1, 0)</f>
        <v/>
      </c>
    </row>
    <row r="73">
      <c r="L73" s="15" t="n">
        <v>71</v>
      </c>
      <c r="M73" s="15">
        <f>IF(L73&lt;$D$16,$D$13,IF(L73&lt;$E$16,$E$13,$F$13))</f>
        <v/>
      </c>
      <c r="N73" s="15">
        <f>M73-V73</f>
        <v/>
      </c>
      <c r="O73" s="15">
        <f>IF(MOD(L73,$B$11)=0,OFFSET(O73,-$B$11,0)+ $E$2*N73+$E$3*OFFSET(N73,-$B$11,0)+ $E$4*OFFSET(N73,-2* $B$11,0), O72)</f>
        <v/>
      </c>
      <c r="P73" s="15">
        <f>INT((2^$J$12-1)*O73/100)/(2^$J$12-1)*100</f>
        <v/>
      </c>
      <c r="Q73" s="15" t="n">
        <v>0</v>
      </c>
      <c r="R73" s="15">
        <f>P73+Q73</f>
        <v/>
      </c>
      <c r="S73" s="15">
        <f>$I$1*S72-$I$2*S71+$I$3*R52+$I$4*R51</f>
        <v/>
      </c>
      <c r="T73" s="15">
        <f>RAND()*$G$12</f>
        <v/>
      </c>
      <c r="U73" s="15">
        <f>S73+T73</f>
        <v/>
      </c>
      <c r="V73" s="15">
        <f>INT((2^$J$12-1)*U73/100)/(2^$J$12-1)*100</f>
        <v/>
      </c>
      <c r="X73" s="15">
        <f>M73 * 1.05</f>
        <v/>
      </c>
      <c r="Y73" s="15">
        <f>M73 * 0.95</f>
        <v/>
      </c>
      <c r="Z73" s="15">
        <f>IF(AND(V73 &lt;= X73, V73 &gt;= Y73), 1, 0)</f>
        <v/>
      </c>
    </row>
    <row r="74">
      <c r="L74" s="15" t="n">
        <v>72</v>
      </c>
      <c r="M74" s="15">
        <f>IF(L74&lt;$D$16,$D$13,IF(L74&lt;$E$16,$E$13,$F$13))</f>
        <v/>
      </c>
      <c r="N74" s="15">
        <f>M74-V74</f>
        <v/>
      </c>
      <c r="O74" s="15">
        <f>IF(MOD(L74,$B$11)=0,OFFSET(O74,-$B$11,0)+ $E$2*N74+$E$3*OFFSET(N74,-$B$11,0)+ $E$4*OFFSET(N74,-2* $B$11,0), O73)</f>
        <v/>
      </c>
      <c r="P74" s="15">
        <f>INT((2^$J$12-1)*O74/100)/(2^$J$12-1)*100</f>
        <v/>
      </c>
      <c r="Q74" s="15" t="n">
        <v>0</v>
      </c>
      <c r="R74" s="15">
        <f>P74+Q74</f>
        <v/>
      </c>
      <c r="S74" s="15">
        <f>$I$1*S73-$I$2*S72+$I$3*R53+$I$4*R52</f>
        <v/>
      </c>
      <c r="T74" s="15">
        <f>RAND()*$G$12</f>
        <v/>
      </c>
      <c r="U74" s="15">
        <f>S74+T74</f>
        <v/>
      </c>
      <c r="V74" s="15">
        <f>INT((2^$J$12-1)*U74/100)/(2^$J$12-1)*100</f>
        <v/>
      </c>
      <c r="X74" s="15">
        <f>M74 * 1.05</f>
        <v/>
      </c>
      <c r="Y74" s="15">
        <f>M74 * 0.95</f>
        <v/>
      </c>
      <c r="Z74" s="15">
        <f>IF(AND(V74 &lt;= X74, V74 &gt;= Y74), 1, 0)</f>
        <v/>
      </c>
    </row>
    <row r="75">
      <c r="L75" s="15" t="n">
        <v>73</v>
      </c>
      <c r="M75" s="15">
        <f>IF(L75&lt;$D$16,$D$13,IF(L75&lt;$E$16,$E$13,$F$13))</f>
        <v/>
      </c>
      <c r="N75" s="15">
        <f>M75-V75</f>
        <v/>
      </c>
      <c r="O75" s="15">
        <f>IF(MOD(L75,$B$11)=0,OFFSET(O75,-$B$11,0)+ $E$2*N75+$E$3*OFFSET(N75,-$B$11,0)+ $E$4*OFFSET(N75,-2* $B$11,0), O74)</f>
        <v/>
      </c>
      <c r="P75" s="15">
        <f>INT((2^$J$12-1)*O75/100)/(2^$J$12-1)*100</f>
        <v/>
      </c>
      <c r="Q75" s="15" t="n">
        <v>0</v>
      </c>
      <c r="R75" s="15">
        <f>P75+Q75</f>
        <v/>
      </c>
      <c r="S75" s="15">
        <f>$I$1*S74-$I$2*S73+$I$3*R54+$I$4*R53</f>
        <v/>
      </c>
      <c r="T75" s="15">
        <f>RAND()*$G$12</f>
        <v/>
      </c>
      <c r="U75" s="15">
        <f>S75+T75</f>
        <v/>
      </c>
      <c r="V75" s="15">
        <f>INT((2^$J$12-1)*U75/100)/(2^$J$12-1)*100</f>
        <v/>
      </c>
      <c r="X75" s="15">
        <f>M75 * 1.05</f>
        <v/>
      </c>
      <c r="Y75" s="15">
        <f>M75 * 0.95</f>
        <v/>
      </c>
      <c r="Z75" s="15">
        <f>IF(AND(V75 &lt;= X75, V75 &gt;= Y75), 1, 0)</f>
        <v/>
      </c>
    </row>
    <row r="76">
      <c r="L76" s="15" t="n">
        <v>74</v>
      </c>
      <c r="M76" s="15">
        <f>IF(L76&lt;$D$16,$D$13,IF(L76&lt;$E$16,$E$13,$F$13))</f>
        <v/>
      </c>
      <c r="N76" s="15">
        <f>M76-V76</f>
        <v/>
      </c>
      <c r="O76" s="15">
        <f>IF(MOD(L76,$B$11)=0,OFFSET(O76,-$B$11,0)+ $E$2*N76+$E$3*OFFSET(N76,-$B$11,0)+ $E$4*OFFSET(N76,-2* $B$11,0), O75)</f>
        <v/>
      </c>
      <c r="P76" s="15">
        <f>INT((2^$J$12-1)*O76/100)/(2^$J$12-1)*100</f>
        <v/>
      </c>
      <c r="Q76" s="15" t="n">
        <v>0</v>
      </c>
      <c r="R76" s="15">
        <f>P76+Q76</f>
        <v/>
      </c>
      <c r="S76" s="15">
        <f>$I$1*S75-$I$2*S74+$I$3*R55+$I$4*R54</f>
        <v/>
      </c>
      <c r="T76" s="15">
        <f>RAND()*$G$12</f>
        <v/>
      </c>
      <c r="U76" s="15">
        <f>S76+T76</f>
        <v/>
      </c>
      <c r="V76" s="15">
        <f>INT((2^$J$12-1)*U76/100)/(2^$J$12-1)*100</f>
        <v/>
      </c>
      <c r="X76" s="15">
        <f>M76 * 1.05</f>
        <v/>
      </c>
      <c r="Y76" s="15">
        <f>M76 * 0.95</f>
        <v/>
      </c>
      <c r="Z76" s="15">
        <f>IF(AND(V76 &lt;= X76, V76 &gt;= Y76), 1, 0)</f>
        <v/>
      </c>
    </row>
    <row r="77">
      <c r="L77" s="15" t="n">
        <v>75</v>
      </c>
      <c r="M77" s="15">
        <f>IF(L77&lt;$D$16,$D$13,IF(L77&lt;$E$16,$E$13,$F$13))</f>
        <v/>
      </c>
      <c r="N77" s="15">
        <f>M77-V77</f>
        <v/>
      </c>
      <c r="O77" s="15">
        <f>IF(MOD(L77,$B$11)=0,OFFSET(O77,-$B$11,0)+ $E$2*N77+$E$3*OFFSET(N77,-$B$11,0)+ $E$4*OFFSET(N77,-2* $B$11,0), O76)</f>
        <v/>
      </c>
      <c r="P77" s="15">
        <f>INT((2^$J$12-1)*O77/100)/(2^$J$12-1)*100</f>
        <v/>
      </c>
      <c r="Q77" s="15" t="n">
        <v>0</v>
      </c>
      <c r="R77" s="15">
        <f>P77+Q77</f>
        <v/>
      </c>
      <c r="S77" s="15">
        <f>$I$1*S76-$I$2*S75+$I$3*R56+$I$4*R55</f>
        <v/>
      </c>
      <c r="T77" s="15">
        <f>RAND()*$G$12</f>
        <v/>
      </c>
      <c r="U77" s="15">
        <f>S77+T77</f>
        <v/>
      </c>
      <c r="V77" s="15">
        <f>INT((2^$J$12-1)*U77/100)/(2^$J$12-1)*100</f>
        <v/>
      </c>
      <c r="X77" s="15">
        <f>M77 * 1.05</f>
        <v/>
      </c>
      <c r="Y77" s="15">
        <f>M77 * 0.95</f>
        <v/>
      </c>
      <c r="Z77" s="15">
        <f>IF(AND(V77 &lt;= X77, V77 &gt;= Y77), 1, 0)</f>
        <v/>
      </c>
    </row>
    <row r="78">
      <c r="L78" s="15" t="n">
        <v>76</v>
      </c>
      <c r="M78" s="15">
        <f>IF(L78&lt;$D$16,$D$13,IF(L78&lt;$E$16,$E$13,$F$13))</f>
        <v/>
      </c>
      <c r="N78" s="15">
        <f>M78-V78</f>
        <v/>
      </c>
      <c r="O78" s="15">
        <f>IF(MOD(L78,$B$11)=0,OFFSET(O78,-$B$11,0)+ $E$2*N78+$E$3*OFFSET(N78,-$B$11,0)+ $E$4*OFFSET(N78,-2* $B$11,0), O77)</f>
        <v/>
      </c>
      <c r="P78" s="15">
        <f>INT((2^$J$12-1)*O78/100)/(2^$J$12-1)*100</f>
        <v/>
      </c>
      <c r="Q78" s="15" t="n">
        <v>0</v>
      </c>
      <c r="R78" s="15">
        <f>P78+Q78</f>
        <v/>
      </c>
      <c r="S78" s="15">
        <f>$I$1*S77-$I$2*S76+$I$3*R57+$I$4*R56</f>
        <v/>
      </c>
      <c r="T78" s="15">
        <f>RAND()*$G$12</f>
        <v/>
      </c>
      <c r="U78" s="15">
        <f>S78+T78</f>
        <v/>
      </c>
      <c r="V78" s="15">
        <f>INT((2^$J$12-1)*U78/100)/(2^$J$12-1)*100</f>
        <v/>
      </c>
      <c r="X78" s="15">
        <f>M78 * 1.05</f>
        <v/>
      </c>
      <c r="Y78" s="15">
        <f>M78 * 0.95</f>
        <v/>
      </c>
      <c r="Z78" s="15">
        <f>IF(AND(V78 &lt;= X78, V78 &gt;= Y78), 1, 0)</f>
        <v/>
      </c>
    </row>
    <row r="79">
      <c r="L79" s="15" t="n">
        <v>77</v>
      </c>
      <c r="M79" s="15">
        <f>IF(L79&lt;$D$16,$D$13,IF(L79&lt;$E$16,$E$13,$F$13))</f>
        <v/>
      </c>
      <c r="N79" s="15">
        <f>M79-V79</f>
        <v/>
      </c>
      <c r="O79" s="15">
        <f>IF(MOD(L79,$B$11)=0,OFFSET(O79,-$B$11,0)+ $E$2*N79+$E$3*OFFSET(N79,-$B$11,0)+ $E$4*OFFSET(N79,-2* $B$11,0), O78)</f>
        <v/>
      </c>
      <c r="P79" s="15">
        <f>INT((2^$J$12-1)*O79/100)/(2^$J$12-1)*100</f>
        <v/>
      </c>
      <c r="Q79" s="15" t="n">
        <v>0</v>
      </c>
      <c r="R79" s="15">
        <f>P79+Q79</f>
        <v/>
      </c>
      <c r="S79" s="15">
        <f>$I$1*S78-$I$2*S77+$I$3*R58+$I$4*R57</f>
        <v/>
      </c>
      <c r="T79" s="15">
        <f>RAND()*$G$12</f>
        <v/>
      </c>
      <c r="U79" s="15">
        <f>S79+T79</f>
        <v/>
      </c>
      <c r="V79" s="15">
        <f>INT((2^$J$12-1)*U79/100)/(2^$J$12-1)*100</f>
        <v/>
      </c>
      <c r="X79" s="15">
        <f>M79 * 1.05</f>
        <v/>
      </c>
      <c r="Y79" s="15">
        <f>M79 * 0.95</f>
        <v/>
      </c>
      <c r="Z79" s="15">
        <f>IF(AND(V79 &lt;= X79, V79 &gt;= Y79), 1, 0)</f>
        <v/>
      </c>
    </row>
    <row r="80">
      <c r="L80" s="15" t="n">
        <v>78</v>
      </c>
      <c r="M80" s="15">
        <f>IF(L80&lt;$D$16,$D$13,IF(L80&lt;$E$16,$E$13,$F$13))</f>
        <v/>
      </c>
      <c r="N80" s="15">
        <f>M80-V80</f>
        <v/>
      </c>
      <c r="O80" s="15">
        <f>IF(MOD(L80,$B$11)=0,OFFSET(O80,-$B$11,0)+ $E$2*N80+$E$3*OFFSET(N80,-$B$11,0)+ $E$4*OFFSET(N80,-2* $B$11,0), O79)</f>
        <v/>
      </c>
      <c r="P80" s="15">
        <f>INT((2^$J$12-1)*O80/100)/(2^$J$12-1)*100</f>
        <v/>
      </c>
      <c r="Q80" s="15" t="n">
        <v>0</v>
      </c>
      <c r="R80" s="15">
        <f>P80+Q80</f>
        <v/>
      </c>
      <c r="S80" s="15">
        <f>$I$1*S79-$I$2*S78+$I$3*R59+$I$4*R58</f>
        <v/>
      </c>
      <c r="T80" s="15">
        <f>RAND()*$G$12</f>
        <v/>
      </c>
      <c r="U80" s="15">
        <f>S80+T80</f>
        <v/>
      </c>
      <c r="V80" s="15">
        <f>INT((2^$J$12-1)*U80/100)/(2^$J$12-1)*100</f>
        <v/>
      </c>
      <c r="X80" s="15">
        <f>M80 * 1.05</f>
        <v/>
      </c>
      <c r="Y80" s="15">
        <f>M80 * 0.95</f>
        <v/>
      </c>
      <c r="Z80" s="15">
        <f>IF(AND(V80 &lt;= X80, V80 &gt;= Y80), 1, 0)</f>
        <v/>
      </c>
    </row>
    <row r="81">
      <c r="L81" s="15" t="n">
        <v>79</v>
      </c>
      <c r="M81" s="15">
        <f>IF(L81&lt;$D$16,$D$13,IF(L81&lt;$E$16,$E$13,$F$13))</f>
        <v/>
      </c>
      <c r="N81" s="15">
        <f>M81-V81</f>
        <v/>
      </c>
      <c r="O81" s="15">
        <f>IF(MOD(L81,$B$11)=0,OFFSET(O81,-$B$11,0)+ $E$2*N81+$E$3*OFFSET(N81,-$B$11,0)+ $E$4*OFFSET(N81,-2* $B$11,0), O80)</f>
        <v/>
      </c>
      <c r="P81" s="15">
        <f>INT((2^$J$12-1)*O81/100)/(2^$J$12-1)*100</f>
        <v/>
      </c>
      <c r="Q81" s="15" t="n">
        <v>0</v>
      </c>
      <c r="R81" s="15">
        <f>P81+Q81</f>
        <v/>
      </c>
      <c r="S81" s="15">
        <f>$I$1*S80-$I$2*S79+$I$3*R60+$I$4*R59</f>
        <v/>
      </c>
      <c r="T81" s="15">
        <f>RAND()*$G$12</f>
        <v/>
      </c>
      <c r="U81" s="15">
        <f>S81+T81</f>
        <v/>
      </c>
      <c r="V81" s="15">
        <f>INT((2^$J$12-1)*U81/100)/(2^$J$12-1)*100</f>
        <v/>
      </c>
      <c r="X81" s="15">
        <f>M81 * 1.05</f>
        <v/>
      </c>
      <c r="Y81" s="15">
        <f>M81 * 0.95</f>
        <v/>
      </c>
      <c r="Z81" s="15">
        <f>IF(AND(V81 &lt;= X81, V81 &gt;= Y81), 1, 0)</f>
        <v/>
      </c>
    </row>
    <row r="82">
      <c r="L82" s="15" t="n">
        <v>80</v>
      </c>
      <c r="M82" s="15">
        <f>IF(L82&lt;$D$16,$D$13,IF(L82&lt;$E$16,$E$13,$F$13))</f>
        <v/>
      </c>
      <c r="N82" s="15">
        <f>M82-V82</f>
        <v/>
      </c>
      <c r="O82" s="15">
        <f>IF(MOD(L82,$B$11)=0,OFFSET(O82,-$B$11,0)+ $E$2*N82+$E$3*OFFSET(N82,-$B$11,0)+ $E$4*OFFSET(N82,-2* $B$11,0), O81)</f>
        <v/>
      </c>
      <c r="P82" s="15">
        <f>INT((2^$J$12-1)*O82/100)/(2^$J$12-1)*100</f>
        <v/>
      </c>
      <c r="Q82" s="15" t="n">
        <v>0</v>
      </c>
      <c r="R82" s="15">
        <f>P82+Q82</f>
        <v/>
      </c>
      <c r="S82" s="15">
        <f>$I$1*S81-$I$2*S80+$I$3*R61+$I$4*R60</f>
        <v/>
      </c>
      <c r="T82" s="15">
        <f>RAND()*$G$12</f>
        <v/>
      </c>
      <c r="U82" s="15">
        <f>S82+T82</f>
        <v/>
      </c>
      <c r="V82" s="15">
        <f>INT((2^$J$12-1)*U82/100)/(2^$J$12-1)*100</f>
        <v/>
      </c>
      <c r="X82" s="15">
        <f>M82 * 1.05</f>
        <v/>
      </c>
      <c r="Y82" s="15">
        <f>M82 * 0.95</f>
        <v/>
      </c>
      <c r="Z82" s="15">
        <f>IF(AND(V82 &lt;= X82, V82 &gt;= Y82), 1, 0)</f>
        <v/>
      </c>
    </row>
    <row r="83">
      <c r="L83" s="15" t="n">
        <v>81</v>
      </c>
      <c r="M83" s="15">
        <f>IF(L83&lt;$D$16,$D$13,IF(L83&lt;$E$16,$E$13,$F$13))</f>
        <v/>
      </c>
      <c r="N83" s="15">
        <f>M83-V83</f>
        <v/>
      </c>
      <c r="O83" s="15">
        <f>IF(MOD(L83,$B$11)=0,OFFSET(O83,-$B$11,0)+ $E$2*N83+$E$3*OFFSET(N83,-$B$11,0)+ $E$4*OFFSET(N83,-2* $B$11,0), O82)</f>
        <v/>
      </c>
      <c r="P83" s="15">
        <f>INT((2^$J$12-1)*O83/100)/(2^$J$12-1)*100</f>
        <v/>
      </c>
      <c r="Q83" s="15" t="n">
        <v>0</v>
      </c>
      <c r="R83" s="15">
        <f>P83+Q83</f>
        <v/>
      </c>
      <c r="S83" s="15">
        <f>$I$1*S82-$I$2*S81+$I$3*R62+$I$4*R61</f>
        <v/>
      </c>
      <c r="T83" s="15">
        <f>RAND()*$G$12</f>
        <v/>
      </c>
      <c r="U83" s="15">
        <f>S83+T83</f>
        <v/>
      </c>
      <c r="V83" s="15">
        <f>INT((2^$J$12-1)*U83/100)/(2^$J$12-1)*100</f>
        <v/>
      </c>
      <c r="X83" s="15">
        <f>M83 * 1.05</f>
        <v/>
      </c>
      <c r="Y83" s="15">
        <f>M83 * 0.95</f>
        <v/>
      </c>
      <c r="Z83" s="15">
        <f>IF(AND(V83 &lt;= X83, V83 &gt;= Y83), 1, 0)</f>
        <v/>
      </c>
    </row>
    <row r="84">
      <c r="L84" s="15" t="n">
        <v>82</v>
      </c>
      <c r="M84" s="15">
        <f>IF(L84&lt;$D$16,$D$13,IF(L84&lt;$E$16,$E$13,$F$13))</f>
        <v/>
      </c>
      <c r="N84" s="15">
        <f>M84-V84</f>
        <v/>
      </c>
      <c r="O84" s="15">
        <f>IF(MOD(L84,$B$11)=0,OFFSET(O84,-$B$11,0)+ $E$2*N84+$E$3*OFFSET(N84,-$B$11,0)+ $E$4*OFFSET(N84,-2* $B$11,0), O83)</f>
        <v/>
      </c>
      <c r="P84" s="15">
        <f>INT((2^$J$12-1)*O84/100)/(2^$J$12-1)*100</f>
        <v/>
      </c>
      <c r="Q84" s="15" t="n">
        <v>0</v>
      </c>
      <c r="R84" s="15">
        <f>P84+Q84</f>
        <v/>
      </c>
      <c r="S84" s="15">
        <f>$I$1*S83-$I$2*S82+$I$3*R63+$I$4*R62</f>
        <v/>
      </c>
      <c r="T84" s="15">
        <f>RAND()*$G$12</f>
        <v/>
      </c>
      <c r="U84" s="15">
        <f>S84+T84</f>
        <v/>
      </c>
      <c r="V84" s="15">
        <f>INT((2^$J$12-1)*U84/100)/(2^$J$12-1)*100</f>
        <v/>
      </c>
      <c r="X84" s="15">
        <f>M84 * 1.05</f>
        <v/>
      </c>
      <c r="Y84" s="15">
        <f>M84 * 0.95</f>
        <v/>
      </c>
      <c r="Z84" s="15">
        <f>IF(AND(V84 &lt;= X84, V84 &gt;= Y84), 1, 0)</f>
        <v/>
      </c>
    </row>
    <row r="85">
      <c r="L85" s="15" t="n">
        <v>83</v>
      </c>
      <c r="M85" s="15">
        <f>IF(L85&lt;$D$16,$D$13,IF(L85&lt;$E$16,$E$13,$F$13))</f>
        <v/>
      </c>
      <c r="N85" s="15">
        <f>M85-V85</f>
        <v/>
      </c>
      <c r="O85" s="15">
        <f>IF(MOD(L85,$B$11)=0,OFFSET(O85,-$B$11,0)+ $E$2*N85+$E$3*OFFSET(N85,-$B$11,0)+ $E$4*OFFSET(N85,-2* $B$11,0), O84)</f>
        <v/>
      </c>
      <c r="P85" s="15">
        <f>INT((2^$J$12-1)*O85/100)/(2^$J$12-1)*100</f>
        <v/>
      </c>
      <c r="Q85" s="15" t="n">
        <v>0</v>
      </c>
      <c r="R85" s="15">
        <f>P85+Q85</f>
        <v/>
      </c>
      <c r="S85" s="15">
        <f>$I$1*S84-$I$2*S83+$I$3*R64+$I$4*R63</f>
        <v/>
      </c>
      <c r="T85" s="15">
        <f>RAND()*$G$12</f>
        <v/>
      </c>
      <c r="U85" s="15">
        <f>S85+T85</f>
        <v/>
      </c>
      <c r="V85" s="15">
        <f>INT((2^$J$12-1)*U85/100)/(2^$J$12-1)*100</f>
        <v/>
      </c>
      <c r="X85" s="15">
        <f>M85 * 1.05</f>
        <v/>
      </c>
      <c r="Y85" s="15">
        <f>M85 * 0.95</f>
        <v/>
      </c>
      <c r="Z85" s="15">
        <f>IF(AND(V85 &lt;= X85, V85 &gt;= Y85), 1, 0)</f>
        <v/>
      </c>
    </row>
    <row r="86">
      <c r="L86" s="15" t="n">
        <v>84</v>
      </c>
      <c r="M86" s="15">
        <f>IF(L86&lt;$D$16,$D$13,IF(L86&lt;$E$16,$E$13,$F$13))</f>
        <v/>
      </c>
      <c r="N86" s="15">
        <f>M86-V86</f>
        <v/>
      </c>
      <c r="O86" s="15">
        <f>IF(MOD(L86,$B$11)=0,OFFSET(O86,-$B$11,0)+ $E$2*N86+$E$3*OFFSET(N86,-$B$11,0)+ $E$4*OFFSET(N86,-2* $B$11,0), O85)</f>
        <v/>
      </c>
      <c r="P86" s="15">
        <f>INT((2^$J$12-1)*O86/100)/(2^$J$12-1)*100</f>
        <v/>
      </c>
      <c r="Q86" s="15" t="n">
        <v>0</v>
      </c>
      <c r="R86" s="15">
        <f>P86+Q86</f>
        <v/>
      </c>
      <c r="S86" s="15">
        <f>$I$1*S85-$I$2*S84+$I$3*R65+$I$4*R64</f>
        <v/>
      </c>
      <c r="T86" s="15">
        <f>RAND()*$G$12</f>
        <v/>
      </c>
      <c r="U86" s="15">
        <f>S86+T86</f>
        <v/>
      </c>
      <c r="V86" s="15">
        <f>INT((2^$J$12-1)*U86/100)/(2^$J$12-1)*100</f>
        <v/>
      </c>
      <c r="X86" s="15">
        <f>M86 * 1.05</f>
        <v/>
      </c>
      <c r="Y86" s="15">
        <f>M86 * 0.95</f>
        <v/>
      </c>
      <c r="Z86" s="15">
        <f>IF(AND(V86 &lt;= X86, V86 &gt;= Y86), 1, 0)</f>
        <v/>
      </c>
    </row>
    <row r="87">
      <c r="L87" s="15" t="n">
        <v>85</v>
      </c>
      <c r="M87" s="15">
        <f>IF(L87&lt;$D$16,$D$13,IF(L87&lt;$E$16,$E$13,$F$13))</f>
        <v/>
      </c>
      <c r="N87" s="15">
        <f>M87-V87</f>
        <v/>
      </c>
      <c r="O87" s="15">
        <f>IF(MOD(L87,$B$11)=0,OFFSET(O87,-$B$11,0)+ $E$2*N87+$E$3*OFFSET(N87,-$B$11,0)+ $E$4*OFFSET(N87,-2* $B$11,0), O86)</f>
        <v/>
      </c>
      <c r="P87" s="15">
        <f>INT((2^$J$12-1)*O87/100)/(2^$J$12-1)*100</f>
        <v/>
      </c>
      <c r="Q87" s="15" t="n">
        <v>0</v>
      </c>
      <c r="R87" s="15">
        <f>P87+Q87</f>
        <v/>
      </c>
      <c r="S87" s="15">
        <f>$I$1*S86-$I$2*S85+$I$3*R66+$I$4*R65</f>
        <v/>
      </c>
      <c r="T87" s="15">
        <f>RAND()*$G$12</f>
        <v/>
      </c>
      <c r="U87" s="15">
        <f>S87+T87</f>
        <v/>
      </c>
      <c r="V87" s="15">
        <f>INT((2^$J$12-1)*U87/100)/(2^$J$12-1)*100</f>
        <v/>
      </c>
      <c r="X87" s="15">
        <f>M87 * 1.05</f>
        <v/>
      </c>
      <c r="Y87" s="15">
        <f>M87 * 0.95</f>
        <v/>
      </c>
      <c r="Z87" s="15">
        <f>IF(AND(V87 &lt;= X87, V87 &gt;= Y87), 1, 0)</f>
        <v/>
      </c>
    </row>
    <row r="88">
      <c r="L88" s="15" t="n">
        <v>86</v>
      </c>
      <c r="M88" s="15">
        <f>IF(L88&lt;$D$16,$D$13,IF(L88&lt;$E$16,$E$13,$F$13))</f>
        <v/>
      </c>
      <c r="N88" s="15">
        <f>M88-V88</f>
        <v/>
      </c>
      <c r="O88" s="15">
        <f>IF(MOD(L88,$B$11)=0,OFFSET(O88,-$B$11,0)+ $E$2*N88+$E$3*OFFSET(N88,-$B$11,0)+ $E$4*OFFSET(N88,-2* $B$11,0), O87)</f>
        <v/>
      </c>
      <c r="P88" s="15">
        <f>INT((2^$J$12-1)*O88/100)/(2^$J$12-1)*100</f>
        <v/>
      </c>
      <c r="Q88" s="15" t="n">
        <v>0</v>
      </c>
      <c r="R88" s="15">
        <f>P88+Q88</f>
        <v/>
      </c>
      <c r="S88" s="15">
        <f>$I$1*S87-$I$2*S86+$I$3*R67+$I$4*R66</f>
        <v/>
      </c>
      <c r="T88" s="15">
        <f>RAND()*$G$12</f>
        <v/>
      </c>
      <c r="U88" s="15">
        <f>S88+T88</f>
        <v/>
      </c>
      <c r="V88" s="15">
        <f>INT((2^$J$12-1)*U88/100)/(2^$J$12-1)*100</f>
        <v/>
      </c>
      <c r="X88" s="15">
        <f>M88 * 1.05</f>
        <v/>
      </c>
      <c r="Y88" s="15">
        <f>M88 * 0.95</f>
        <v/>
      </c>
      <c r="Z88" s="15">
        <f>IF(AND(V88 &lt;= X88, V88 &gt;= Y88), 1, 0)</f>
        <v/>
      </c>
    </row>
    <row r="89">
      <c r="L89" s="15" t="n">
        <v>87</v>
      </c>
      <c r="M89" s="15">
        <f>IF(L89&lt;$D$16,$D$13,IF(L89&lt;$E$16,$E$13,$F$13))</f>
        <v/>
      </c>
      <c r="N89" s="15">
        <f>M89-V89</f>
        <v/>
      </c>
      <c r="O89" s="15">
        <f>IF(MOD(L89,$B$11)=0,OFFSET(O89,-$B$11,0)+ $E$2*N89+$E$3*OFFSET(N89,-$B$11,0)+ $E$4*OFFSET(N89,-2* $B$11,0), O88)</f>
        <v/>
      </c>
      <c r="P89" s="15">
        <f>INT((2^$J$12-1)*O89/100)/(2^$J$12-1)*100</f>
        <v/>
      </c>
      <c r="Q89" s="15" t="n">
        <v>0</v>
      </c>
      <c r="R89" s="15">
        <f>P89+Q89</f>
        <v/>
      </c>
      <c r="S89" s="15">
        <f>$I$1*S88-$I$2*S87+$I$3*R68+$I$4*R67</f>
        <v/>
      </c>
      <c r="T89" s="15">
        <f>RAND()*$G$12</f>
        <v/>
      </c>
      <c r="U89" s="15">
        <f>S89+T89</f>
        <v/>
      </c>
      <c r="V89" s="15">
        <f>INT((2^$J$12-1)*U89/100)/(2^$J$12-1)*100</f>
        <v/>
      </c>
      <c r="X89" s="15">
        <f>M89 * 1.05</f>
        <v/>
      </c>
      <c r="Y89" s="15">
        <f>M89 * 0.95</f>
        <v/>
      </c>
      <c r="Z89" s="15">
        <f>IF(AND(V89 &lt;= X89, V89 &gt;= Y89), 1, 0)</f>
        <v/>
      </c>
    </row>
    <row r="90">
      <c r="L90" s="15" t="n">
        <v>88</v>
      </c>
      <c r="M90" s="15">
        <f>IF(L90&lt;$D$16,$D$13,IF(L90&lt;$E$16,$E$13,$F$13))</f>
        <v/>
      </c>
      <c r="N90" s="15">
        <f>M90-V90</f>
        <v/>
      </c>
      <c r="O90" s="15">
        <f>IF(MOD(L90,$B$11)=0,OFFSET(O90,-$B$11,0)+ $E$2*N90+$E$3*OFFSET(N90,-$B$11,0)+ $E$4*OFFSET(N90,-2* $B$11,0), O89)</f>
        <v/>
      </c>
      <c r="P90" s="15">
        <f>INT((2^$J$12-1)*O90/100)/(2^$J$12-1)*100</f>
        <v/>
      </c>
      <c r="Q90" s="15" t="n">
        <v>0</v>
      </c>
      <c r="R90" s="15">
        <f>P90+Q90</f>
        <v/>
      </c>
      <c r="S90" s="15">
        <f>$I$1*S89-$I$2*S88+$I$3*R69+$I$4*R68</f>
        <v/>
      </c>
      <c r="T90" s="15">
        <f>RAND()*$G$12</f>
        <v/>
      </c>
      <c r="U90" s="15">
        <f>S90+T90</f>
        <v/>
      </c>
      <c r="V90" s="15">
        <f>INT((2^$J$12-1)*U90/100)/(2^$J$12-1)*100</f>
        <v/>
      </c>
      <c r="X90" s="15">
        <f>M90 * 1.05</f>
        <v/>
      </c>
      <c r="Y90" s="15">
        <f>M90 * 0.95</f>
        <v/>
      </c>
      <c r="Z90" s="15">
        <f>IF(AND(V90 &lt;= X90, V90 &gt;= Y90), 1, 0)</f>
        <v/>
      </c>
    </row>
    <row r="91">
      <c r="L91" s="27" t="n">
        <v>89</v>
      </c>
      <c r="M91" s="15">
        <f>IF(L91&lt;$D$16,$D$13,IF(L91&lt;$E$16,$E$13,$F$13))</f>
        <v/>
      </c>
      <c r="N91" s="15">
        <f>M91-V91</f>
        <v/>
      </c>
      <c r="O91" s="15">
        <f>IF(MOD(L91,$B$11)=0,OFFSET(O91,-$B$11,0)+ $E$2*N91+$E$3*OFFSET(N91,-$B$11,0)+ $E$4*OFFSET(N91,-2* $B$11,0), O90)</f>
        <v/>
      </c>
      <c r="P91" s="15">
        <f>INT((2^$J$12-1)*O91/100)/(2^$J$12-1)*100</f>
        <v/>
      </c>
      <c r="Q91" s="15" t="n">
        <v>0</v>
      </c>
      <c r="R91" s="15">
        <f>P91+Q91</f>
        <v/>
      </c>
      <c r="S91" s="15">
        <f>$I$1*S90-$I$2*S89+$I$3*R70+$I$4*R69</f>
        <v/>
      </c>
      <c r="T91" s="15">
        <f>RAND()*$G$12</f>
        <v/>
      </c>
      <c r="U91" s="15">
        <f>S91+T91</f>
        <v/>
      </c>
      <c r="V91" s="15">
        <f>INT((2^$J$12-1)*U91/100)/(2^$J$12-1)*100</f>
        <v/>
      </c>
      <c r="X91" s="15">
        <f>M91 * 1.05</f>
        <v/>
      </c>
      <c r="Y91" s="15">
        <f>M91 * 0.95</f>
        <v/>
      </c>
      <c r="Z91" s="15">
        <f>IF(AND(V91 &lt;= X91, V91 &gt;= Y91), 1, 0)</f>
        <v/>
      </c>
      <c r="AC91" s="27" t="n"/>
    </row>
    <row r="92">
      <c r="L92" s="15" t="n">
        <v>90</v>
      </c>
      <c r="M92" s="15">
        <f>IF(L92&lt;$D$16,$D$13,IF(L92&lt;$E$16,$E$13,$F$13))</f>
        <v/>
      </c>
      <c r="N92" s="15">
        <f>M92-V92</f>
        <v/>
      </c>
      <c r="O92" s="15">
        <f>IF(MOD(L92,$B$11)=0,OFFSET(O92,-$B$11,0)+ $E$2*N92+$E$3*OFFSET(N92,-$B$11,0)+ $E$4*OFFSET(N92,-2* $B$11,0), O91)</f>
        <v/>
      </c>
      <c r="P92" s="15">
        <f>INT((2^$J$12-1)*O92/100)/(2^$J$12-1)*100</f>
        <v/>
      </c>
      <c r="Q92" s="15" t="n">
        <v>0</v>
      </c>
      <c r="R92" s="15">
        <f>P92+Q92</f>
        <v/>
      </c>
      <c r="S92" s="15">
        <f>$I$1*S91-$I$2*S90+$I$3*R71+$I$4*R70</f>
        <v/>
      </c>
      <c r="T92" s="15">
        <f>RAND()*$G$12</f>
        <v/>
      </c>
      <c r="U92" s="15">
        <f>S92+T92</f>
        <v/>
      </c>
      <c r="V92" s="15">
        <f>INT((2^$J$12-1)*U92/100)/(2^$J$12-1)*100</f>
        <v/>
      </c>
      <c r="X92" s="15">
        <f>M92 * 1.05</f>
        <v/>
      </c>
      <c r="Y92" s="15">
        <f>M92 * 0.95</f>
        <v/>
      </c>
      <c r="Z92" s="15">
        <f>IF(AND(V92 &lt;= X92, V92 &gt;= Y92), 1, 0)</f>
        <v/>
      </c>
    </row>
    <row r="93">
      <c r="L93" s="15" t="n">
        <v>91</v>
      </c>
      <c r="M93" s="15">
        <f>IF(L93&lt;$D$16,$D$13,IF(L93&lt;$E$16,$E$13,$F$13))</f>
        <v/>
      </c>
      <c r="N93" s="15">
        <f>M93-V93</f>
        <v/>
      </c>
      <c r="O93" s="15">
        <f>IF(MOD(L93,$B$11)=0,OFFSET(O93,-$B$11,0)+ $E$2*N93+$E$3*OFFSET(N93,-$B$11,0)+ $E$4*OFFSET(N93,-2* $B$11,0), O92)</f>
        <v/>
      </c>
      <c r="P93" s="15">
        <f>INT((2^$J$12-1)*O93/100)/(2^$J$12-1)*100</f>
        <v/>
      </c>
      <c r="Q93" s="15" t="n">
        <v>0</v>
      </c>
      <c r="R93" s="15">
        <f>P93+Q93</f>
        <v/>
      </c>
      <c r="S93" s="15">
        <f>$I$1*S92-$I$2*S91+$I$3*R72+$I$4*R71</f>
        <v/>
      </c>
      <c r="T93" s="15">
        <f>RAND()*$G$12</f>
        <v/>
      </c>
      <c r="U93" s="15">
        <f>S93+T93</f>
        <v/>
      </c>
      <c r="V93" s="15">
        <f>INT((2^$J$12-1)*U93/100)/(2^$J$12-1)*100</f>
        <v/>
      </c>
      <c r="X93" s="15">
        <f>M93 * 1.05</f>
        <v/>
      </c>
      <c r="Y93" s="15">
        <f>M93 * 0.95</f>
        <v/>
      </c>
      <c r="Z93" s="15">
        <f>IF(AND(V93 &lt;= X93, V93 &gt;= Y93), 1, 0)</f>
        <v/>
      </c>
    </row>
    <row r="94">
      <c r="L94" s="15" t="n">
        <v>92</v>
      </c>
      <c r="M94" s="15">
        <f>IF(L94&lt;$D$16,$D$13,IF(L94&lt;$E$16,$E$13,$F$13))</f>
        <v/>
      </c>
      <c r="N94" s="15">
        <f>M94-V94</f>
        <v/>
      </c>
      <c r="O94" s="15">
        <f>IF(MOD(L94,$B$11)=0,OFFSET(O94,-$B$11,0)+ $E$2*N94+$E$3*OFFSET(N94,-$B$11,0)+ $E$4*OFFSET(N94,-2* $B$11,0), O93)</f>
        <v/>
      </c>
      <c r="P94" s="15">
        <f>INT((2^$J$12-1)*O94/100)/(2^$J$12-1)*100</f>
        <v/>
      </c>
      <c r="Q94" s="15" t="n">
        <v>0</v>
      </c>
      <c r="R94" s="15">
        <f>P94+Q94</f>
        <v/>
      </c>
      <c r="S94" s="15">
        <f>$I$1*S93-$I$2*S92+$I$3*R73+$I$4*R72</f>
        <v/>
      </c>
      <c r="T94" s="15">
        <f>RAND()*$G$12</f>
        <v/>
      </c>
      <c r="U94" s="15">
        <f>S94+T94</f>
        <v/>
      </c>
      <c r="V94" s="15">
        <f>INT((2^$J$12-1)*U94/100)/(2^$J$12-1)*100</f>
        <v/>
      </c>
      <c r="X94" s="15">
        <f>M94 * 1.05</f>
        <v/>
      </c>
      <c r="Y94" s="15">
        <f>M94 * 0.95</f>
        <v/>
      </c>
      <c r="Z94" s="15">
        <f>IF(AND(V94 &lt;= X94, V94 &gt;= Y94), 1, 0)</f>
        <v/>
      </c>
    </row>
    <row r="95">
      <c r="L95" s="15" t="n">
        <v>93</v>
      </c>
      <c r="M95" s="15">
        <f>IF(L95&lt;$D$16,$D$13,IF(L95&lt;$E$16,$E$13,$F$13))</f>
        <v/>
      </c>
      <c r="N95" s="15">
        <f>M95-V95</f>
        <v/>
      </c>
      <c r="O95" s="15">
        <f>IF(MOD(L95,$B$11)=0,OFFSET(O95,-$B$11,0)+ $E$2*N95+$E$3*OFFSET(N95,-$B$11,0)+ $E$4*OFFSET(N95,-2* $B$11,0), O94)</f>
        <v/>
      </c>
      <c r="P95" s="15">
        <f>INT((2^$J$12-1)*O95/100)/(2^$J$12-1)*100</f>
        <v/>
      </c>
      <c r="Q95" s="15" t="n">
        <v>0</v>
      </c>
      <c r="R95" s="15">
        <f>P95+Q95</f>
        <v/>
      </c>
      <c r="S95" s="15">
        <f>$I$1*S94-$I$2*S93+$I$3*R74+$I$4*R73</f>
        <v/>
      </c>
      <c r="T95" s="15">
        <f>RAND()*$G$12</f>
        <v/>
      </c>
      <c r="U95" s="15">
        <f>S95+T95</f>
        <v/>
      </c>
      <c r="V95" s="15">
        <f>INT((2^$J$12-1)*U95/100)/(2^$J$12-1)*100</f>
        <v/>
      </c>
      <c r="X95" s="15">
        <f>M95 * 1.05</f>
        <v/>
      </c>
      <c r="Y95" s="15">
        <f>M95 * 0.95</f>
        <v/>
      </c>
      <c r="Z95" s="15">
        <f>IF(AND(V95 &lt;= X95, V95 &gt;= Y95), 1, 0)</f>
        <v/>
      </c>
    </row>
    <row r="96">
      <c r="L96" s="15" t="n">
        <v>94</v>
      </c>
      <c r="M96" s="15">
        <f>IF(L96&lt;$D$16,$D$13,IF(L96&lt;$E$16,$E$13,$F$13))</f>
        <v/>
      </c>
      <c r="N96" s="15">
        <f>M96-V96</f>
        <v/>
      </c>
      <c r="O96" s="15">
        <f>IF(MOD(L96,$B$11)=0,OFFSET(O96,-$B$11,0)+ $E$2*N96+$E$3*OFFSET(N96,-$B$11,0)+ $E$4*OFFSET(N96,-2* $B$11,0), O95)</f>
        <v/>
      </c>
      <c r="P96" s="15">
        <f>INT((2^$J$12-1)*O96/100)/(2^$J$12-1)*100</f>
        <v/>
      </c>
      <c r="Q96" s="15" t="n">
        <v>0</v>
      </c>
      <c r="R96" s="15">
        <f>P96+Q96</f>
        <v/>
      </c>
      <c r="S96" s="15">
        <f>$I$1*S95-$I$2*S94+$I$3*R75+$I$4*R74</f>
        <v/>
      </c>
      <c r="T96" s="15">
        <f>RAND()*$G$12</f>
        <v/>
      </c>
      <c r="U96" s="15">
        <f>S96+T96</f>
        <v/>
      </c>
      <c r="V96" s="15">
        <f>INT((2^$J$12-1)*U96/100)/(2^$J$12-1)*100</f>
        <v/>
      </c>
      <c r="X96" s="15">
        <f>M96 * 1.05</f>
        <v/>
      </c>
      <c r="Y96" s="15">
        <f>M96 * 0.95</f>
        <v/>
      </c>
      <c r="Z96" s="15">
        <f>IF(AND(V96 &lt;= X96, V96 &gt;= Y96), 1, 0)</f>
        <v/>
      </c>
    </row>
    <row r="97">
      <c r="L97" s="15" t="n">
        <v>95</v>
      </c>
      <c r="M97" s="15">
        <f>IF(L97&lt;$D$16,$D$13,IF(L97&lt;$E$16,$E$13,$F$13))</f>
        <v/>
      </c>
      <c r="N97" s="15">
        <f>M97-V97</f>
        <v/>
      </c>
      <c r="O97" s="15">
        <f>IF(MOD(L97,$B$11)=0,OFFSET(O97,-$B$11,0)+ $E$2*N97+$E$3*OFFSET(N97,-$B$11,0)+ $E$4*OFFSET(N97,-2* $B$11,0), O96)</f>
        <v/>
      </c>
      <c r="P97" s="15">
        <f>INT((2^$J$12-1)*O97/100)/(2^$J$12-1)*100</f>
        <v/>
      </c>
      <c r="Q97" s="15" t="n">
        <v>0</v>
      </c>
      <c r="R97" s="15">
        <f>P97+Q97</f>
        <v/>
      </c>
      <c r="S97" s="15">
        <f>$I$1*S96-$I$2*S95+$I$3*R76+$I$4*R75</f>
        <v/>
      </c>
      <c r="T97" s="15">
        <f>RAND()*$G$12</f>
        <v/>
      </c>
      <c r="U97" s="15">
        <f>S97+T97</f>
        <v/>
      </c>
      <c r="V97" s="15">
        <f>INT((2^$J$12-1)*U97/100)/(2^$J$12-1)*100</f>
        <v/>
      </c>
      <c r="X97" s="15">
        <f>M97 * 1.05</f>
        <v/>
      </c>
      <c r="Y97" s="15">
        <f>M97 * 0.95</f>
        <v/>
      </c>
      <c r="Z97" s="15">
        <f>IF(AND(V97 &lt;= X97, V97 &gt;= Y97), 1, 0)</f>
        <v/>
      </c>
    </row>
    <row r="98">
      <c r="L98" s="15" t="n">
        <v>96</v>
      </c>
      <c r="M98" s="15">
        <f>IF(L98&lt;$D$16,$D$13,IF(L98&lt;$E$16,$E$13,$F$13))</f>
        <v/>
      </c>
      <c r="N98" s="15">
        <f>M98-V98</f>
        <v/>
      </c>
      <c r="O98" s="15">
        <f>IF(MOD(L98,$B$11)=0,OFFSET(O98,-$B$11,0)+ $E$2*N98+$E$3*OFFSET(N98,-$B$11,0)+ $E$4*OFFSET(N98,-2* $B$11,0), O97)</f>
        <v/>
      </c>
      <c r="P98" s="15">
        <f>INT((2^$J$12-1)*O98/100)/(2^$J$12-1)*100</f>
        <v/>
      </c>
      <c r="Q98" s="15" t="n">
        <v>0</v>
      </c>
      <c r="R98" s="15">
        <f>P98+Q98</f>
        <v/>
      </c>
      <c r="S98" s="15">
        <f>$I$1*S97-$I$2*S96+$I$3*R77+$I$4*R76</f>
        <v/>
      </c>
      <c r="T98" s="15">
        <f>RAND()*$G$12</f>
        <v/>
      </c>
      <c r="U98" s="15">
        <f>S98+T98</f>
        <v/>
      </c>
      <c r="V98" s="15">
        <f>INT((2^$J$12-1)*U98/100)/(2^$J$12-1)*100</f>
        <v/>
      </c>
      <c r="X98" s="15">
        <f>M98 * 1.05</f>
        <v/>
      </c>
      <c r="Y98" s="15">
        <f>M98 * 0.95</f>
        <v/>
      </c>
      <c r="Z98" s="15">
        <f>IF(AND(V98 &lt;= X98, V98 &gt;= Y98), 1, 0)</f>
        <v/>
      </c>
    </row>
    <row r="99">
      <c r="L99" s="15" t="n">
        <v>97</v>
      </c>
      <c r="M99" s="15">
        <f>IF(L99&lt;$D$16,$D$13,IF(L99&lt;$E$16,$E$13,$F$13))</f>
        <v/>
      </c>
      <c r="N99" s="15">
        <f>M99-V99</f>
        <v/>
      </c>
      <c r="O99" s="15">
        <f>IF(MOD(L99,$B$11)=0,OFFSET(O99,-$B$11,0)+ $E$2*N99+$E$3*OFFSET(N99,-$B$11,0)+ $E$4*OFFSET(N99,-2* $B$11,0), O98)</f>
        <v/>
      </c>
      <c r="P99" s="15">
        <f>INT((2^$J$12-1)*O99/100)/(2^$J$12-1)*100</f>
        <v/>
      </c>
      <c r="Q99" s="15" t="n">
        <v>0</v>
      </c>
      <c r="R99" s="15">
        <f>P99+Q99</f>
        <v/>
      </c>
      <c r="S99" s="15">
        <f>$I$1*S98-$I$2*S97+$I$3*R78+$I$4*R77</f>
        <v/>
      </c>
      <c r="T99" s="15">
        <f>RAND()*$G$12</f>
        <v/>
      </c>
      <c r="U99" s="15">
        <f>S99+T99</f>
        <v/>
      </c>
      <c r="V99" s="15">
        <f>INT((2^$J$12-1)*U99/100)/(2^$J$12-1)*100</f>
        <v/>
      </c>
      <c r="X99" s="15">
        <f>M99 * 1.05</f>
        <v/>
      </c>
      <c r="Y99" s="15">
        <f>M99 * 0.95</f>
        <v/>
      </c>
      <c r="Z99" s="15">
        <f>IF(AND(V99 &lt;= X99, V99 &gt;= Y99), 1, 0)</f>
        <v/>
      </c>
    </row>
    <row r="100">
      <c r="L100" s="15" t="n">
        <v>98</v>
      </c>
      <c r="M100" s="15">
        <f>IF(L100&lt;$D$16,$D$13,IF(L100&lt;$E$16,$E$13,$F$13))</f>
        <v/>
      </c>
      <c r="N100" s="15">
        <f>M100-V100</f>
        <v/>
      </c>
      <c r="O100" s="15">
        <f>IF(MOD(L100,$B$11)=0,OFFSET(O100,-$B$11,0)+ $E$2*N100+$E$3*OFFSET(N100,-$B$11,0)+ $E$4*OFFSET(N100,-2* $B$11,0), O99)</f>
        <v/>
      </c>
      <c r="P100" s="15">
        <f>INT((2^$J$12-1)*O100/100)/(2^$J$12-1)*100</f>
        <v/>
      </c>
      <c r="Q100" s="15" t="n">
        <v>0</v>
      </c>
      <c r="R100" s="15">
        <f>P100+Q100</f>
        <v/>
      </c>
      <c r="S100" s="15">
        <f>$I$1*S99-$I$2*S98+$I$3*R79+$I$4*R78</f>
        <v/>
      </c>
      <c r="T100" s="15">
        <f>RAND()*$G$12</f>
        <v/>
      </c>
      <c r="U100" s="15">
        <f>S100+T100</f>
        <v/>
      </c>
      <c r="V100" s="15">
        <f>INT((2^$J$12-1)*U100/100)/(2^$J$12-1)*100</f>
        <v/>
      </c>
      <c r="X100" s="15">
        <f>M100 * 1.05</f>
        <v/>
      </c>
      <c r="Y100" s="15">
        <f>M100 * 0.95</f>
        <v/>
      </c>
      <c r="Z100" s="15">
        <f>IF(AND(V100 &lt;= X100, V100 &gt;= Y100), 1, 0)</f>
        <v/>
      </c>
    </row>
    <row r="101">
      <c r="L101" s="15" t="n">
        <v>99</v>
      </c>
      <c r="M101" s="15">
        <f>IF(L101&lt;$D$16,$D$13,IF(L101&lt;$E$16,$E$13,$F$13))</f>
        <v/>
      </c>
      <c r="N101" s="15">
        <f>M101-V101</f>
        <v/>
      </c>
      <c r="O101" s="15">
        <f>IF(MOD(L101,$B$11)=0,OFFSET(O101,-$B$11,0)+ $E$2*N101+$E$3*OFFSET(N101,-$B$11,0)+ $E$4*OFFSET(N101,-2* $B$11,0), O100)</f>
        <v/>
      </c>
      <c r="P101" s="15">
        <f>INT((2^$J$12-1)*O101/100)/(2^$J$12-1)*100</f>
        <v/>
      </c>
      <c r="Q101" s="15" t="n">
        <v>0</v>
      </c>
      <c r="R101" s="15">
        <f>P101+Q101</f>
        <v/>
      </c>
      <c r="S101" s="15">
        <f>$I$1*S100-$I$2*S99+$I$3*R80+$I$4*R79</f>
        <v/>
      </c>
      <c r="T101" s="15">
        <f>RAND()*$G$12</f>
        <v/>
      </c>
      <c r="U101" s="15">
        <f>S101+T101</f>
        <v/>
      </c>
      <c r="V101" s="15">
        <f>INT((2^$J$12-1)*U101/100)/(2^$J$12-1)*100</f>
        <v/>
      </c>
      <c r="X101" s="15">
        <f>M101 * 1.05</f>
        <v/>
      </c>
      <c r="Y101" s="15">
        <f>M101 * 0.95</f>
        <v/>
      </c>
      <c r="Z101" s="15">
        <f>IF(AND(V101 &lt;= X101, V101 &gt;= Y101), 1, 0)</f>
        <v/>
      </c>
    </row>
    <row r="102">
      <c r="L102" s="15" t="n">
        <v>100</v>
      </c>
      <c r="M102" s="15">
        <f>IF(L102&lt;$D$16,$D$13,IF(L102&lt;$E$16,$E$13,$F$13))</f>
        <v/>
      </c>
      <c r="N102" s="15">
        <f>M102-V102</f>
        <v/>
      </c>
      <c r="O102" s="15">
        <f>IF(MOD(L102,$B$11)=0,OFFSET(O102,-$B$11,0)+ $E$2*N102+$E$3*OFFSET(N102,-$B$11,0)+ $E$4*OFFSET(N102,-2* $B$11,0), O101)</f>
        <v/>
      </c>
      <c r="P102" s="15">
        <f>INT((2^$J$12-1)*O102/100)/(2^$J$12-1)*100</f>
        <v/>
      </c>
      <c r="Q102" s="15" t="n">
        <v>0</v>
      </c>
      <c r="R102" s="15">
        <f>P102+Q102</f>
        <v/>
      </c>
      <c r="S102" s="15">
        <f>$I$1*S101-$I$2*S100+$I$3*R81+$I$4*R80</f>
        <v/>
      </c>
      <c r="T102" s="15">
        <f>RAND()*$G$12</f>
        <v/>
      </c>
      <c r="U102" s="15">
        <f>S102+T102</f>
        <v/>
      </c>
      <c r="V102" s="15">
        <f>INT((2^$J$12-1)*U102/100)/(2^$J$12-1)*100</f>
        <v/>
      </c>
      <c r="X102" s="15">
        <f>M102 * 1.05</f>
        <v/>
      </c>
      <c r="Y102" s="15">
        <f>M102 * 0.95</f>
        <v/>
      </c>
      <c r="Z102" s="15">
        <f>IF(AND(V102 &lt;= X102, V102 &gt;= Y102), 1, 0)</f>
        <v/>
      </c>
    </row>
    <row r="103">
      <c r="L103" s="15" t="n">
        <v>101</v>
      </c>
      <c r="M103" s="15">
        <f>IF(L103&lt;$D$16,$D$13,IF(L103&lt;$E$16,$E$13,$F$13))</f>
        <v/>
      </c>
      <c r="N103" s="15">
        <f>M103-V103</f>
        <v/>
      </c>
      <c r="O103" s="15">
        <f>IF(MOD(L103,$B$11)=0,OFFSET(O103,-$B$11,0)+ $E$2*N103+$E$3*OFFSET(N103,-$B$11,0)+ $E$4*OFFSET(N103,-2* $B$11,0), O102)</f>
        <v/>
      </c>
      <c r="P103" s="15">
        <f>INT((2^$J$12-1)*O103/100)/(2^$J$12-1)*100</f>
        <v/>
      </c>
      <c r="Q103" s="15" t="n">
        <v>0</v>
      </c>
      <c r="R103" s="15">
        <f>P103+Q103</f>
        <v/>
      </c>
      <c r="S103" s="15">
        <f>$I$1*S102-$I$2*S101+$I$3*R82+$I$4*R81</f>
        <v/>
      </c>
      <c r="T103" s="15">
        <f>RAND()*$G$12</f>
        <v/>
      </c>
      <c r="U103" s="15">
        <f>S103+T103</f>
        <v/>
      </c>
      <c r="V103" s="15">
        <f>INT((2^$J$12-1)*U103/100)/(2^$J$12-1)*100</f>
        <v/>
      </c>
      <c r="X103" s="15">
        <f>M103 * 1.05</f>
        <v/>
      </c>
      <c r="Y103" s="15">
        <f>M103 * 0.95</f>
        <v/>
      </c>
      <c r="Z103" s="15">
        <f>IF(AND(V103 &lt;= X103, V103 &gt;= Y103), 1, 0)</f>
        <v/>
      </c>
    </row>
    <row r="104">
      <c r="L104" s="15" t="n">
        <v>102</v>
      </c>
      <c r="M104" s="15">
        <f>IF(L104&lt;$D$16,$D$13,IF(L104&lt;$E$16,$E$13,$F$13))</f>
        <v/>
      </c>
      <c r="N104" s="15">
        <f>M104-V104</f>
        <v/>
      </c>
      <c r="O104" s="15">
        <f>IF(MOD(L104,$B$11)=0,OFFSET(O104,-$B$11,0)+ $E$2*N104+$E$3*OFFSET(N104,-$B$11,0)+ $E$4*OFFSET(N104,-2* $B$11,0), O103)</f>
        <v/>
      </c>
      <c r="P104" s="15">
        <f>INT((2^$J$12-1)*O104/100)/(2^$J$12-1)*100</f>
        <v/>
      </c>
      <c r="Q104" s="15" t="n">
        <v>0</v>
      </c>
      <c r="R104" s="15">
        <f>P104+Q104</f>
        <v/>
      </c>
      <c r="S104" s="15">
        <f>$I$1*S103-$I$2*S102+$I$3*R83+$I$4*R82</f>
        <v/>
      </c>
      <c r="T104" s="15">
        <f>RAND()*$G$12</f>
        <v/>
      </c>
      <c r="U104" s="15">
        <f>S104+T104</f>
        <v/>
      </c>
      <c r="V104" s="15">
        <f>INT((2^$J$12-1)*U104/100)/(2^$J$12-1)*100</f>
        <v/>
      </c>
      <c r="X104" s="15">
        <f>M104 * 1.05</f>
        <v/>
      </c>
      <c r="Y104" s="15">
        <f>M104 * 0.95</f>
        <v/>
      </c>
      <c r="Z104" s="15">
        <f>IF(AND(V104 &lt;= X104, V104 &gt;= Y104), 1, 0)</f>
        <v/>
      </c>
    </row>
    <row r="105">
      <c r="L105" s="15" t="n">
        <v>103</v>
      </c>
      <c r="M105" s="15">
        <f>IF(L105&lt;$D$16,$D$13,IF(L105&lt;$E$16,$E$13,$F$13))</f>
        <v/>
      </c>
      <c r="N105" s="15">
        <f>M105-V105</f>
        <v/>
      </c>
      <c r="O105" s="15">
        <f>IF(MOD(L105,$B$11)=0,OFFSET(O105,-$B$11,0)+ $E$2*N105+$E$3*OFFSET(N105,-$B$11,0)+ $E$4*OFFSET(N105,-2* $B$11,0), O104)</f>
        <v/>
      </c>
      <c r="P105" s="15">
        <f>INT((2^$J$12-1)*O105/100)/(2^$J$12-1)*100</f>
        <v/>
      </c>
      <c r="Q105" s="15" t="n">
        <v>0</v>
      </c>
      <c r="R105" s="15">
        <f>P105+Q105</f>
        <v/>
      </c>
      <c r="S105" s="15">
        <f>$I$1*S104-$I$2*S103+$I$3*R84+$I$4*R83</f>
        <v/>
      </c>
      <c r="T105" s="15">
        <f>RAND()*$G$12</f>
        <v/>
      </c>
      <c r="U105" s="15">
        <f>S105+T105</f>
        <v/>
      </c>
      <c r="V105" s="15">
        <f>INT((2^$J$12-1)*U105/100)/(2^$J$12-1)*100</f>
        <v/>
      </c>
      <c r="X105" s="15">
        <f>M105 * 1.05</f>
        <v/>
      </c>
      <c r="Y105" s="15">
        <f>M105 * 0.95</f>
        <v/>
      </c>
      <c r="Z105" s="15">
        <f>IF(AND(V105 &lt;= X105, V105 &gt;= Y105), 1, 0)</f>
        <v/>
      </c>
    </row>
    <row r="106">
      <c r="L106" s="15" t="n">
        <v>104</v>
      </c>
      <c r="M106" s="15">
        <f>IF(L106&lt;$D$16,$D$13,IF(L106&lt;$E$16,$E$13,$F$13))</f>
        <v/>
      </c>
      <c r="N106" s="15">
        <f>M106-V106</f>
        <v/>
      </c>
      <c r="O106" s="15">
        <f>IF(MOD(L106,$B$11)=0,OFFSET(O106,-$B$11,0)+ $E$2*N106+$E$3*OFFSET(N106,-$B$11,0)+ $E$4*OFFSET(N106,-2* $B$11,0), O105)</f>
        <v/>
      </c>
      <c r="P106" s="15">
        <f>INT((2^$J$12-1)*O106/100)/(2^$J$12-1)*100</f>
        <v/>
      </c>
      <c r="Q106" s="15" t="n">
        <v>0</v>
      </c>
      <c r="R106" s="15">
        <f>P106+Q106</f>
        <v/>
      </c>
      <c r="S106" s="15">
        <f>$I$1*S105-$I$2*S104+$I$3*R85+$I$4*R84</f>
        <v/>
      </c>
      <c r="T106" s="15">
        <f>RAND()*$G$12</f>
        <v/>
      </c>
      <c r="U106" s="15">
        <f>S106+T106</f>
        <v/>
      </c>
      <c r="V106" s="15">
        <f>INT((2^$J$12-1)*U106/100)/(2^$J$12-1)*100</f>
        <v/>
      </c>
      <c r="X106" s="15">
        <f>M106 * 1.05</f>
        <v/>
      </c>
      <c r="Y106" s="15">
        <f>M106 * 0.95</f>
        <v/>
      </c>
      <c r="Z106" s="15">
        <f>IF(AND(V106 &lt;= X106, V106 &gt;= Y106), 1, 0)</f>
        <v/>
      </c>
    </row>
    <row r="107">
      <c r="L107" s="15" t="n">
        <v>105</v>
      </c>
      <c r="M107" s="15">
        <f>IF(L107&lt;$D$16,$D$13,IF(L107&lt;$E$16,$E$13,$F$13))</f>
        <v/>
      </c>
      <c r="N107" s="15">
        <f>M107-V107</f>
        <v/>
      </c>
      <c r="O107" s="15">
        <f>IF(MOD(L107,$B$11)=0,OFFSET(O107,-$B$11,0)+ $E$2*N107+$E$3*OFFSET(N107,-$B$11,0)+ $E$4*OFFSET(N107,-2* $B$11,0), O106)</f>
        <v/>
      </c>
      <c r="P107" s="15">
        <f>INT((2^$J$12-1)*O107/100)/(2^$J$12-1)*100</f>
        <v/>
      </c>
      <c r="Q107" s="15" t="n">
        <v>0</v>
      </c>
      <c r="R107" s="15">
        <f>P107+Q107</f>
        <v/>
      </c>
      <c r="S107" s="15">
        <f>$I$1*S106-$I$2*S105+$I$3*R86+$I$4*R85</f>
        <v/>
      </c>
      <c r="T107" s="15">
        <f>RAND()*$G$12</f>
        <v/>
      </c>
      <c r="U107" s="15">
        <f>S107+T107</f>
        <v/>
      </c>
      <c r="V107" s="15">
        <f>INT((2^$J$12-1)*U107/100)/(2^$J$12-1)*100</f>
        <v/>
      </c>
      <c r="X107" s="15">
        <f>M107 * 1.05</f>
        <v/>
      </c>
      <c r="Y107" s="15">
        <f>M107 * 0.95</f>
        <v/>
      </c>
      <c r="Z107" s="15">
        <f>IF(AND(V107 &lt;= X107, V107 &gt;= Y107), 1, 0)</f>
        <v/>
      </c>
    </row>
    <row r="108">
      <c r="L108" s="15" t="n">
        <v>106</v>
      </c>
      <c r="M108" s="15">
        <f>IF(L108&lt;$D$16,$D$13,IF(L108&lt;$E$16,$E$13,$F$13))</f>
        <v/>
      </c>
      <c r="N108" s="15">
        <f>M108-V108</f>
        <v/>
      </c>
      <c r="O108" s="15">
        <f>IF(MOD(L108,$B$11)=0,OFFSET(O108,-$B$11,0)+ $E$2*N108+$E$3*OFFSET(N108,-$B$11,0)+ $E$4*OFFSET(N108,-2* $B$11,0), O107)</f>
        <v/>
      </c>
      <c r="P108" s="15">
        <f>INT((2^$J$12-1)*O108/100)/(2^$J$12-1)*100</f>
        <v/>
      </c>
      <c r="Q108" s="15" t="n">
        <v>0</v>
      </c>
      <c r="R108" s="15">
        <f>P108+Q108</f>
        <v/>
      </c>
      <c r="S108" s="15">
        <f>$I$1*S107-$I$2*S106+$I$3*R87+$I$4*R86</f>
        <v/>
      </c>
      <c r="T108" s="15">
        <f>RAND()*$G$12</f>
        <v/>
      </c>
      <c r="U108" s="15">
        <f>S108+T108</f>
        <v/>
      </c>
      <c r="V108" s="15">
        <f>INT((2^$J$12-1)*U108/100)/(2^$J$12-1)*100</f>
        <v/>
      </c>
      <c r="X108" s="15">
        <f>M108 * 1.05</f>
        <v/>
      </c>
      <c r="Y108" s="15">
        <f>M108 * 0.95</f>
        <v/>
      </c>
      <c r="Z108" s="15">
        <f>IF(AND(V108 &lt;= X108, V108 &gt;= Y108), 1, 0)</f>
        <v/>
      </c>
    </row>
    <row r="109">
      <c r="L109" s="15" t="n">
        <v>107</v>
      </c>
      <c r="M109" s="15">
        <f>IF(L109&lt;$D$16,$D$13,IF(L109&lt;$E$16,$E$13,$F$13))</f>
        <v/>
      </c>
      <c r="N109" s="15">
        <f>M109-V109</f>
        <v/>
      </c>
      <c r="O109" s="15">
        <f>IF(MOD(L109,$B$11)=0,OFFSET(O109,-$B$11,0)+ $E$2*N109+$E$3*OFFSET(N109,-$B$11,0)+ $E$4*OFFSET(N109,-2* $B$11,0), O108)</f>
        <v/>
      </c>
      <c r="P109" s="15">
        <f>INT((2^$J$12-1)*O109/100)/(2^$J$12-1)*100</f>
        <v/>
      </c>
      <c r="Q109" s="15" t="n">
        <v>0</v>
      </c>
      <c r="R109" s="15">
        <f>P109+Q109</f>
        <v/>
      </c>
      <c r="S109" s="15">
        <f>$I$1*S108-$I$2*S107+$I$3*R88+$I$4*R87</f>
        <v/>
      </c>
      <c r="T109" s="15">
        <f>RAND()*$G$12</f>
        <v/>
      </c>
      <c r="U109" s="15">
        <f>S109+T109</f>
        <v/>
      </c>
      <c r="V109" s="15">
        <f>INT((2^$J$12-1)*U109/100)/(2^$J$12-1)*100</f>
        <v/>
      </c>
      <c r="X109" s="15">
        <f>M109 * 1.05</f>
        <v/>
      </c>
      <c r="Y109" s="15">
        <f>M109 * 0.95</f>
        <v/>
      </c>
      <c r="Z109" s="15">
        <f>IF(AND(V109 &lt;= X109, V109 &gt;= Y109), 1, 0)</f>
        <v/>
      </c>
    </row>
    <row r="110">
      <c r="L110" s="15" t="n">
        <v>108</v>
      </c>
      <c r="M110" s="15">
        <f>IF(L110&lt;$D$16,$D$13,IF(L110&lt;$E$16,$E$13,$F$13))</f>
        <v/>
      </c>
      <c r="N110" s="15">
        <f>M110-V110</f>
        <v/>
      </c>
      <c r="O110" s="15">
        <f>IF(MOD(L110,$B$11)=0,OFFSET(O110,-$B$11,0)+ $E$2*N110+$E$3*OFFSET(N110,-$B$11,0)+ $E$4*OFFSET(N110,-2* $B$11,0), O109)</f>
        <v/>
      </c>
      <c r="P110" s="15">
        <f>INT((2^$J$12-1)*O110/100)/(2^$J$12-1)*100</f>
        <v/>
      </c>
      <c r="Q110" s="15" t="n">
        <v>0</v>
      </c>
      <c r="R110" s="15">
        <f>P110+Q110</f>
        <v/>
      </c>
      <c r="S110" s="15">
        <f>$I$1*S109-$I$2*S108+$I$3*R89+$I$4*R88</f>
        <v/>
      </c>
      <c r="T110" s="15">
        <f>RAND()*$G$12</f>
        <v/>
      </c>
      <c r="U110" s="15">
        <f>S110+T110</f>
        <v/>
      </c>
      <c r="V110" s="15">
        <f>INT((2^$J$12-1)*U110/100)/(2^$J$12-1)*100</f>
        <v/>
      </c>
      <c r="X110" s="15">
        <f>M110 * 1.05</f>
        <v/>
      </c>
      <c r="Y110" s="15">
        <f>M110 * 0.95</f>
        <v/>
      </c>
      <c r="Z110" s="15">
        <f>IF(AND(V110 &lt;= X110, V110 &gt;= Y110), 1, 0)</f>
        <v/>
      </c>
    </row>
    <row r="111">
      <c r="L111" s="15" t="n">
        <v>109</v>
      </c>
      <c r="M111" s="15">
        <f>IF(L111&lt;$D$16,$D$13,IF(L111&lt;$E$16,$E$13,$F$13))</f>
        <v/>
      </c>
      <c r="N111" s="15">
        <f>M111-V111</f>
        <v/>
      </c>
      <c r="O111" s="15">
        <f>IF(MOD(L111,$B$11)=0,OFFSET(O111,-$B$11,0)+ $E$2*N111+$E$3*OFFSET(N111,-$B$11,0)+ $E$4*OFFSET(N111,-2* $B$11,0), O110)</f>
        <v/>
      </c>
      <c r="P111" s="15">
        <f>INT((2^$J$12-1)*O111/100)/(2^$J$12-1)*100</f>
        <v/>
      </c>
      <c r="Q111" s="15" t="n">
        <v>0</v>
      </c>
      <c r="R111" s="15">
        <f>P111+Q111</f>
        <v/>
      </c>
      <c r="S111" s="15">
        <f>$I$1*S110-$I$2*S109+$I$3*R90+$I$4*R89</f>
        <v/>
      </c>
      <c r="T111" s="15">
        <f>RAND()*$G$12</f>
        <v/>
      </c>
      <c r="U111" s="15">
        <f>S111+T111</f>
        <v/>
      </c>
      <c r="V111" s="15">
        <f>INT((2^$J$12-1)*U111/100)/(2^$J$12-1)*100</f>
        <v/>
      </c>
      <c r="X111" s="15">
        <f>M111 * 1.05</f>
        <v/>
      </c>
      <c r="Y111" s="15">
        <f>M111 * 0.95</f>
        <v/>
      </c>
      <c r="Z111" s="15">
        <f>IF(AND(V111 &lt;= X111, V111 &gt;= Y111), 1, 0)</f>
        <v/>
      </c>
    </row>
    <row r="112">
      <c r="L112" s="15" t="n">
        <v>110</v>
      </c>
      <c r="M112" s="15">
        <f>IF(L112&lt;$D$16,$D$13,IF(L112&lt;$E$16,$E$13,$F$13))</f>
        <v/>
      </c>
      <c r="N112" s="15">
        <f>M112-V112</f>
        <v/>
      </c>
      <c r="O112" s="15">
        <f>IF(MOD(L112,$B$11)=0,OFFSET(O112,-$B$11,0)+ $E$2*N112+$E$3*OFFSET(N112,-$B$11,0)+ $E$4*OFFSET(N112,-2* $B$11,0), O111)</f>
        <v/>
      </c>
      <c r="P112" s="15">
        <f>INT((2^$J$12-1)*O112/100)/(2^$J$12-1)*100</f>
        <v/>
      </c>
      <c r="Q112" s="15" t="n">
        <v>0</v>
      </c>
      <c r="R112" s="15">
        <f>P112+Q112</f>
        <v/>
      </c>
      <c r="S112" s="15">
        <f>$I$1*S111-$I$2*S110+$I$3*R91+$I$4*R90</f>
        <v/>
      </c>
      <c r="T112" s="15">
        <f>RAND()*$G$12</f>
        <v/>
      </c>
      <c r="U112" s="15">
        <f>S112+T112</f>
        <v/>
      </c>
      <c r="V112" s="15">
        <f>INT((2^$J$12-1)*U112/100)/(2^$J$12-1)*100</f>
        <v/>
      </c>
      <c r="X112" s="15">
        <f>M112 * 1.05</f>
        <v/>
      </c>
      <c r="Y112" s="15">
        <f>M112 * 0.95</f>
        <v/>
      </c>
      <c r="Z112" s="15">
        <f>IF(AND(V112 &lt;= X112, V112 &gt;= Y112), 1, 0)</f>
        <v/>
      </c>
    </row>
    <row r="113">
      <c r="L113" s="15" t="n">
        <v>111</v>
      </c>
      <c r="M113" s="15">
        <f>IF(L113&lt;$D$16,$D$13,IF(L113&lt;$E$16,$E$13,$F$13))</f>
        <v/>
      </c>
      <c r="N113" s="15">
        <f>M113-V113</f>
        <v/>
      </c>
      <c r="O113" s="15">
        <f>IF(MOD(L113,$B$11)=0,OFFSET(O113,-$B$11,0)+ $E$2*N113+$E$3*OFFSET(N113,-$B$11,0)+ $E$4*OFFSET(N113,-2* $B$11,0), O112)</f>
        <v/>
      </c>
      <c r="P113" s="15">
        <f>INT((2^$J$12-1)*O113/100)/(2^$J$12-1)*100</f>
        <v/>
      </c>
      <c r="Q113" s="15" t="n">
        <v>0</v>
      </c>
      <c r="R113" s="15">
        <f>P113+Q113</f>
        <v/>
      </c>
      <c r="S113" s="15">
        <f>$I$1*S112-$I$2*S111+$I$3*R92+$I$4*R91</f>
        <v/>
      </c>
      <c r="T113" s="15">
        <f>RAND()*$G$12</f>
        <v/>
      </c>
      <c r="U113" s="15">
        <f>S113+T113</f>
        <v/>
      </c>
      <c r="V113" s="15">
        <f>INT((2^$J$12-1)*U113/100)/(2^$J$12-1)*100</f>
        <v/>
      </c>
      <c r="X113" s="15">
        <f>M113 * 1.05</f>
        <v/>
      </c>
      <c r="Y113" s="15">
        <f>M113 * 0.95</f>
        <v/>
      </c>
      <c r="Z113" s="15">
        <f>IF(AND(V113 &lt;= X113, V113 &gt;= Y113), 1, 0)</f>
        <v/>
      </c>
    </row>
    <row r="114">
      <c r="L114" s="15" t="n">
        <v>112</v>
      </c>
      <c r="M114" s="15">
        <f>IF(L114&lt;$D$16,$D$13,IF(L114&lt;$E$16,$E$13,$F$13))</f>
        <v/>
      </c>
      <c r="N114" s="15">
        <f>M114-V114</f>
        <v/>
      </c>
      <c r="O114" s="15">
        <f>IF(MOD(L114,$B$11)=0,OFFSET(O114,-$B$11,0)+ $E$2*N114+$E$3*OFFSET(N114,-$B$11,0)+ $E$4*OFFSET(N114,-2* $B$11,0), O113)</f>
        <v/>
      </c>
      <c r="P114" s="15">
        <f>INT((2^$J$12-1)*O114/100)/(2^$J$12-1)*100</f>
        <v/>
      </c>
      <c r="Q114" s="15" t="n">
        <v>0</v>
      </c>
      <c r="R114" s="15">
        <f>P114+Q114</f>
        <v/>
      </c>
      <c r="S114" s="15">
        <f>$I$1*S113-$I$2*S112+$I$3*R93+$I$4*R92</f>
        <v/>
      </c>
      <c r="T114" s="15">
        <f>RAND()*$G$12</f>
        <v/>
      </c>
      <c r="U114" s="15">
        <f>S114+T114</f>
        <v/>
      </c>
      <c r="V114" s="15">
        <f>INT((2^$J$12-1)*U114/100)/(2^$J$12-1)*100</f>
        <v/>
      </c>
      <c r="X114" s="15">
        <f>M114 * 1.05</f>
        <v/>
      </c>
      <c r="Y114" s="15">
        <f>M114 * 0.95</f>
        <v/>
      </c>
      <c r="Z114" s="15">
        <f>IF(AND(V114 &lt;= X114, V114 &gt;= Y114), 1, 0)</f>
        <v/>
      </c>
    </row>
    <row r="115">
      <c r="L115" s="15" t="n">
        <v>113</v>
      </c>
      <c r="M115" s="15">
        <f>IF(L115&lt;$D$16,$D$13,IF(L115&lt;$E$16,$E$13,$F$13))</f>
        <v/>
      </c>
      <c r="N115" s="15">
        <f>M115-V115</f>
        <v/>
      </c>
      <c r="O115" s="15">
        <f>IF(MOD(L115,$B$11)=0,OFFSET(O115,-$B$11,0)+ $E$2*N115+$E$3*OFFSET(N115,-$B$11,0)+ $E$4*OFFSET(N115,-2* $B$11,0), O114)</f>
        <v/>
      </c>
      <c r="P115" s="15">
        <f>INT((2^$J$12-1)*O115/100)/(2^$J$12-1)*100</f>
        <v/>
      </c>
      <c r="Q115" s="15" t="n">
        <v>0</v>
      </c>
      <c r="R115" s="15">
        <f>P115+Q115</f>
        <v/>
      </c>
      <c r="S115" s="15">
        <f>$I$1*S114-$I$2*S113+$I$3*R94+$I$4*R93</f>
        <v/>
      </c>
      <c r="T115" s="15">
        <f>RAND()*$G$12</f>
        <v/>
      </c>
      <c r="U115" s="15">
        <f>S115+T115</f>
        <v/>
      </c>
      <c r="V115" s="15">
        <f>INT((2^$J$12-1)*U115/100)/(2^$J$12-1)*100</f>
        <v/>
      </c>
      <c r="X115" s="15">
        <f>M115 * 1.05</f>
        <v/>
      </c>
      <c r="Y115" s="15">
        <f>M115 * 0.95</f>
        <v/>
      </c>
      <c r="Z115" s="15">
        <f>IF(AND(V115 &lt;= X115, V115 &gt;= Y115), 1, 0)</f>
        <v/>
      </c>
    </row>
    <row r="116">
      <c r="L116" s="15" t="n">
        <v>114</v>
      </c>
      <c r="M116" s="15">
        <f>IF(L116&lt;$D$16,$D$13,IF(L116&lt;$E$16,$E$13,$F$13))</f>
        <v/>
      </c>
      <c r="N116" s="15">
        <f>M116-V116</f>
        <v/>
      </c>
      <c r="O116" s="15">
        <f>IF(MOD(L116,$B$11)=0,OFFSET(O116,-$B$11,0)+ $E$2*N116+$E$3*OFFSET(N116,-$B$11,0)+ $E$4*OFFSET(N116,-2* $B$11,0), O115)</f>
        <v/>
      </c>
      <c r="P116" s="15">
        <f>INT((2^$J$12-1)*O116/100)/(2^$J$12-1)*100</f>
        <v/>
      </c>
      <c r="Q116" s="15" t="n">
        <v>0</v>
      </c>
      <c r="R116" s="15">
        <f>P116+Q116</f>
        <v/>
      </c>
      <c r="S116" s="15">
        <f>$I$1*S115-$I$2*S114+$I$3*R95+$I$4*R94</f>
        <v/>
      </c>
      <c r="T116" s="15">
        <f>RAND()*$G$12</f>
        <v/>
      </c>
      <c r="U116" s="15">
        <f>S116+T116</f>
        <v/>
      </c>
      <c r="V116" s="15">
        <f>INT((2^$J$12-1)*U116/100)/(2^$J$12-1)*100</f>
        <v/>
      </c>
      <c r="X116" s="15">
        <f>M116 * 1.05</f>
        <v/>
      </c>
      <c r="Y116" s="15">
        <f>M116 * 0.95</f>
        <v/>
      </c>
      <c r="Z116" s="15">
        <f>IF(AND(V116 &lt;= X116, V116 &gt;= Y116), 1, 0)</f>
        <v/>
      </c>
    </row>
    <row r="117">
      <c r="L117" s="15" t="n">
        <v>115</v>
      </c>
      <c r="M117" s="15">
        <f>IF(L117&lt;$D$16,$D$13,IF(L117&lt;$E$16,$E$13,$F$13))</f>
        <v/>
      </c>
      <c r="N117" s="15">
        <f>M117-V117</f>
        <v/>
      </c>
      <c r="O117" s="15">
        <f>IF(MOD(L117,$B$11)=0,OFFSET(O117,-$B$11,0)+ $E$2*N117+$E$3*OFFSET(N117,-$B$11,0)+ $E$4*OFFSET(N117,-2* $B$11,0), O116)</f>
        <v/>
      </c>
      <c r="P117" s="15">
        <f>INT((2^$J$12-1)*O117/100)/(2^$J$12-1)*100</f>
        <v/>
      </c>
      <c r="Q117" s="15" t="n">
        <v>0</v>
      </c>
      <c r="R117" s="15">
        <f>P117+Q117</f>
        <v/>
      </c>
      <c r="S117" s="15">
        <f>$I$1*S116-$I$2*S115+$I$3*R96+$I$4*R95</f>
        <v/>
      </c>
      <c r="T117" s="15">
        <f>RAND()*$G$12</f>
        <v/>
      </c>
      <c r="U117" s="15">
        <f>S117+T117</f>
        <v/>
      </c>
      <c r="V117" s="15">
        <f>INT((2^$J$12-1)*U117/100)/(2^$J$12-1)*100</f>
        <v/>
      </c>
      <c r="X117" s="15">
        <f>M117 * 1.05</f>
        <v/>
      </c>
      <c r="Y117" s="15">
        <f>M117 * 0.95</f>
        <v/>
      </c>
      <c r="Z117" s="15">
        <f>IF(AND(V117 &lt;= X117, V117 &gt;= Y117), 1, 0)</f>
        <v/>
      </c>
    </row>
    <row r="118">
      <c r="L118" s="15" t="n">
        <v>116</v>
      </c>
      <c r="M118" s="15">
        <f>IF(L118&lt;$D$16,$D$13,IF(L118&lt;$E$16,$E$13,$F$13))</f>
        <v/>
      </c>
      <c r="N118" s="15">
        <f>M118-V118</f>
        <v/>
      </c>
      <c r="O118" s="15">
        <f>IF(MOD(L118,$B$11)=0,OFFSET(O118,-$B$11,0)+ $E$2*N118+$E$3*OFFSET(N118,-$B$11,0)+ $E$4*OFFSET(N118,-2* $B$11,0), O117)</f>
        <v/>
      </c>
      <c r="P118" s="15">
        <f>INT((2^$J$12-1)*O118/100)/(2^$J$12-1)*100</f>
        <v/>
      </c>
      <c r="Q118" s="15" t="n">
        <v>0</v>
      </c>
      <c r="R118" s="15">
        <f>P118+Q118</f>
        <v/>
      </c>
      <c r="S118" s="15">
        <f>$I$1*S117-$I$2*S116+$I$3*R97+$I$4*R96</f>
        <v/>
      </c>
      <c r="T118" s="15">
        <f>RAND()*$G$12</f>
        <v/>
      </c>
      <c r="U118" s="15">
        <f>S118+T118</f>
        <v/>
      </c>
      <c r="V118" s="15">
        <f>INT((2^$J$12-1)*U118/100)/(2^$J$12-1)*100</f>
        <v/>
      </c>
      <c r="X118" s="15">
        <f>M118 * 1.05</f>
        <v/>
      </c>
      <c r="Y118" s="15">
        <f>M118 * 0.95</f>
        <v/>
      </c>
      <c r="Z118" s="15">
        <f>IF(AND(V118 &lt;= X118, V118 &gt;= Y118), 1, 0)</f>
        <v/>
      </c>
    </row>
    <row r="119">
      <c r="L119" s="15" t="n">
        <v>117</v>
      </c>
      <c r="M119" s="15">
        <f>IF(L119&lt;$D$16,$D$13,IF(L119&lt;$E$16,$E$13,$F$13))</f>
        <v/>
      </c>
      <c r="N119" s="15">
        <f>M119-V119</f>
        <v/>
      </c>
      <c r="O119" s="15">
        <f>IF(MOD(L119,$B$11)=0,OFFSET(O119,-$B$11,0)+ $E$2*N119+$E$3*OFFSET(N119,-$B$11,0)+ $E$4*OFFSET(N119,-2* $B$11,0), O118)</f>
        <v/>
      </c>
      <c r="P119" s="15">
        <f>INT((2^$J$12-1)*O119/100)/(2^$J$12-1)*100</f>
        <v/>
      </c>
      <c r="Q119" s="15" t="n">
        <v>0</v>
      </c>
      <c r="R119" s="15">
        <f>P119+Q119</f>
        <v/>
      </c>
      <c r="S119" s="15">
        <f>$I$1*S118-$I$2*S117+$I$3*R98+$I$4*R97</f>
        <v/>
      </c>
      <c r="T119" s="15">
        <f>RAND()*$G$12</f>
        <v/>
      </c>
      <c r="U119" s="15">
        <f>S119+T119</f>
        <v/>
      </c>
      <c r="V119" s="15">
        <f>INT((2^$J$12-1)*U119/100)/(2^$J$12-1)*100</f>
        <v/>
      </c>
      <c r="X119" s="15">
        <f>M119 * 1.05</f>
        <v/>
      </c>
      <c r="Y119" s="15">
        <f>M119 * 0.95</f>
        <v/>
      </c>
      <c r="Z119" s="15">
        <f>IF(AND(V119 &lt;= X119, V119 &gt;= Y119), 1, 0)</f>
        <v/>
      </c>
    </row>
    <row r="120">
      <c r="L120" s="15" t="n">
        <v>118</v>
      </c>
      <c r="M120" s="15">
        <f>IF(L120&lt;$D$16,$D$13,IF(L120&lt;$E$16,$E$13,$F$13))</f>
        <v/>
      </c>
      <c r="N120" s="15">
        <f>M120-V120</f>
        <v/>
      </c>
      <c r="O120" s="15">
        <f>IF(MOD(L120,$B$11)=0,OFFSET(O120,-$B$11,0)+ $E$2*N120+$E$3*OFFSET(N120,-$B$11,0)+ $E$4*OFFSET(N120,-2* $B$11,0), O119)</f>
        <v/>
      </c>
      <c r="P120" s="15">
        <f>INT((2^$J$12-1)*O120/100)/(2^$J$12-1)*100</f>
        <v/>
      </c>
      <c r="Q120" s="15" t="n">
        <v>0</v>
      </c>
      <c r="R120" s="15">
        <f>P120+Q120</f>
        <v/>
      </c>
      <c r="S120" s="15">
        <f>$I$1*S119-$I$2*S118+$I$3*R99+$I$4*R98</f>
        <v/>
      </c>
      <c r="T120" s="15">
        <f>RAND()*$G$12</f>
        <v/>
      </c>
      <c r="U120" s="15">
        <f>S120+T120</f>
        <v/>
      </c>
      <c r="V120" s="15">
        <f>INT((2^$J$12-1)*U120/100)/(2^$J$12-1)*100</f>
        <v/>
      </c>
      <c r="X120" s="15">
        <f>M120 * 1.05</f>
        <v/>
      </c>
      <c r="Y120" s="15">
        <f>M120 * 0.95</f>
        <v/>
      </c>
      <c r="Z120" s="15">
        <f>IF(AND(V120 &lt;= X120, V120 &gt;= Y120), 1, 0)</f>
        <v/>
      </c>
    </row>
    <row r="121">
      <c r="L121" s="15" t="n">
        <v>119</v>
      </c>
      <c r="M121" s="15">
        <f>IF(L121&lt;$D$16,$D$13,IF(L121&lt;$E$16,$E$13,$F$13))</f>
        <v/>
      </c>
      <c r="N121" s="15">
        <f>M121-V121</f>
        <v/>
      </c>
      <c r="O121" s="15">
        <f>IF(MOD(L121,$B$11)=0,OFFSET(O121,-$B$11,0)+ $E$2*N121+$E$3*OFFSET(N121,-$B$11,0)+ $E$4*OFFSET(N121,-2* $B$11,0), O120)</f>
        <v/>
      </c>
      <c r="P121" s="15">
        <f>INT((2^$J$12-1)*O121/100)/(2^$J$12-1)*100</f>
        <v/>
      </c>
      <c r="Q121" s="15" t="n">
        <v>0</v>
      </c>
      <c r="R121" s="15">
        <f>P121+Q121</f>
        <v/>
      </c>
      <c r="S121" s="15">
        <f>$I$1*S120-$I$2*S119+$I$3*R100+$I$4*R99</f>
        <v/>
      </c>
      <c r="T121" s="15">
        <f>RAND()*$G$12</f>
        <v/>
      </c>
      <c r="U121" s="15">
        <f>S121+T121</f>
        <v/>
      </c>
      <c r="V121" s="15">
        <f>INT((2^$J$12-1)*U121/100)/(2^$J$12-1)*100</f>
        <v/>
      </c>
      <c r="X121" s="15">
        <f>M121 * 1.05</f>
        <v/>
      </c>
      <c r="Y121" s="15">
        <f>M121 * 0.95</f>
        <v/>
      </c>
      <c r="Z121" s="15">
        <f>IF(AND(V121 &lt;= X121, V121 &gt;= Y121), 1, 0)</f>
        <v/>
      </c>
    </row>
    <row r="122">
      <c r="L122" s="15" t="n">
        <v>120</v>
      </c>
      <c r="M122" s="15">
        <f>IF(L122&lt;$D$16,$D$13,IF(L122&lt;$E$16,$E$13,$F$13))</f>
        <v/>
      </c>
      <c r="N122" s="15">
        <f>M122-V122</f>
        <v/>
      </c>
      <c r="O122" s="15">
        <f>IF(MOD(L122,$B$11)=0,OFFSET(O122,-$B$11,0)+ $E$2*N122+$E$3*OFFSET(N122,-$B$11,0)+ $E$4*OFFSET(N122,-2* $B$11,0), O121)</f>
        <v/>
      </c>
      <c r="P122" s="15">
        <f>INT((2^$J$12-1)*O122/100)/(2^$J$12-1)*100</f>
        <v/>
      </c>
      <c r="Q122" s="15" t="n">
        <v>0</v>
      </c>
      <c r="R122" s="15">
        <f>P122+Q122</f>
        <v/>
      </c>
      <c r="S122" s="15">
        <f>$I$1*S121-$I$2*S120+$I$3*R101+$I$4*R100</f>
        <v/>
      </c>
      <c r="T122" s="15">
        <f>RAND()*$G$12</f>
        <v/>
      </c>
      <c r="U122" s="15">
        <f>S122+T122</f>
        <v/>
      </c>
      <c r="V122" s="15">
        <f>INT((2^$J$12-1)*U122/100)/(2^$J$12-1)*100</f>
        <v/>
      </c>
      <c r="X122" s="15">
        <f>M122 * 1.05</f>
        <v/>
      </c>
      <c r="Y122" s="15">
        <f>M122 * 0.95</f>
        <v/>
      </c>
      <c r="Z122" s="15">
        <f>IF(AND(V122 &lt;= X122, V122 &gt;= Y122), 1, 0)</f>
        <v/>
      </c>
    </row>
    <row r="123">
      <c r="L123" s="15" t="n">
        <v>121</v>
      </c>
      <c r="M123" s="15">
        <f>IF(L123&lt;$D$16,$D$13,IF(L123&lt;$E$16,$E$13,$F$13))</f>
        <v/>
      </c>
      <c r="N123" s="15">
        <f>M123-V123</f>
        <v/>
      </c>
      <c r="O123" s="15">
        <f>IF(MOD(L123,$B$11)=0,OFFSET(O123,-$B$11,0)+ $E$2*N123+$E$3*OFFSET(N123,-$B$11,0)+ $E$4*OFFSET(N123,-2* $B$11,0), O122)</f>
        <v/>
      </c>
      <c r="P123" s="15">
        <f>INT((2^$J$12-1)*O123/100)/(2^$J$12-1)*100</f>
        <v/>
      </c>
      <c r="Q123" s="15" t="n">
        <v>0</v>
      </c>
      <c r="R123" s="15">
        <f>P123+Q123</f>
        <v/>
      </c>
      <c r="S123" s="15">
        <f>$I$1*S122-$I$2*S121+$I$3*R102+$I$4*R101</f>
        <v/>
      </c>
      <c r="T123" s="15">
        <f>RAND()*$G$12</f>
        <v/>
      </c>
      <c r="U123" s="15">
        <f>S123+T123</f>
        <v/>
      </c>
      <c r="V123" s="15">
        <f>INT((2^$J$12-1)*U123/100)/(2^$J$12-1)*100</f>
        <v/>
      </c>
      <c r="X123" s="15">
        <f>M123 * 1.05</f>
        <v/>
      </c>
      <c r="Y123" s="15">
        <f>M123 * 0.95</f>
        <v/>
      </c>
      <c r="Z123" s="15">
        <f>IF(AND(V123 &lt;= X123, V123 &gt;= Y123), 1, 0)</f>
        <v/>
      </c>
    </row>
    <row r="124">
      <c r="L124" s="15" t="n">
        <v>122</v>
      </c>
      <c r="M124" s="15">
        <f>IF(L124&lt;$D$16,$D$13,IF(L124&lt;$E$16,$E$13,$F$13))</f>
        <v/>
      </c>
      <c r="N124" s="15">
        <f>M124-V124</f>
        <v/>
      </c>
      <c r="O124" s="15">
        <f>IF(MOD(L124,$B$11)=0,OFFSET(O124,-$B$11,0)+ $E$2*N124+$E$3*OFFSET(N124,-$B$11,0)+ $E$4*OFFSET(N124,-2* $B$11,0), O123)</f>
        <v/>
      </c>
      <c r="P124" s="15">
        <f>INT((2^$J$12-1)*O124/100)/(2^$J$12-1)*100</f>
        <v/>
      </c>
      <c r="Q124" s="15" t="n">
        <v>0</v>
      </c>
      <c r="R124" s="15">
        <f>P124+Q124</f>
        <v/>
      </c>
      <c r="S124" s="15">
        <f>$I$1*S123-$I$2*S122+$I$3*R103+$I$4*R102</f>
        <v/>
      </c>
      <c r="T124" s="15">
        <f>RAND()*$G$12</f>
        <v/>
      </c>
      <c r="U124" s="15">
        <f>S124+T124</f>
        <v/>
      </c>
      <c r="V124" s="15">
        <f>INT((2^$J$12-1)*U124/100)/(2^$J$12-1)*100</f>
        <v/>
      </c>
      <c r="X124" s="15">
        <f>M124 * 1.05</f>
        <v/>
      </c>
      <c r="Y124" s="15">
        <f>M124 * 0.95</f>
        <v/>
      </c>
      <c r="Z124" s="15">
        <f>IF(AND(V124 &lt;= X124, V124 &gt;= Y124), 1, 0)</f>
        <v/>
      </c>
    </row>
    <row r="125">
      <c r="L125" s="15" t="n">
        <v>123</v>
      </c>
      <c r="M125" s="15">
        <f>IF(L125&lt;$D$16,$D$13,IF(L125&lt;$E$16,$E$13,$F$13))</f>
        <v/>
      </c>
      <c r="N125" s="15">
        <f>M125-V125</f>
        <v/>
      </c>
      <c r="O125" s="15">
        <f>IF(MOD(L125,$B$11)=0,OFFSET(O125,-$B$11,0)+ $E$2*N125+$E$3*OFFSET(N125,-$B$11,0)+ $E$4*OFFSET(N125,-2* $B$11,0), O124)</f>
        <v/>
      </c>
      <c r="P125" s="15">
        <f>INT((2^$J$12-1)*O125/100)/(2^$J$12-1)*100</f>
        <v/>
      </c>
      <c r="Q125" s="15" t="n">
        <v>0</v>
      </c>
      <c r="R125" s="15">
        <f>P125+Q125</f>
        <v/>
      </c>
      <c r="S125" s="15">
        <f>$I$1*S124-$I$2*S123+$I$3*R104+$I$4*R103</f>
        <v/>
      </c>
      <c r="T125" s="15">
        <f>RAND()*$G$12</f>
        <v/>
      </c>
      <c r="U125" s="15">
        <f>S125+T125</f>
        <v/>
      </c>
      <c r="V125" s="15">
        <f>INT((2^$J$12-1)*U125/100)/(2^$J$12-1)*100</f>
        <v/>
      </c>
      <c r="X125" s="15">
        <f>M125 * 1.05</f>
        <v/>
      </c>
      <c r="Y125" s="15">
        <f>M125 * 0.95</f>
        <v/>
      </c>
      <c r="Z125" s="15">
        <f>IF(AND(V125 &lt;= X125, V125 &gt;= Y125), 1, 0)</f>
        <v/>
      </c>
    </row>
    <row r="126">
      <c r="L126" s="15" t="n">
        <v>124</v>
      </c>
      <c r="M126" s="15">
        <f>IF(L126&lt;$D$16,$D$13,IF(L126&lt;$E$16,$E$13,$F$13))</f>
        <v/>
      </c>
      <c r="N126" s="15">
        <f>M126-V126</f>
        <v/>
      </c>
      <c r="O126" s="15">
        <f>IF(MOD(L126,$B$11)=0,OFFSET(O126,-$B$11,0)+ $E$2*N126+$E$3*OFFSET(N126,-$B$11,0)+ $E$4*OFFSET(N126,-2* $B$11,0), O125)</f>
        <v/>
      </c>
      <c r="P126" s="15">
        <f>INT((2^$J$12-1)*O126/100)/(2^$J$12-1)*100</f>
        <v/>
      </c>
      <c r="Q126" s="15" t="n">
        <v>0</v>
      </c>
      <c r="R126" s="15">
        <f>P126+Q126</f>
        <v/>
      </c>
      <c r="S126" s="15">
        <f>$I$1*S125-$I$2*S124+$I$3*R105+$I$4*R104</f>
        <v/>
      </c>
      <c r="T126" s="15">
        <f>RAND()*$G$12</f>
        <v/>
      </c>
      <c r="U126" s="15">
        <f>S126+T126</f>
        <v/>
      </c>
      <c r="V126" s="15">
        <f>INT((2^$J$12-1)*U126/100)/(2^$J$12-1)*100</f>
        <v/>
      </c>
      <c r="X126" s="15">
        <f>M126 * 1.05</f>
        <v/>
      </c>
      <c r="Y126" s="15">
        <f>M126 * 0.95</f>
        <v/>
      </c>
      <c r="Z126" s="15">
        <f>IF(AND(V126 &lt;= X126, V126 &gt;= Y126), 1, 0)</f>
        <v/>
      </c>
    </row>
    <row r="127">
      <c r="L127" s="15" t="n">
        <v>125</v>
      </c>
      <c r="M127" s="15">
        <f>IF(L127&lt;$D$16,$D$13,IF(L127&lt;$E$16,$E$13,$F$13))</f>
        <v/>
      </c>
      <c r="N127" s="15">
        <f>M127-V127</f>
        <v/>
      </c>
      <c r="O127" s="15">
        <f>IF(MOD(L127,$B$11)=0,OFFSET(O127,-$B$11,0)+ $E$2*N127+$E$3*OFFSET(N127,-$B$11,0)+ $E$4*OFFSET(N127,-2* $B$11,0), O126)</f>
        <v/>
      </c>
      <c r="P127" s="15">
        <f>INT((2^$J$12-1)*O127/100)/(2^$J$12-1)*100</f>
        <v/>
      </c>
      <c r="Q127" s="15" t="n">
        <v>0</v>
      </c>
      <c r="R127" s="15">
        <f>P127+Q127</f>
        <v/>
      </c>
      <c r="S127" s="15">
        <f>$I$1*S126-$I$2*S125+$I$3*R106+$I$4*R105</f>
        <v/>
      </c>
      <c r="T127" s="15">
        <f>RAND()*$G$12</f>
        <v/>
      </c>
      <c r="U127" s="15">
        <f>S127+T127</f>
        <v/>
      </c>
      <c r="V127" s="15">
        <f>INT((2^$J$12-1)*U127/100)/(2^$J$12-1)*100</f>
        <v/>
      </c>
      <c r="X127" s="15">
        <f>M127 * 1.05</f>
        <v/>
      </c>
      <c r="Y127" s="15">
        <f>M127 * 0.95</f>
        <v/>
      </c>
      <c r="Z127" s="15">
        <f>IF(AND(V127 &lt;= X127, V127 &gt;= Y127), 1, 0)</f>
        <v/>
      </c>
    </row>
    <row r="128">
      <c r="L128" s="15" t="n">
        <v>126</v>
      </c>
      <c r="M128" s="15">
        <f>IF(L128&lt;$D$16,$D$13,IF(L128&lt;$E$16,$E$13,$F$13))</f>
        <v/>
      </c>
      <c r="N128" s="15">
        <f>M128-V128</f>
        <v/>
      </c>
      <c r="O128" s="15">
        <f>IF(MOD(L128,$B$11)=0,OFFSET(O128,-$B$11,0)+ $E$2*N128+$E$3*OFFSET(N128,-$B$11,0)+ $E$4*OFFSET(N128,-2* $B$11,0), O127)</f>
        <v/>
      </c>
      <c r="P128" s="15">
        <f>INT((2^$J$12-1)*O128/100)/(2^$J$12-1)*100</f>
        <v/>
      </c>
      <c r="Q128" s="15" t="n">
        <v>0</v>
      </c>
      <c r="R128" s="15">
        <f>P128+Q128</f>
        <v/>
      </c>
      <c r="S128" s="15">
        <f>$I$1*S127-$I$2*S126+$I$3*R107+$I$4*R106</f>
        <v/>
      </c>
      <c r="T128" s="15">
        <f>RAND()*$G$12</f>
        <v/>
      </c>
      <c r="U128" s="15">
        <f>S128+T128</f>
        <v/>
      </c>
      <c r="V128" s="15">
        <f>INT((2^$J$12-1)*U128/100)/(2^$J$12-1)*100</f>
        <v/>
      </c>
      <c r="X128" s="15">
        <f>M128 * 1.05</f>
        <v/>
      </c>
      <c r="Y128" s="15">
        <f>M128 * 0.95</f>
        <v/>
      </c>
      <c r="Z128" s="15">
        <f>IF(AND(V128 &lt;= X128, V128 &gt;= Y128), 1, 0)</f>
        <v/>
      </c>
    </row>
    <row r="129">
      <c r="L129" s="15" t="n">
        <v>127</v>
      </c>
      <c r="M129" s="15">
        <f>IF(L129&lt;$D$16,$D$13,IF(L129&lt;$E$16,$E$13,$F$13))</f>
        <v/>
      </c>
      <c r="N129" s="15">
        <f>M129-V129</f>
        <v/>
      </c>
      <c r="O129" s="15">
        <f>IF(MOD(L129,$B$11)=0,OFFSET(O129,-$B$11,0)+ $E$2*N129+$E$3*OFFSET(N129,-$B$11,0)+ $E$4*OFFSET(N129,-2* $B$11,0), O128)</f>
        <v/>
      </c>
      <c r="P129" s="15">
        <f>INT((2^$J$12-1)*O129/100)/(2^$J$12-1)*100</f>
        <v/>
      </c>
      <c r="Q129" s="15" t="n">
        <v>0</v>
      </c>
      <c r="R129" s="15">
        <f>P129+Q129</f>
        <v/>
      </c>
      <c r="S129" s="15">
        <f>$I$1*S128-$I$2*S127+$I$3*R108+$I$4*R107</f>
        <v/>
      </c>
      <c r="T129" s="15">
        <f>RAND()*$G$12</f>
        <v/>
      </c>
      <c r="U129" s="15">
        <f>S129+T129</f>
        <v/>
      </c>
      <c r="V129" s="15">
        <f>INT((2^$J$12-1)*U129/100)/(2^$J$12-1)*100</f>
        <v/>
      </c>
      <c r="X129" s="15">
        <f>M129 * 1.05</f>
        <v/>
      </c>
      <c r="Y129" s="15">
        <f>M129 * 0.95</f>
        <v/>
      </c>
      <c r="Z129" s="15">
        <f>IF(AND(V129 &lt;= X129, V129 &gt;= Y129), 1, 0)</f>
        <v/>
      </c>
    </row>
    <row r="130">
      <c r="L130" s="15" t="n">
        <v>128</v>
      </c>
      <c r="M130" s="15">
        <f>IF(L130&lt;$D$16,$D$13,IF(L130&lt;$E$16,$E$13,$F$13))</f>
        <v/>
      </c>
      <c r="N130" s="15">
        <f>M130-V130</f>
        <v/>
      </c>
      <c r="O130" s="15">
        <f>IF(MOD(L130,$B$11)=0,OFFSET(O130,-$B$11,0)+ $E$2*N130+$E$3*OFFSET(N130,-$B$11,0)+ $E$4*OFFSET(N130,-2* $B$11,0), O129)</f>
        <v/>
      </c>
      <c r="P130" s="15">
        <f>INT((2^$J$12-1)*O130/100)/(2^$J$12-1)*100</f>
        <v/>
      </c>
      <c r="Q130" s="15" t="n">
        <v>0</v>
      </c>
      <c r="R130" s="15">
        <f>P130+Q130</f>
        <v/>
      </c>
      <c r="S130" s="15">
        <f>$I$1*S129-$I$2*S128+$I$3*R109+$I$4*R108</f>
        <v/>
      </c>
      <c r="T130" s="15">
        <f>RAND()*$G$12</f>
        <v/>
      </c>
      <c r="U130" s="15">
        <f>S130+T130</f>
        <v/>
      </c>
      <c r="V130" s="15">
        <f>INT((2^$J$12-1)*U130/100)/(2^$J$12-1)*100</f>
        <v/>
      </c>
      <c r="X130" s="15">
        <f>M130 * 1.05</f>
        <v/>
      </c>
      <c r="Y130" s="15">
        <f>M130 * 0.95</f>
        <v/>
      </c>
      <c r="Z130" s="15">
        <f>IF(AND(V130 &lt;= X130, V130 &gt;= Y130), 1, 0)</f>
        <v/>
      </c>
    </row>
    <row r="131">
      <c r="L131" s="15" t="n">
        <v>129</v>
      </c>
      <c r="M131" s="15">
        <f>IF(L131&lt;$D$16,$D$13,IF(L131&lt;$E$16,$E$13,$F$13))</f>
        <v/>
      </c>
      <c r="N131" s="15">
        <f>M131-V131</f>
        <v/>
      </c>
      <c r="O131" s="15">
        <f>IF(MOD(L131,$B$11)=0,OFFSET(O131,-$B$11,0)+ $E$2*N131+$E$3*OFFSET(N131,-$B$11,0)+ $E$4*OFFSET(N131,-2* $B$11,0), O130)</f>
        <v/>
      </c>
      <c r="P131" s="15">
        <f>INT((2^$J$12-1)*O131/100)/(2^$J$12-1)*100</f>
        <v/>
      </c>
      <c r="Q131" s="15" t="n">
        <v>0</v>
      </c>
      <c r="R131" s="15">
        <f>P131+Q131</f>
        <v/>
      </c>
      <c r="S131" s="15">
        <f>$I$1*S130-$I$2*S129+$I$3*R110+$I$4*R109</f>
        <v/>
      </c>
      <c r="T131" s="15">
        <f>RAND()*$G$12</f>
        <v/>
      </c>
      <c r="U131" s="15">
        <f>S131+T131</f>
        <v/>
      </c>
      <c r="V131" s="15">
        <f>INT((2^$J$12-1)*U131/100)/(2^$J$12-1)*100</f>
        <v/>
      </c>
      <c r="X131" s="15">
        <f>M131 * 1.05</f>
        <v/>
      </c>
      <c r="Y131" s="15">
        <f>M131 * 0.95</f>
        <v/>
      </c>
      <c r="Z131" s="15">
        <f>IF(AND(V131 &lt;= X131, V131 &gt;= Y131), 1, 0)</f>
        <v/>
      </c>
    </row>
    <row r="132">
      <c r="L132" s="15" t="n">
        <v>130</v>
      </c>
      <c r="M132" s="15">
        <f>IF(L132&lt;$D$16,$D$13,IF(L132&lt;$E$16,$E$13,$F$13))</f>
        <v/>
      </c>
      <c r="N132" s="15">
        <f>M132-V132</f>
        <v/>
      </c>
      <c r="O132" s="15">
        <f>IF(MOD(L132,$B$11)=0,OFFSET(O132,-$B$11,0)+ $E$2*N132+$E$3*OFFSET(N132,-$B$11,0)+ $E$4*OFFSET(N132,-2* $B$11,0), O131)</f>
        <v/>
      </c>
      <c r="P132" s="15">
        <f>INT((2^$J$12-1)*O132/100)/(2^$J$12-1)*100</f>
        <v/>
      </c>
      <c r="Q132" s="15" t="n">
        <v>0</v>
      </c>
      <c r="R132" s="15">
        <f>P132+Q132</f>
        <v/>
      </c>
      <c r="S132" s="15">
        <f>$I$1*S131-$I$2*S130+$I$3*R111+$I$4*R110</f>
        <v/>
      </c>
      <c r="T132" s="15">
        <f>RAND()*$G$12</f>
        <v/>
      </c>
      <c r="U132" s="15">
        <f>S132+T132</f>
        <v/>
      </c>
      <c r="V132" s="15">
        <f>INT((2^$J$12-1)*U132/100)/(2^$J$12-1)*100</f>
        <v/>
      </c>
      <c r="X132" s="15">
        <f>M132 * 1.05</f>
        <v/>
      </c>
      <c r="Y132" s="15">
        <f>M132 * 0.95</f>
        <v/>
      </c>
      <c r="Z132" s="15">
        <f>IF(AND(V132 &lt;= X132, V132 &gt;= Y132), 1, 0)</f>
        <v/>
      </c>
    </row>
    <row r="133">
      <c r="L133" s="15" t="n">
        <v>131</v>
      </c>
      <c r="M133" s="15">
        <f>IF(L133&lt;$D$16,$D$13,IF(L133&lt;$E$16,$E$13,$F$13))</f>
        <v/>
      </c>
      <c r="N133" s="15">
        <f>M133-V133</f>
        <v/>
      </c>
      <c r="O133" s="15">
        <f>IF(MOD(L133,$B$11)=0,OFFSET(O133,-$B$11,0)+ $E$2*N133+$E$3*OFFSET(N133,-$B$11,0)+ $E$4*OFFSET(N133,-2* $B$11,0), O132)</f>
        <v/>
      </c>
      <c r="P133" s="15">
        <f>INT((2^$J$12-1)*O133/100)/(2^$J$12-1)*100</f>
        <v/>
      </c>
      <c r="Q133" s="15" t="n">
        <v>0</v>
      </c>
      <c r="R133" s="15">
        <f>P133+Q133</f>
        <v/>
      </c>
      <c r="S133" s="15">
        <f>$I$1*S132-$I$2*S131+$I$3*R112+$I$4*R111</f>
        <v/>
      </c>
      <c r="T133" s="15">
        <f>RAND()*$G$12</f>
        <v/>
      </c>
      <c r="U133" s="15">
        <f>S133+T133</f>
        <v/>
      </c>
      <c r="V133" s="15">
        <f>INT((2^$J$12-1)*U133/100)/(2^$J$12-1)*100</f>
        <v/>
      </c>
      <c r="X133" s="15">
        <f>M133 * 1.05</f>
        <v/>
      </c>
      <c r="Y133" s="15">
        <f>M133 * 0.95</f>
        <v/>
      </c>
      <c r="Z133" s="15">
        <f>IF(AND(V133 &lt;= X133, V133 &gt;= Y133), 1, 0)</f>
        <v/>
      </c>
    </row>
    <row r="134">
      <c r="L134" s="15" t="n">
        <v>132</v>
      </c>
      <c r="M134" s="15">
        <f>IF(L134&lt;$D$16,$D$13,IF(L134&lt;$E$16,$E$13,$F$13))</f>
        <v/>
      </c>
      <c r="N134" s="15">
        <f>M134-V134</f>
        <v/>
      </c>
      <c r="O134" s="15">
        <f>IF(MOD(L134,$B$11)=0,OFFSET(O134,-$B$11,0)+ $E$2*N134+$E$3*OFFSET(N134,-$B$11,0)+ $E$4*OFFSET(N134,-2* $B$11,0), O133)</f>
        <v/>
      </c>
      <c r="P134" s="15">
        <f>INT((2^$J$12-1)*O134/100)/(2^$J$12-1)*100</f>
        <v/>
      </c>
      <c r="Q134" s="15" t="n">
        <v>0</v>
      </c>
      <c r="R134" s="15">
        <f>P134+Q134</f>
        <v/>
      </c>
      <c r="S134" s="15">
        <f>$I$1*S133-$I$2*S132+$I$3*R113+$I$4*R112</f>
        <v/>
      </c>
      <c r="T134" s="15">
        <f>RAND()*$G$12</f>
        <v/>
      </c>
      <c r="U134" s="15">
        <f>S134+T134</f>
        <v/>
      </c>
      <c r="V134" s="15">
        <f>INT((2^$J$12-1)*U134/100)/(2^$J$12-1)*100</f>
        <v/>
      </c>
      <c r="X134" s="15">
        <f>M134 * 1.05</f>
        <v/>
      </c>
      <c r="Y134" s="15">
        <f>M134 * 0.95</f>
        <v/>
      </c>
      <c r="Z134" s="15">
        <f>IF(AND(V134 &lt;= X134, V134 &gt;= Y134), 1, 0)</f>
        <v/>
      </c>
    </row>
    <row r="135">
      <c r="L135" s="15" t="n">
        <v>133</v>
      </c>
      <c r="M135" s="15">
        <f>IF(L135&lt;$D$16,$D$13,IF(L135&lt;$E$16,$E$13,$F$13))</f>
        <v/>
      </c>
      <c r="N135" s="15">
        <f>M135-V135</f>
        <v/>
      </c>
      <c r="O135" s="15">
        <f>IF(MOD(L135,$B$11)=0,OFFSET(O135,-$B$11,0)+ $E$2*N135+$E$3*OFFSET(N135,-$B$11,0)+ $E$4*OFFSET(N135,-2* $B$11,0), O134)</f>
        <v/>
      </c>
      <c r="P135" s="15">
        <f>INT((2^$J$12-1)*O135/100)/(2^$J$12-1)*100</f>
        <v/>
      </c>
      <c r="Q135" s="15" t="n">
        <v>0</v>
      </c>
      <c r="R135" s="15">
        <f>P135+Q135</f>
        <v/>
      </c>
      <c r="S135" s="15">
        <f>$I$1*S134-$I$2*S133+$I$3*R114+$I$4*R113</f>
        <v/>
      </c>
      <c r="T135" s="15">
        <f>RAND()*$G$12</f>
        <v/>
      </c>
      <c r="U135" s="15">
        <f>S135+T135</f>
        <v/>
      </c>
      <c r="V135" s="15">
        <f>INT((2^$J$12-1)*U135/100)/(2^$J$12-1)*100</f>
        <v/>
      </c>
      <c r="X135" s="15">
        <f>M135 * 1.05</f>
        <v/>
      </c>
      <c r="Y135" s="15">
        <f>M135 * 0.95</f>
        <v/>
      </c>
      <c r="Z135" s="15">
        <f>IF(AND(V135 &lt;= X135, V135 &gt;= Y135), 1, 0)</f>
        <v/>
      </c>
    </row>
    <row r="136">
      <c r="L136" s="15" t="n">
        <v>134</v>
      </c>
      <c r="M136" s="15">
        <f>IF(L136&lt;$D$16,$D$13,IF(L136&lt;$E$16,$E$13,$F$13))</f>
        <v/>
      </c>
      <c r="N136" s="15">
        <f>M136-V136</f>
        <v/>
      </c>
      <c r="O136" s="15">
        <f>IF(MOD(L136,$B$11)=0,OFFSET(O136,-$B$11,0)+ $E$2*N136+$E$3*OFFSET(N136,-$B$11,0)+ $E$4*OFFSET(N136,-2* $B$11,0), O135)</f>
        <v/>
      </c>
      <c r="P136" s="15">
        <f>INT((2^$J$12-1)*O136/100)/(2^$J$12-1)*100</f>
        <v/>
      </c>
      <c r="Q136" s="15" t="n">
        <v>0</v>
      </c>
      <c r="R136" s="15">
        <f>P136+Q136</f>
        <v/>
      </c>
      <c r="S136" s="15">
        <f>$I$1*S135-$I$2*S134+$I$3*R115+$I$4*R114</f>
        <v/>
      </c>
      <c r="T136" s="15">
        <f>RAND()*$G$12</f>
        <v/>
      </c>
      <c r="U136" s="15">
        <f>S136+T136</f>
        <v/>
      </c>
      <c r="V136" s="15">
        <f>INT((2^$J$12-1)*U136/100)/(2^$J$12-1)*100</f>
        <v/>
      </c>
      <c r="X136" s="15">
        <f>M136 * 1.05</f>
        <v/>
      </c>
      <c r="Y136" s="15">
        <f>M136 * 0.95</f>
        <v/>
      </c>
      <c r="Z136" s="15">
        <f>IF(AND(V136 &lt;= X136, V136 &gt;= Y136), 1, 0)</f>
        <v/>
      </c>
    </row>
    <row r="137">
      <c r="L137" s="15" t="n">
        <v>135</v>
      </c>
      <c r="M137" s="15">
        <f>IF(L137&lt;$D$16,$D$13,IF(L137&lt;$E$16,$E$13,$F$13))</f>
        <v/>
      </c>
      <c r="N137" s="15">
        <f>M137-V137</f>
        <v/>
      </c>
      <c r="O137" s="15">
        <f>IF(MOD(L137,$B$11)=0,OFFSET(O137,-$B$11,0)+ $E$2*N137+$E$3*OFFSET(N137,-$B$11,0)+ $E$4*OFFSET(N137,-2* $B$11,0), O136)</f>
        <v/>
      </c>
      <c r="P137" s="15">
        <f>INT((2^$J$12-1)*O137/100)/(2^$J$12-1)*100</f>
        <v/>
      </c>
      <c r="Q137" s="15" t="n">
        <v>0</v>
      </c>
      <c r="R137" s="15">
        <f>P137+Q137</f>
        <v/>
      </c>
      <c r="S137" s="15">
        <f>$I$1*S136-$I$2*S135+$I$3*R116+$I$4*R115</f>
        <v/>
      </c>
      <c r="T137" s="15">
        <f>RAND()*$G$12</f>
        <v/>
      </c>
      <c r="U137" s="15">
        <f>S137+T137</f>
        <v/>
      </c>
      <c r="V137" s="15">
        <f>INT((2^$J$12-1)*U137/100)/(2^$J$12-1)*100</f>
        <v/>
      </c>
      <c r="X137" s="15">
        <f>M137 * 1.05</f>
        <v/>
      </c>
      <c r="Y137" s="15">
        <f>M137 * 0.95</f>
        <v/>
      </c>
      <c r="Z137" s="15">
        <f>IF(AND(V137 &lt;= X137, V137 &gt;= Y137), 1, 0)</f>
        <v/>
      </c>
    </row>
    <row r="138">
      <c r="L138" s="15" t="n">
        <v>136</v>
      </c>
      <c r="M138" s="15">
        <f>IF(L138&lt;$D$16,$D$13,IF(L138&lt;$E$16,$E$13,$F$13))</f>
        <v/>
      </c>
      <c r="N138" s="15">
        <f>M138-V138</f>
        <v/>
      </c>
      <c r="O138" s="15">
        <f>IF(MOD(L138,$B$11)=0,OFFSET(O138,-$B$11,0)+ $E$2*N138+$E$3*OFFSET(N138,-$B$11,0)+ $E$4*OFFSET(N138,-2* $B$11,0), O137)</f>
        <v/>
      </c>
      <c r="P138" s="15">
        <f>INT((2^$J$12-1)*O138/100)/(2^$J$12-1)*100</f>
        <v/>
      </c>
      <c r="Q138" s="15" t="n">
        <v>0</v>
      </c>
      <c r="R138" s="15">
        <f>P138+Q138</f>
        <v/>
      </c>
      <c r="S138" s="15">
        <f>$I$1*S137-$I$2*S136+$I$3*R117+$I$4*R116</f>
        <v/>
      </c>
      <c r="T138" s="15">
        <f>RAND()*$G$12</f>
        <v/>
      </c>
      <c r="U138" s="15">
        <f>S138+T138</f>
        <v/>
      </c>
      <c r="V138" s="15">
        <f>INT((2^$J$12-1)*U138/100)/(2^$J$12-1)*100</f>
        <v/>
      </c>
      <c r="X138" s="15">
        <f>M138 * 1.05</f>
        <v/>
      </c>
      <c r="Y138" s="15">
        <f>M138 * 0.95</f>
        <v/>
      </c>
      <c r="Z138" s="15">
        <f>IF(AND(V138 &lt;= X138, V138 &gt;= Y138), 1, 0)</f>
        <v/>
      </c>
    </row>
    <row r="139">
      <c r="L139" s="15" t="n">
        <v>137</v>
      </c>
      <c r="M139" s="15">
        <f>IF(L139&lt;$D$16,$D$13,IF(L139&lt;$E$16,$E$13,$F$13))</f>
        <v/>
      </c>
      <c r="N139" s="15">
        <f>M139-V139</f>
        <v/>
      </c>
      <c r="O139" s="15">
        <f>IF(MOD(L139,$B$11)=0,OFFSET(O139,-$B$11,0)+ $E$2*N139+$E$3*OFFSET(N139,-$B$11,0)+ $E$4*OFFSET(N139,-2* $B$11,0), O138)</f>
        <v/>
      </c>
      <c r="P139" s="15">
        <f>INT((2^$J$12-1)*O139/100)/(2^$J$12-1)*100</f>
        <v/>
      </c>
      <c r="Q139" s="15" t="n">
        <v>0</v>
      </c>
      <c r="R139" s="15">
        <f>P139+Q139</f>
        <v/>
      </c>
      <c r="S139" s="15">
        <f>$I$1*S138-$I$2*S137+$I$3*R118+$I$4*R117</f>
        <v/>
      </c>
      <c r="T139" s="15">
        <f>RAND()*$G$12</f>
        <v/>
      </c>
      <c r="U139" s="15">
        <f>S139+T139</f>
        <v/>
      </c>
      <c r="V139" s="15">
        <f>INT((2^$J$12-1)*U139/100)/(2^$J$12-1)*100</f>
        <v/>
      </c>
      <c r="X139" s="15">
        <f>M139 * 1.05</f>
        <v/>
      </c>
      <c r="Y139" s="15">
        <f>M139 * 0.95</f>
        <v/>
      </c>
      <c r="Z139" s="15">
        <f>IF(AND(V139 &lt;= X139, V139 &gt;= Y139), 1, 0)</f>
        <v/>
      </c>
    </row>
    <row r="140">
      <c r="L140" s="15" t="n">
        <v>138</v>
      </c>
      <c r="M140" s="15">
        <f>IF(L140&lt;$D$16,$D$13,IF(L140&lt;$E$16,$E$13,$F$13))</f>
        <v/>
      </c>
      <c r="N140" s="15">
        <f>M140-V140</f>
        <v/>
      </c>
      <c r="O140" s="15">
        <f>IF(MOD(L140,$B$11)=0,OFFSET(O140,-$B$11,0)+ $E$2*N140+$E$3*OFFSET(N140,-$B$11,0)+ $E$4*OFFSET(N140,-2* $B$11,0), O139)</f>
        <v/>
      </c>
      <c r="P140" s="15">
        <f>INT((2^$J$12-1)*O140/100)/(2^$J$12-1)*100</f>
        <v/>
      </c>
      <c r="Q140" s="15" t="n">
        <v>0</v>
      </c>
      <c r="R140" s="15">
        <f>P140+Q140</f>
        <v/>
      </c>
      <c r="S140" s="15">
        <f>$I$1*S139-$I$2*S138+$I$3*R119+$I$4*R118</f>
        <v/>
      </c>
      <c r="T140" s="15">
        <f>RAND()*$G$12</f>
        <v/>
      </c>
      <c r="U140" s="15">
        <f>S140+T140</f>
        <v/>
      </c>
      <c r="V140" s="15">
        <f>INT((2^$J$12-1)*U140/100)/(2^$J$12-1)*100</f>
        <v/>
      </c>
      <c r="X140" s="15">
        <f>M140 * 1.05</f>
        <v/>
      </c>
      <c r="Y140" s="15">
        <f>M140 * 0.95</f>
        <v/>
      </c>
      <c r="Z140" s="15">
        <f>IF(AND(V140 &lt;= X140, V140 &gt;= Y140), 1, 0)</f>
        <v/>
      </c>
    </row>
    <row r="141">
      <c r="L141" s="15" t="n">
        <v>139</v>
      </c>
      <c r="M141" s="15">
        <f>IF(L141&lt;$D$16,$D$13,IF(L141&lt;$E$16,$E$13,$F$13))</f>
        <v/>
      </c>
      <c r="N141" s="15">
        <f>M141-V141</f>
        <v/>
      </c>
      <c r="O141" s="15">
        <f>IF(MOD(L141,$B$11)=0,OFFSET(O141,-$B$11,0)+ $E$2*N141+$E$3*OFFSET(N141,-$B$11,0)+ $E$4*OFFSET(N141,-2* $B$11,0), O140)</f>
        <v/>
      </c>
      <c r="P141" s="15">
        <f>INT((2^$J$12-1)*O141/100)/(2^$J$12-1)*100</f>
        <v/>
      </c>
      <c r="Q141" s="15" t="n">
        <v>0</v>
      </c>
      <c r="R141" s="15">
        <f>P141+Q141</f>
        <v/>
      </c>
      <c r="S141" s="15">
        <f>$I$1*S140-$I$2*S139+$I$3*R120+$I$4*R119</f>
        <v/>
      </c>
      <c r="T141" s="15">
        <f>RAND()*$G$12</f>
        <v/>
      </c>
      <c r="U141" s="15">
        <f>S141+T141</f>
        <v/>
      </c>
      <c r="V141" s="15">
        <f>INT((2^$J$12-1)*U141/100)/(2^$J$12-1)*100</f>
        <v/>
      </c>
      <c r="X141" s="15">
        <f>M141 * 1.05</f>
        <v/>
      </c>
      <c r="Y141" s="15">
        <f>M141 * 0.95</f>
        <v/>
      </c>
      <c r="Z141" s="15">
        <f>IF(AND(V141 &lt;= X141, V141 &gt;= Y141), 1, 0)</f>
        <v/>
      </c>
    </row>
    <row r="142">
      <c r="L142" s="15" t="n">
        <v>140</v>
      </c>
      <c r="M142" s="15">
        <f>IF(L142&lt;$D$16,$D$13,IF(L142&lt;$E$16,$E$13,$F$13))</f>
        <v/>
      </c>
      <c r="N142" s="15">
        <f>M142-V142</f>
        <v/>
      </c>
      <c r="O142" s="15">
        <f>IF(MOD(L142,$B$11)=0,OFFSET(O142,-$B$11,0)+ $E$2*N142+$E$3*OFFSET(N142,-$B$11,0)+ $E$4*OFFSET(N142,-2* $B$11,0), O141)</f>
        <v/>
      </c>
      <c r="P142" s="15">
        <f>INT((2^$J$12-1)*O142/100)/(2^$J$12-1)*100</f>
        <v/>
      </c>
      <c r="Q142" s="15" t="n">
        <v>0</v>
      </c>
      <c r="R142" s="15">
        <f>P142+Q142</f>
        <v/>
      </c>
      <c r="S142" s="15">
        <f>$I$1*S141-$I$2*S140+$I$3*R121+$I$4*R120</f>
        <v/>
      </c>
      <c r="T142" s="15">
        <f>RAND()*$G$12</f>
        <v/>
      </c>
      <c r="U142" s="15">
        <f>S142+T142</f>
        <v/>
      </c>
      <c r="V142" s="15">
        <f>INT((2^$J$12-1)*U142/100)/(2^$J$12-1)*100</f>
        <v/>
      </c>
      <c r="X142" s="15">
        <f>M142 * 1.05</f>
        <v/>
      </c>
      <c r="Y142" s="15">
        <f>M142 * 0.95</f>
        <v/>
      </c>
      <c r="Z142" s="15">
        <f>IF(AND(V142 &lt;= X142, V142 &gt;= Y142), 1, 0)</f>
        <v/>
      </c>
    </row>
    <row r="143">
      <c r="L143" s="15" t="n">
        <v>141</v>
      </c>
      <c r="M143" s="15">
        <f>IF(L143&lt;$D$16,$D$13,IF(L143&lt;$E$16,$E$13,$F$13))</f>
        <v/>
      </c>
      <c r="N143" s="15">
        <f>M143-V143</f>
        <v/>
      </c>
      <c r="O143" s="15">
        <f>IF(MOD(L143,$B$11)=0,OFFSET(O143,-$B$11,0)+ $E$2*N143+$E$3*OFFSET(N143,-$B$11,0)+ $E$4*OFFSET(N143,-2* $B$11,0), O142)</f>
        <v/>
      </c>
      <c r="P143" s="15">
        <f>INT((2^$J$12-1)*O143/100)/(2^$J$12-1)*100</f>
        <v/>
      </c>
      <c r="Q143" s="15" t="n">
        <v>0</v>
      </c>
      <c r="R143" s="15">
        <f>P143+Q143</f>
        <v/>
      </c>
      <c r="S143" s="15">
        <f>$I$1*S142-$I$2*S141+$I$3*R122+$I$4*R121</f>
        <v/>
      </c>
      <c r="T143" s="15">
        <f>RAND()*$G$12</f>
        <v/>
      </c>
      <c r="U143" s="15">
        <f>S143+T143</f>
        <v/>
      </c>
      <c r="V143" s="15">
        <f>INT((2^$J$12-1)*U143/100)/(2^$J$12-1)*100</f>
        <v/>
      </c>
      <c r="X143" s="15">
        <f>M143 * 1.05</f>
        <v/>
      </c>
      <c r="Y143" s="15">
        <f>M143 * 0.95</f>
        <v/>
      </c>
      <c r="Z143" s="15">
        <f>IF(AND(V143 &lt;= X143, V143 &gt;= Y143), 1, 0)</f>
        <v/>
      </c>
    </row>
    <row r="144">
      <c r="L144" s="15" t="n">
        <v>142</v>
      </c>
      <c r="M144" s="15">
        <f>IF(L144&lt;$D$16,$D$13,IF(L144&lt;$E$16,$E$13,$F$13))</f>
        <v/>
      </c>
      <c r="N144" s="15">
        <f>M144-V144</f>
        <v/>
      </c>
      <c r="O144" s="15">
        <f>IF(MOD(L144,$B$11)=0,OFFSET(O144,-$B$11,0)+ $E$2*N144+$E$3*OFFSET(N144,-$B$11,0)+ $E$4*OFFSET(N144,-2* $B$11,0), O143)</f>
        <v/>
      </c>
      <c r="P144" s="15">
        <f>INT((2^$J$12-1)*O144/100)/(2^$J$12-1)*100</f>
        <v/>
      </c>
      <c r="Q144" s="15" t="n">
        <v>0</v>
      </c>
      <c r="R144" s="15">
        <f>P144+Q144</f>
        <v/>
      </c>
      <c r="S144" s="15">
        <f>$I$1*S143-$I$2*S142+$I$3*R123+$I$4*R122</f>
        <v/>
      </c>
      <c r="T144" s="15">
        <f>RAND()*$G$12</f>
        <v/>
      </c>
      <c r="U144" s="15">
        <f>S144+T144</f>
        <v/>
      </c>
      <c r="V144" s="15">
        <f>INT((2^$J$12-1)*U144/100)/(2^$J$12-1)*100</f>
        <v/>
      </c>
      <c r="X144" s="15">
        <f>M144 * 1.05</f>
        <v/>
      </c>
      <c r="Y144" s="15">
        <f>M144 * 0.95</f>
        <v/>
      </c>
      <c r="Z144" s="15">
        <f>IF(AND(V144 &lt;= X144, V144 &gt;= Y144), 1, 0)</f>
        <v/>
      </c>
    </row>
    <row r="145">
      <c r="L145" s="15" t="n">
        <v>143</v>
      </c>
      <c r="M145" s="15">
        <f>IF(L145&lt;$D$16,$D$13,IF(L145&lt;$E$16,$E$13,$F$13))</f>
        <v/>
      </c>
      <c r="N145" s="15">
        <f>M145-V145</f>
        <v/>
      </c>
      <c r="O145" s="15">
        <f>IF(MOD(L145,$B$11)=0,OFFSET(O145,-$B$11,0)+ $E$2*N145+$E$3*OFFSET(N145,-$B$11,0)+ $E$4*OFFSET(N145,-2* $B$11,0), O144)</f>
        <v/>
      </c>
      <c r="P145" s="15">
        <f>INT((2^$J$12-1)*O145/100)/(2^$J$12-1)*100</f>
        <v/>
      </c>
      <c r="Q145" s="15" t="n">
        <v>0</v>
      </c>
      <c r="R145" s="15">
        <f>P145+Q145</f>
        <v/>
      </c>
      <c r="S145" s="15">
        <f>$I$1*S144-$I$2*S143+$I$3*R124+$I$4*R123</f>
        <v/>
      </c>
      <c r="T145" s="15">
        <f>RAND()*$G$12</f>
        <v/>
      </c>
      <c r="U145" s="15">
        <f>S145+T145</f>
        <v/>
      </c>
      <c r="V145" s="15">
        <f>INT((2^$J$12-1)*U145/100)/(2^$J$12-1)*100</f>
        <v/>
      </c>
      <c r="X145" s="15">
        <f>M145 * 1.05</f>
        <v/>
      </c>
      <c r="Y145" s="15">
        <f>M145 * 0.95</f>
        <v/>
      </c>
      <c r="Z145" s="15">
        <f>IF(AND(V145 &lt;= X145, V145 &gt;= Y145), 1, 0)</f>
        <v/>
      </c>
    </row>
    <row r="146">
      <c r="L146" s="15" t="n">
        <v>144</v>
      </c>
      <c r="M146" s="15">
        <f>IF(L146&lt;$D$16,$D$13,IF(L146&lt;$E$16,$E$13,$F$13))</f>
        <v/>
      </c>
      <c r="N146" s="15">
        <f>M146-V146</f>
        <v/>
      </c>
      <c r="O146" s="15">
        <f>IF(MOD(L146,$B$11)=0,OFFSET(O146,-$B$11,0)+ $E$2*N146+$E$3*OFFSET(N146,-$B$11,0)+ $E$4*OFFSET(N146,-2* $B$11,0), O145)</f>
        <v/>
      </c>
      <c r="P146" s="15">
        <f>INT((2^$J$12-1)*O146/100)/(2^$J$12-1)*100</f>
        <v/>
      </c>
      <c r="Q146" s="15" t="n">
        <v>0</v>
      </c>
      <c r="R146" s="15">
        <f>P146+Q146</f>
        <v/>
      </c>
      <c r="S146" s="15">
        <f>$I$1*S145-$I$2*S144+$I$3*R125+$I$4*R124</f>
        <v/>
      </c>
      <c r="T146" s="15">
        <f>RAND()*$G$12</f>
        <v/>
      </c>
      <c r="U146" s="15">
        <f>S146+T146</f>
        <v/>
      </c>
      <c r="V146" s="15">
        <f>INT((2^$J$12-1)*U146/100)/(2^$J$12-1)*100</f>
        <v/>
      </c>
      <c r="X146" s="15">
        <f>M146 * 1.05</f>
        <v/>
      </c>
      <c r="Y146" s="15">
        <f>M146 * 0.95</f>
        <v/>
      </c>
      <c r="Z146" s="15">
        <f>IF(AND(V146 &lt;= X146, V146 &gt;= Y146), 1, 0)</f>
        <v/>
      </c>
    </row>
    <row r="147">
      <c r="L147" s="15" t="n">
        <v>145</v>
      </c>
      <c r="M147" s="15">
        <f>IF(L147&lt;$D$16,$D$13,IF(L147&lt;$E$16,$E$13,$F$13))</f>
        <v/>
      </c>
      <c r="N147" s="15">
        <f>M147-V147</f>
        <v/>
      </c>
      <c r="O147" s="15">
        <f>IF(MOD(L147,$B$11)=0,OFFSET(O147,-$B$11,0)+ $E$2*N147+$E$3*OFFSET(N147,-$B$11,0)+ $E$4*OFFSET(N147,-2* $B$11,0), O146)</f>
        <v/>
      </c>
      <c r="P147" s="15">
        <f>INT((2^$J$12-1)*O147/100)/(2^$J$12-1)*100</f>
        <v/>
      </c>
      <c r="Q147" s="15" t="n">
        <v>0</v>
      </c>
      <c r="R147" s="15">
        <f>P147+Q147</f>
        <v/>
      </c>
      <c r="S147" s="15">
        <f>$I$1*S146-$I$2*S145+$I$3*R126+$I$4*R125</f>
        <v/>
      </c>
      <c r="T147" s="15">
        <f>RAND()*$G$12</f>
        <v/>
      </c>
      <c r="U147" s="15">
        <f>S147+T147</f>
        <v/>
      </c>
      <c r="V147" s="15">
        <f>INT((2^$J$12-1)*U147/100)/(2^$J$12-1)*100</f>
        <v/>
      </c>
      <c r="X147" s="15">
        <f>M147 * 1.05</f>
        <v/>
      </c>
      <c r="Y147" s="15">
        <f>M147 * 0.95</f>
        <v/>
      </c>
      <c r="Z147" s="15">
        <f>IF(AND(V147 &lt;= X147, V147 &gt;= Y147), 1, 0)</f>
        <v/>
      </c>
    </row>
    <row r="148">
      <c r="L148" s="15" t="n">
        <v>146</v>
      </c>
      <c r="M148" s="15">
        <f>IF(L148&lt;$D$16,$D$13,IF(L148&lt;$E$16,$E$13,$F$13))</f>
        <v/>
      </c>
      <c r="N148" s="15">
        <f>M148-V148</f>
        <v/>
      </c>
      <c r="O148" s="15">
        <f>IF(MOD(L148,$B$11)=0,OFFSET(O148,-$B$11,0)+ $E$2*N148+$E$3*OFFSET(N148,-$B$11,0)+ $E$4*OFFSET(N148,-2* $B$11,0), O147)</f>
        <v/>
      </c>
      <c r="P148" s="15">
        <f>INT((2^$J$12-1)*O148/100)/(2^$J$12-1)*100</f>
        <v/>
      </c>
      <c r="Q148" s="15" t="n">
        <v>0</v>
      </c>
      <c r="R148" s="15">
        <f>P148+Q148</f>
        <v/>
      </c>
      <c r="S148" s="15">
        <f>$I$1*S147-$I$2*S146+$I$3*R127+$I$4*R126</f>
        <v/>
      </c>
      <c r="T148" s="15">
        <f>RAND()*$G$12</f>
        <v/>
      </c>
      <c r="U148" s="15">
        <f>S148+T148</f>
        <v/>
      </c>
      <c r="V148" s="15">
        <f>INT((2^$J$12-1)*U148/100)/(2^$J$12-1)*100</f>
        <v/>
      </c>
      <c r="X148" s="15">
        <f>M148 * 1.05</f>
        <v/>
      </c>
      <c r="Y148" s="15">
        <f>M148 * 0.95</f>
        <v/>
      </c>
      <c r="Z148" s="15">
        <f>IF(AND(V148 &lt;= X148, V148 &gt;= Y148), 1, 0)</f>
        <v/>
      </c>
    </row>
    <row r="149">
      <c r="L149" s="15" t="n">
        <v>147</v>
      </c>
      <c r="M149" s="15">
        <f>IF(L149&lt;$D$16,$D$13,IF(L149&lt;$E$16,$E$13,$F$13))</f>
        <v/>
      </c>
      <c r="N149" s="15">
        <f>M149-V149</f>
        <v/>
      </c>
      <c r="O149" s="15">
        <f>IF(MOD(L149,$B$11)=0,OFFSET(O149,-$B$11,0)+ $E$2*N149+$E$3*OFFSET(N149,-$B$11,0)+ $E$4*OFFSET(N149,-2* $B$11,0), O148)</f>
        <v/>
      </c>
      <c r="P149" s="15">
        <f>INT((2^$J$12-1)*O149/100)/(2^$J$12-1)*100</f>
        <v/>
      </c>
      <c r="Q149" s="15" t="n">
        <v>0</v>
      </c>
      <c r="R149" s="15">
        <f>P149+Q149</f>
        <v/>
      </c>
      <c r="S149" s="15">
        <f>$I$1*S148-$I$2*S147+$I$3*R128+$I$4*R127</f>
        <v/>
      </c>
      <c r="T149" s="15">
        <f>RAND()*$G$12</f>
        <v/>
      </c>
      <c r="U149" s="15">
        <f>S149+T149</f>
        <v/>
      </c>
      <c r="V149" s="15">
        <f>INT((2^$J$12-1)*U149/100)/(2^$J$12-1)*100</f>
        <v/>
      </c>
      <c r="X149" s="15">
        <f>M149 * 1.05</f>
        <v/>
      </c>
      <c r="Y149" s="15">
        <f>M149 * 0.95</f>
        <v/>
      </c>
      <c r="Z149" s="15">
        <f>IF(AND(V149 &lt;= X149, V149 &gt;= Y149), 1, 0)</f>
        <v/>
      </c>
    </row>
    <row r="150">
      <c r="L150" s="15" t="n">
        <v>148</v>
      </c>
      <c r="M150" s="15">
        <f>IF(L150&lt;$D$16,$D$13,IF(L150&lt;$E$16,$E$13,$F$13))</f>
        <v/>
      </c>
      <c r="N150" s="15">
        <f>M150-V150</f>
        <v/>
      </c>
      <c r="O150" s="15">
        <f>IF(MOD(L150,$B$11)=0,OFFSET(O150,-$B$11,0)+ $E$2*N150+$E$3*OFFSET(N150,-$B$11,0)+ $E$4*OFFSET(N150,-2* $B$11,0), O149)</f>
        <v/>
      </c>
      <c r="P150" s="15">
        <f>INT((2^$J$12-1)*O150/100)/(2^$J$12-1)*100</f>
        <v/>
      </c>
      <c r="Q150" s="15" t="n">
        <v>0</v>
      </c>
      <c r="R150" s="15">
        <f>P150+Q150</f>
        <v/>
      </c>
      <c r="S150" s="15">
        <f>$I$1*S149-$I$2*S148+$I$3*R129+$I$4*R128</f>
        <v/>
      </c>
      <c r="T150" s="15">
        <f>RAND()*$G$12</f>
        <v/>
      </c>
      <c r="U150" s="15">
        <f>S150+T150</f>
        <v/>
      </c>
      <c r="V150" s="15">
        <f>INT((2^$J$12-1)*U150/100)/(2^$J$12-1)*100</f>
        <v/>
      </c>
      <c r="X150" s="15">
        <f>M150 * 1.05</f>
        <v/>
      </c>
      <c r="Y150" s="15">
        <f>M150 * 0.95</f>
        <v/>
      </c>
      <c r="Z150" s="15">
        <f>IF(AND(V150 &lt;= X150, V150 &gt;= Y150), 1, 0)</f>
        <v/>
      </c>
    </row>
    <row r="151">
      <c r="L151" s="15" t="n">
        <v>149</v>
      </c>
      <c r="M151" s="15">
        <f>IF(L151&lt;$D$16,$D$13,IF(L151&lt;$E$16,$E$13,$F$13))</f>
        <v/>
      </c>
      <c r="N151" s="15">
        <f>M151-V151</f>
        <v/>
      </c>
      <c r="O151" s="15">
        <f>IF(MOD(L151,$B$11)=0,OFFSET(O151,-$B$11,0)+ $E$2*N151+$E$3*OFFSET(N151,-$B$11,0)+ $E$4*OFFSET(N151,-2* $B$11,0), O150)</f>
        <v/>
      </c>
      <c r="P151" s="15">
        <f>INT((2^$J$12-1)*O151/100)/(2^$J$12-1)*100</f>
        <v/>
      </c>
      <c r="Q151" s="15" t="n">
        <v>0</v>
      </c>
      <c r="R151" s="15">
        <f>P151+Q151</f>
        <v/>
      </c>
      <c r="S151" s="15">
        <f>$I$1*S150-$I$2*S149+$I$3*R130+$I$4*R129</f>
        <v/>
      </c>
      <c r="T151" s="15">
        <f>RAND()*$G$12</f>
        <v/>
      </c>
      <c r="U151" s="15">
        <f>S151+T151</f>
        <v/>
      </c>
      <c r="V151" s="15">
        <f>INT((2^$J$12-1)*U151/100)/(2^$J$12-1)*100</f>
        <v/>
      </c>
      <c r="X151" s="15">
        <f>M151 * 1.05</f>
        <v/>
      </c>
      <c r="Y151" s="15">
        <f>M151 * 0.95</f>
        <v/>
      </c>
      <c r="Z151" s="15">
        <f>IF(AND(V151 &lt;= X151, V151 &gt;= Y151), 1, 0)</f>
        <v/>
      </c>
    </row>
    <row r="152">
      <c r="L152" s="15" t="n">
        <v>150</v>
      </c>
      <c r="M152" s="15">
        <f>IF(L152&lt;$D$16,$D$13,IF(L152&lt;$E$16,$E$13,$F$13))</f>
        <v/>
      </c>
      <c r="N152" s="15">
        <f>M152-V152</f>
        <v/>
      </c>
      <c r="O152" s="15">
        <f>IF(MOD(L152,$B$11)=0,OFFSET(O152,-$B$11,0)+ $E$2*N152+$E$3*OFFSET(N152,-$B$11,0)+ $E$4*OFFSET(N152,-2* $B$11,0), O151)</f>
        <v/>
      </c>
      <c r="P152" s="15">
        <f>INT((2^$J$12-1)*O152/100)/(2^$J$12-1)*100</f>
        <v/>
      </c>
      <c r="Q152" s="15" t="n">
        <v>0</v>
      </c>
      <c r="R152" s="15">
        <f>P152+Q152</f>
        <v/>
      </c>
      <c r="S152" s="15">
        <f>$I$1*S151-$I$2*S150+$I$3*R131+$I$4*R130</f>
        <v/>
      </c>
      <c r="T152" s="15">
        <f>RAND()*$G$12</f>
        <v/>
      </c>
      <c r="U152" s="15">
        <f>S152+T152</f>
        <v/>
      </c>
      <c r="V152" s="15">
        <f>INT((2^$J$12-1)*U152/100)/(2^$J$12-1)*100</f>
        <v/>
      </c>
      <c r="X152" s="15">
        <f>M152 * 1.05</f>
        <v/>
      </c>
      <c r="Y152" s="15">
        <f>M152 * 0.95</f>
        <v/>
      </c>
      <c r="Z152" s="15">
        <f>IF(AND(V152 &lt;= X152, V152 &gt;= Y152), 1, 0)</f>
        <v/>
      </c>
    </row>
    <row r="153">
      <c r="L153" s="15" t="n">
        <v>151</v>
      </c>
      <c r="M153" s="15">
        <f>IF(L153&lt;$D$16,$D$13,IF(L153&lt;$E$16,$E$13,$F$13))</f>
        <v/>
      </c>
      <c r="N153" s="15">
        <f>M153-V153</f>
        <v/>
      </c>
      <c r="O153" s="15">
        <f>IF(MOD(L153,$B$11)=0,OFFSET(O153,-$B$11,0)+ $E$2*N153+$E$3*OFFSET(N153,-$B$11,0)+ $E$4*OFFSET(N153,-2* $B$11,0), O152)</f>
        <v/>
      </c>
      <c r="P153" s="15">
        <f>INT((2^$J$12-1)*O153/100)/(2^$J$12-1)*100</f>
        <v/>
      </c>
      <c r="Q153" s="15" t="n">
        <v>0</v>
      </c>
      <c r="R153" s="15">
        <f>P153+Q153</f>
        <v/>
      </c>
      <c r="S153" s="15">
        <f>$I$1*S152-$I$2*S151+$I$3*R132+$I$4*R131</f>
        <v/>
      </c>
      <c r="T153" s="15">
        <f>RAND()*$G$12</f>
        <v/>
      </c>
      <c r="U153" s="15">
        <f>S153+T153</f>
        <v/>
      </c>
      <c r="V153" s="15">
        <f>INT((2^$J$12-1)*U153/100)/(2^$J$12-1)*100</f>
        <v/>
      </c>
      <c r="X153" s="15">
        <f>M153 * 1.05</f>
        <v/>
      </c>
      <c r="Y153" s="15">
        <f>M153 * 0.95</f>
        <v/>
      </c>
      <c r="Z153" s="15">
        <f>IF(AND(V153 &lt;= X153, V153 &gt;= Y153), 1, 0)</f>
        <v/>
      </c>
    </row>
    <row r="154">
      <c r="L154" s="15" t="n">
        <v>152</v>
      </c>
      <c r="M154" s="15">
        <f>IF(L154&lt;$D$16,$D$13,IF(L154&lt;$E$16,$E$13,$F$13))</f>
        <v/>
      </c>
      <c r="N154" s="15">
        <f>M154-V154</f>
        <v/>
      </c>
      <c r="O154" s="15">
        <f>IF(MOD(L154,$B$11)=0,OFFSET(O154,-$B$11,0)+ $E$2*N154+$E$3*OFFSET(N154,-$B$11,0)+ $E$4*OFFSET(N154,-2* $B$11,0), O153)</f>
        <v/>
      </c>
      <c r="P154" s="15">
        <f>INT((2^$J$12-1)*O154/100)/(2^$J$12-1)*100</f>
        <v/>
      </c>
      <c r="Q154" s="15" t="n">
        <v>0</v>
      </c>
      <c r="R154" s="15">
        <f>P154+Q154</f>
        <v/>
      </c>
      <c r="S154" s="15">
        <f>$I$1*S153-$I$2*S152+$I$3*R133+$I$4*R132</f>
        <v/>
      </c>
      <c r="T154" s="15">
        <f>RAND()*$G$12</f>
        <v/>
      </c>
      <c r="U154" s="15">
        <f>S154+T154</f>
        <v/>
      </c>
      <c r="V154" s="15">
        <f>INT((2^$J$12-1)*U154/100)/(2^$J$12-1)*100</f>
        <v/>
      </c>
      <c r="X154" s="15">
        <f>M154 * 1.05</f>
        <v/>
      </c>
      <c r="Y154" s="15">
        <f>M154 * 0.95</f>
        <v/>
      </c>
      <c r="Z154" s="15">
        <f>IF(AND(V154 &lt;= X154, V154 &gt;= Y154), 1, 0)</f>
        <v/>
      </c>
    </row>
    <row r="155">
      <c r="L155" s="15" t="n">
        <v>153</v>
      </c>
      <c r="M155" s="15">
        <f>IF(L155&lt;$D$16,$D$13,IF(L155&lt;$E$16,$E$13,$F$13))</f>
        <v/>
      </c>
      <c r="N155" s="15">
        <f>M155-V155</f>
        <v/>
      </c>
      <c r="O155" s="15">
        <f>IF(MOD(L155,$B$11)=0,OFFSET(O155,-$B$11,0)+ $E$2*N155+$E$3*OFFSET(N155,-$B$11,0)+ $E$4*OFFSET(N155,-2* $B$11,0), O154)</f>
        <v/>
      </c>
      <c r="P155" s="15">
        <f>INT((2^$J$12-1)*O155/100)/(2^$J$12-1)*100</f>
        <v/>
      </c>
      <c r="Q155" s="15" t="n">
        <v>0</v>
      </c>
      <c r="R155" s="15">
        <f>P155+Q155</f>
        <v/>
      </c>
      <c r="S155" s="15">
        <f>$I$1*S154-$I$2*S153+$I$3*R134+$I$4*R133</f>
        <v/>
      </c>
      <c r="T155" s="15">
        <f>RAND()*$G$12</f>
        <v/>
      </c>
      <c r="U155" s="15">
        <f>S155+T155</f>
        <v/>
      </c>
      <c r="V155" s="15">
        <f>INT((2^$J$12-1)*U155/100)/(2^$J$12-1)*100</f>
        <v/>
      </c>
      <c r="X155" s="15">
        <f>M155 * 1.05</f>
        <v/>
      </c>
      <c r="Y155" s="15">
        <f>M155 * 0.95</f>
        <v/>
      </c>
      <c r="Z155" s="15">
        <f>IF(AND(V155 &lt;= X155, V155 &gt;= Y155), 1, 0)</f>
        <v/>
      </c>
    </row>
    <row r="156">
      <c r="L156" s="15" t="n">
        <v>154</v>
      </c>
      <c r="M156" s="15">
        <f>IF(L156&lt;$D$16,$D$13,IF(L156&lt;$E$16,$E$13,$F$13))</f>
        <v/>
      </c>
      <c r="N156" s="15">
        <f>M156-V156</f>
        <v/>
      </c>
      <c r="O156" s="15">
        <f>IF(MOD(L156,$B$11)=0,OFFSET(O156,-$B$11,0)+ $E$2*N156+$E$3*OFFSET(N156,-$B$11,0)+ $E$4*OFFSET(N156,-2* $B$11,0), O155)</f>
        <v/>
      </c>
      <c r="P156" s="15">
        <f>INT((2^$J$12-1)*O156/100)/(2^$J$12-1)*100</f>
        <v/>
      </c>
      <c r="Q156" s="15" t="n">
        <v>0</v>
      </c>
      <c r="R156" s="15">
        <f>P156+Q156</f>
        <v/>
      </c>
      <c r="S156" s="15">
        <f>$I$1*S155-$I$2*S154+$I$3*R135+$I$4*R134</f>
        <v/>
      </c>
      <c r="T156" s="15">
        <f>RAND()*$G$12</f>
        <v/>
      </c>
      <c r="U156" s="15">
        <f>S156+T156</f>
        <v/>
      </c>
      <c r="V156" s="15">
        <f>INT((2^$J$12-1)*U156/100)/(2^$J$12-1)*100</f>
        <v/>
      </c>
      <c r="X156" s="15">
        <f>M156 * 1.05</f>
        <v/>
      </c>
      <c r="Y156" s="15">
        <f>M156 * 0.95</f>
        <v/>
      </c>
      <c r="Z156" s="15">
        <f>IF(AND(V156 &lt;= X156, V156 &gt;= Y156), 1, 0)</f>
        <v/>
      </c>
    </row>
    <row r="157">
      <c r="L157" s="15" t="n">
        <v>155</v>
      </c>
      <c r="M157" s="15">
        <f>IF(L157&lt;$D$16,$D$13,IF(L157&lt;$E$16,$E$13,$F$13))</f>
        <v/>
      </c>
      <c r="N157" s="15">
        <f>M157-V157</f>
        <v/>
      </c>
      <c r="O157" s="15">
        <f>IF(MOD(L157,$B$11)=0,OFFSET(O157,-$B$11,0)+ $E$2*N157+$E$3*OFFSET(N157,-$B$11,0)+ $E$4*OFFSET(N157,-2* $B$11,0), O156)</f>
        <v/>
      </c>
      <c r="P157" s="15">
        <f>INT((2^$J$12-1)*O157/100)/(2^$J$12-1)*100</f>
        <v/>
      </c>
      <c r="Q157" s="15" t="n">
        <v>0</v>
      </c>
      <c r="R157" s="15">
        <f>P157+Q157</f>
        <v/>
      </c>
      <c r="S157" s="15">
        <f>$I$1*S156-$I$2*S155+$I$3*R136+$I$4*R135</f>
        <v/>
      </c>
      <c r="T157" s="15">
        <f>RAND()*$G$12</f>
        <v/>
      </c>
      <c r="U157" s="15">
        <f>S157+T157</f>
        <v/>
      </c>
      <c r="V157" s="15">
        <f>INT((2^$J$12-1)*U157/100)/(2^$J$12-1)*100</f>
        <v/>
      </c>
      <c r="X157" s="15">
        <f>M157 * 1.05</f>
        <v/>
      </c>
      <c r="Y157" s="15">
        <f>M157 * 0.95</f>
        <v/>
      </c>
      <c r="Z157" s="15">
        <f>IF(AND(V157 &lt;= X157, V157 &gt;= Y157), 1, 0)</f>
        <v/>
      </c>
    </row>
    <row r="158">
      <c r="L158" s="15" t="n">
        <v>156</v>
      </c>
      <c r="M158" s="15">
        <f>IF(L158&lt;$D$16,$D$13,IF(L158&lt;$E$16,$E$13,$F$13))</f>
        <v/>
      </c>
      <c r="N158" s="15">
        <f>M158-V158</f>
        <v/>
      </c>
      <c r="O158" s="15">
        <f>IF(MOD(L158,$B$11)=0,OFFSET(O158,-$B$11,0)+ $E$2*N158+$E$3*OFFSET(N158,-$B$11,0)+ $E$4*OFFSET(N158,-2* $B$11,0), O157)</f>
        <v/>
      </c>
      <c r="P158" s="15">
        <f>INT((2^$J$12-1)*O158/100)/(2^$J$12-1)*100</f>
        <v/>
      </c>
      <c r="Q158" s="15" t="n">
        <v>0</v>
      </c>
      <c r="R158" s="15">
        <f>P158+Q158</f>
        <v/>
      </c>
      <c r="S158" s="15">
        <f>$I$1*S157-$I$2*S156+$I$3*R137+$I$4*R136</f>
        <v/>
      </c>
      <c r="T158" s="15">
        <f>RAND()*$G$12</f>
        <v/>
      </c>
      <c r="U158" s="15">
        <f>S158+T158</f>
        <v/>
      </c>
      <c r="V158" s="15">
        <f>INT((2^$J$12-1)*U158/100)/(2^$J$12-1)*100</f>
        <v/>
      </c>
      <c r="X158" s="15">
        <f>M158 * 1.05</f>
        <v/>
      </c>
      <c r="Y158" s="15">
        <f>M158 * 0.95</f>
        <v/>
      </c>
      <c r="Z158" s="15">
        <f>IF(AND(V158 &lt;= X158, V158 &gt;= Y158), 1, 0)</f>
        <v/>
      </c>
    </row>
    <row r="159">
      <c r="L159" s="15" t="n">
        <v>157</v>
      </c>
      <c r="M159" s="15">
        <f>IF(L159&lt;$D$16,$D$13,IF(L159&lt;$E$16,$E$13,$F$13))</f>
        <v/>
      </c>
      <c r="N159" s="15">
        <f>M159-V159</f>
        <v/>
      </c>
      <c r="O159" s="15">
        <f>IF(MOD(L159,$B$11)=0,OFFSET(O159,-$B$11,0)+ $E$2*N159+$E$3*OFFSET(N159,-$B$11,0)+ $E$4*OFFSET(N159,-2* $B$11,0), O158)</f>
        <v/>
      </c>
      <c r="P159" s="15">
        <f>INT((2^$J$12-1)*O159/100)/(2^$J$12-1)*100</f>
        <v/>
      </c>
      <c r="Q159" s="15" t="n">
        <v>0</v>
      </c>
      <c r="R159" s="15">
        <f>P159+Q159</f>
        <v/>
      </c>
      <c r="S159" s="15">
        <f>$I$1*S158-$I$2*S157+$I$3*R138+$I$4*R137</f>
        <v/>
      </c>
      <c r="T159" s="15">
        <f>RAND()*$G$12</f>
        <v/>
      </c>
      <c r="U159" s="15">
        <f>S159+T159</f>
        <v/>
      </c>
      <c r="V159" s="15">
        <f>INT((2^$J$12-1)*U159/100)/(2^$J$12-1)*100</f>
        <v/>
      </c>
      <c r="X159" s="15">
        <f>M159 * 1.05</f>
        <v/>
      </c>
      <c r="Y159" s="15">
        <f>M159 * 0.95</f>
        <v/>
      </c>
      <c r="Z159" s="15">
        <f>IF(AND(V159 &lt;= X159, V159 &gt;= Y159), 1, 0)</f>
        <v/>
      </c>
    </row>
    <row r="160">
      <c r="L160" s="15" t="n">
        <v>158</v>
      </c>
      <c r="M160" s="15">
        <f>IF(L160&lt;$D$16,$D$13,IF(L160&lt;$E$16,$E$13,$F$13))</f>
        <v/>
      </c>
      <c r="N160" s="15">
        <f>M160-V160</f>
        <v/>
      </c>
      <c r="O160" s="15">
        <f>IF(MOD(L160,$B$11)=0,OFFSET(O160,-$B$11,0)+ $E$2*N160+$E$3*OFFSET(N160,-$B$11,0)+ $E$4*OFFSET(N160,-2* $B$11,0), O159)</f>
        <v/>
      </c>
      <c r="P160" s="15">
        <f>INT((2^$J$12-1)*O160/100)/(2^$J$12-1)*100</f>
        <v/>
      </c>
      <c r="Q160" s="15" t="n">
        <v>0</v>
      </c>
      <c r="R160" s="15">
        <f>P160+Q160</f>
        <v/>
      </c>
      <c r="S160" s="15">
        <f>$I$1*S159-$I$2*S158+$I$3*R139+$I$4*R138</f>
        <v/>
      </c>
      <c r="T160" s="15">
        <f>RAND()*$G$12</f>
        <v/>
      </c>
      <c r="U160" s="15">
        <f>S160+T160</f>
        <v/>
      </c>
      <c r="V160" s="15">
        <f>INT((2^$J$12-1)*U160/100)/(2^$J$12-1)*100</f>
        <v/>
      </c>
      <c r="X160" s="15">
        <f>M160 * 1.05</f>
        <v/>
      </c>
      <c r="Y160" s="15">
        <f>M160 * 0.95</f>
        <v/>
      </c>
      <c r="Z160" s="15">
        <f>IF(AND(V160 &lt;= X160, V160 &gt;= Y160), 1, 0)</f>
        <v/>
      </c>
    </row>
    <row r="161">
      <c r="L161" s="15" t="n">
        <v>159</v>
      </c>
      <c r="M161" s="15">
        <f>IF(L161&lt;$D$16,$D$13,IF(L161&lt;$E$16,$E$13,$F$13))</f>
        <v/>
      </c>
      <c r="N161" s="15">
        <f>M161-V161</f>
        <v/>
      </c>
      <c r="O161" s="15">
        <f>IF(MOD(L161,$B$11)=0,OFFSET(O161,-$B$11,0)+ $E$2*N161+$E$3*OFFSET(N161,-$B$11,0)+ $E$4*OFFSET(N161,-2* $B$11,0), O160)</f>
        <v/>
      </c>
      <c r="P161" s="15">
        <f>INT((2^$J$12-1)*O161/100)/(2^$J$12-1)*100</f>
        <v/>
      </c>
      <c r="Q161" s="15" t="n">
        <v>0</v>
      </c>
      <c r="R161" s="15">
        <f>P161+Q161</f>
        <v/>
      </c>
      <c r="S161" s="15">
        <f>$I$1*S160-$I$2*S159+$I$3*R140+$I$4*R139</f>
        <v/>
      </c>
      <c r="T161" s="15">
        <f>RAND()*$G$12</f>
        <v/>
      </c>
      <c r="U161" s="15">
        <f>S161+T161</f>
        <v/>
      </c>
      <c r="V161" s="15">
        <f>INT((2^$J$12-1)*U161/100)/(2^$J$12-1)*100</f>
        <v/>
      </c>
      <c r="X161" s="15">
        <f>M161 * 1.05</f>
        <v/>
      </c>
      <c r="Y161" s="15">
        <f>M161 * 0.95</f>
        <v/>
      </c>
      <c r="Z161" s="15">
        <f>IF(AND(V161 &lt;= X161, V161 &gt;= Y161), 1, 0)</f>
        <v/>
      </c>
    </row>
    <row r="162">
      <c r="L162" s="15" t="n">
        <v>160</v>
      </c>
      <c r="M162" s="15">
        <f>IF(L162&lt;$D$16,$D$13,IF(L162&lt;$E$16,$E$13,$F$13))</f>
        <v/>
      </c>
      <c r="N162" s="15">
        <f>M162-V162</f>
        <v/>
      </c>
      <c r="O162" s="15">
        <f>IF(MOD(L162,$B$11)=0,OFFSET(O162,-$B$11,0)+ $E$2*N162+$E$3*OFFSET(N162,-$B$11,0)+ $E$4*OFFSET(N162,-2* $B$11,0), O161)</f>
        <v/>
      </c>
      <c r="P162" s="15">
        <f>INT((2^$J$12-1)*O162/100)/(2^$J$12-1)*100</f>
        <v/>
      </c>
      <c r="Q162" s="15" t="n">
        <v>0</v>
      </c>
      <c r="R162" s="15">
        <f>P162+Q162</f>
        <v/>
      </c>
      <c r="S162" s="15">
        <f>$I$1*S161-$I$2*S160+$I$3*R141+$I$4*R140</f>
        <v/>
      </c>
      <c r="T162" s="15">
        <f>RAND()*$G$12</f>
        <v/>
      </c>
      <c r="U162" s="15">
        <f>S162+T162</f>
        <v/>
      </c>
      <c r="V162" s="15">
        <f>INT((2^$J$12-1)*U162/100)/(2^$J$12-1)*100</f>
        <v/>
      </c>
      <c r="X162" s="15">
        <f>M162 * 1.05</f>
        <v/>
      </c>
      <c r="Y162" s="15">
        <f>M162 * 0.95</f>
        <v/>
      </c>
      <c r="Z162" s="15">
        <f>IF(AND(V162 &lt;= X162, V162 &gt;= Y162), 1, 0)</f>
        <v/>
      </c>
    </row>
    <row r="163">
      <c r="L163" s="15" t="n">
        <v>161</v>
      </c>
      <c r="M163" s="15">
        <f>IF(L163&lt;$D$16,$D$13,IF(L163&lt;$E$16,$E$13,$F$13))</f>
        <v/>
      </c>
      <c r="N163" s="15">
        <f>M163-V163</f>
        <v/>
      </c>
      <c r="O163" s="15">
        <f>IF(MOD(L163,$B$11)=0,OFFSET(O163,-$B$11,0)+ $E$2*N163+$E$3*OFFSET(N163,-$B$11,0)+ $E$4*OFFSET(N163,-2* $B$11,0), O162)</f>
        <v/>
      </c>
      <c r="P163" s="15">
        <f>INT((2^$J$12-1)*O163/100)/(2^$J$12-1)*100</f>
        <v/>
      </c>
      <c r="Q163" s="15" t="n">
        <v>0</v>
      </c>
      <c r="R163" s="15">
        <f>P163+Q163</f>
        <v/>
      </c>
      <c r="S163" s="15">
        <f>$I$1*S162-$I$2*S161+$I$3*R142+$I$4*R141</f>
        <v/>
      </c>
      <c r="T163" s="15">
        <f>RAND()*$G$12</f>
        <v/>
      </c>
      <c r="U163" s="15">
        <f>S163+T163</f>
        <v/>
      </c>
      <c r="V163" s="15">
        <f>INT((2^$J$12-1)*U163/100)/(2^$J$12-1)*100</f>
        <v/>
      </c>
      <c r="X163" s="15">
        <f>M163 * 1.05</f>
        <v/>
      </c>
      <c r="Y163" s="15">
        <f>M163 * 0.95</f>
        <v/>
      </c>
      <c r="Z163" s="15">
        <f>IF(AND(V163 &lt;= X163, V163 &gt;= Y163), 1, 0)</f>
        <v/>
      </c>
    </row>
    <row r="164">
      <c r="L164" s="15" t="n">
        <v>162</v>
      </c>
      <c r="M164" s="15">
        <f>IF(L164&lt;$D$16,$D$13,IF(L164&lt;$E$16,$E$13,$F$13))</f>
        <v/>
      </c>
      <c r="N164" s="15">
        <f>M164-V164</f>
        <v/>
      </c>
      <c r="O164" s="15">
        <f>IF(MOD(L164,$B$11)=0,OFFSET(O164,-$B$11,0)+ $E$2*N164+$E$3*OFFSET(N164,-$B$11,0)+ $E$4*OFFSET(N164,-2* $B$11,0), O163)</f>
        <v/>
      </c>
      <c r="P164" s="15">
        <f>INT((2^$J$12-1)*O164/100)/(2^$J$12-1)*100</f>
        <v/>
      </c>
      <c r="Q164" s="15" t="n">
        <v>0</v>
      </c>
      <c r="R164" s="15">
        <f>P164+Q164</f>
        <v/>
      </c>
      <c r="S164" s="15">
        <f>$I$1*S163-$I$2*S162+$I$3*R143+$I$4*R142</f>
        <v/>
      </c>
      <c r="T164" s="15">
        <f>RAND()*$G$12</f>
        <v/>
      </c>
      <c r="U164" s="15">
        <f>S164+T164</f>
        <v/>
      </c>
      <c r="V164" s="15">
        <f>INT((2^$J$12-1)*U164/100)/(2^$J$12-1)*100</f>
        <v/>
      </c>
      <c r="X164" s="15">
        <f>M164 * 1.05</f>
        <v/>
      </c>
      <c r="Y164" s="15">
        <f>M164 * 0.95</f>
        <v/>
      </c>
      <c r="Z164" s="15">
        <f>IF(AND(V164 &lt;= X164, V164 &gt;= Y164), 1, 0)</f>
        <v/>
      </c>
    </row>
    <row r="165">
      <c r="L165" s="15" t="n">
        <v>163</v>
      </c>
      <c r="M165" s="15">
        <f>IF(L165&lt;$D$16,$D$13,IF(L165&lt;$E$16,$E$13,$F$13))</f>
        <v/>
      </c>
      <c r="N165" s="15">
        <f>M165-V165</f>
        <v/>
      </c>
      <c r="O165" s="15">
        <f>IF(MOD(L165,$B$11)=0,OFFSET(O165,-$B$11,0)+ $E$2*N165+$E$3*OFFSET(N165,-$B$11,0)+ $E$4*OFFSET(N165,-2* $B$11,0), O164)</f>
        <v/>
      </c>
      <c r="P165" s="15">
        <f>INT((2^$J$12-1)*O165/100)/(2^$J$12-1)*100</f>
        <v/>
      </c>
      <c r="Q165" s="15" t="n">
        <v>0</v>
      </c>
      <c r="R165" s="15">
        <f>P165+Q165</f>
        <v/>
      </c>
      <c r="S165" s="15">
        <f>$I$1*S164-$I$2*S163+$I$3*R144+$I$4*R143</f>
        <v/>
      </c>
      <c r="T165" s="15">
        <f>RAND()*$G$12</f>
        <v/>
      </c>
      <c r="U165" s="15">
        <f>S165+T165</f>
        <v/>
      </c>
      <c r="V165" s="15">
        <f>INT((2^$J$12-1)*U165/100)/(2^$J$12-1)*100</f>
        <v/>
      </c>
      <c r="X165" s="15">
        <f>M165 * 1.05</f>
        <v/>
      </c>
      <c r="Y165" s="15">
        <f>M165 * 0.95</f>
        <v/>
      </c>
      <c r="Z165" s="15">
        <f>IF(AND(V165 &lt;= X165, V165 &gt;= Y165), 1, 0)</f>
        <v/>
      </c>
    </row>
    <row r="166">
      <c r="L166" s="15" t="n">
        <v>164</v>
      </c>
      <c r="M166" s="15">
        <f>IF(L166&lt;$D$16,$D$13,IF(L166&lt;$E$16,$E$13,$F$13))</f>
        <v/>
      </c>
      <c r="N166" s="15">
        <f>M166-V166</f>
        <v/>
      </c>
      <c r="O166" s="15">
        <f>IF(MOD(L166,$B$11)=0,OFFSET(O166,-$B$11,0)+ $E$2*N166+$E$3*OFFSET(N166,-$B$11,0)+ $E$4*OFFSET(N166,-2* $B$11,0), O165)</f>
        <v/>
      </c>
      <c r="P166" s="15">
        <f>INT((2^$J$12-1)*O166/100)/(2^$J$12-1)*100</f>
        <v/>
      </c>
      <c r="Q166" s="15" t="n">
        <v>0</v>
      </c>
      <c r="R166" s="15">
        <f>P166+Q166</f>
        <v/>
      </c>
      <c r="S166" s="15">
        <f>$I$1*S165-$I$2*S164+$I$3*R145+$I$4*R144</f>
        <v/>
      </c>
      <c r="T166" s="15">
        <f>RAND()*$G$12</f>
        <v/>
      </c>
      <c r="U166" s="15">
        <f>S166+T166</f>
        <v/>
      </c>
      <c r="V166" s="15">
        <f>INT((2^$J$12-1)*U166/100)/(2^$J$12-1)*100</f>
        <v/>
      </c>
      <c r="X166" s="15">
        <f>M166 * 1.05</f>
        <v/>
      </c>
      <c r="Y166" s="15">
        <f>M166 * 0.95</f>
        <v/>
      </c>
      <c r="Z166" s="15">
        <f>IF(AND(V166 &lt;= X166, V166 &gt;= Y166), 1, 0)</f>
        <v/>
      </c>
    </row>
    <row r="167">
      <c r="L167" s="15" t="n">
        <v>165</v>
      </c>
      <c r="M167" s="15">
        <f>IF(L167&lt;$D$16,$D$13,IF(L167&lt;$E$16,$E$13,$F$13))</f>
        <v/>
      </c>
      <c r="N167" s="15">
        <f>M167-V167</f>
        <v/>
      </c>
      <c r="O167" s="15">
        <f>IF(MOD(L167,$B$11)=0,OFFSET(O167,-$B$11,0)+ $E$2*N167+$E$3*OFFSET(N167,-$B$11,0)+ $E$4*OFFSET(N167,-2* $B$11,0), O166)</f>
        <v/>
      </c>
      <c r="P167" s="15">
        <f>INT((2^$J$12-1)*O167/100)/(2^$J$12-1)*100</f>
        <v/>
      </c>
      <c r="Q167" s="15" t="n">
        <v>0</v>
      </c>
      <c r="R167" s="15">
        <f>P167+Q167</f>
        <v/>
      </c>
      <c r="S167" s="15">
        <f>$I$1*S166-$I$2*S165+$I$3*R146+$I$4*R145</f>
        <v/>
      </c>
      <c r="T167" s="15">
        <f>RAND()*$G$12</f>
        <v/>
      </c>
      <c r="U167" s="15">
        <f>S167+T167</f>
        <v/>
      </c>
      <c r="V167" s="15">
        <f>INT((2^$J$12-1)*U167/100)/(2^$J$12-1)*100</f>
        <v/>
      </c>
      <c r="X167" s="15">
        <f>M167 * 1.05</f>
        <v/>
      </c>
      <c r="Y167" s="15">
        <f>M167 * 0.95</f>
        <v/>
      </c>
      <c r="Z167" s="15">
        <f>IF(AND(V167 &lt;= X167, V167 &gt;= Y167), 1, 0)</f>
        <v/>
      </c>
    </row>
    <row r="168">
      <c r="L168" s="15" t="n">
        <v>166</v>
      </c>
      <c r="M168" s="15">
        <f>IF(L168&lt;$D$16,$D$13,IF(L168&lt;$E$16,$E$13,$F$13))</f>
        <v/>
      </c>
      <c r="N168" s="15">
        <f>M168-V168</f>
        <v/>
      </c>
      <c r="O168" s="15">
        <f>IF(MOD(L168,$B$11)=0,OFFSET(O168,-$B$11,0)+ $E$2*N168+$E$3*OFFSET(N168,-$B$11,0)+ $E$4*OFFSET(N168,-2* $B$11,0), O167)</f>
        <v/>
      </c>
      <c r="P168" s="15">
        <f>INT((2^$J$12-1)*O168/100)/(2^$J$12-1)*100</f>
        <v/>
      </c>
      <c r="Q168" s="15" t="n">
        <v>0</v>
      </c>
      <c r="R168" s="15">
        <f>P168+Q168</f>
        <v/>
      </c>
      <c r="S168" s="15">
        <f>$I$1*S167-$I$2*S166+$I$3*R147+$I$4*R146</f>
        <v/>
      </c>
      <c r="T168" s="15">
        <f>RAND()*$G$12</f>
        <v/>
      </c>
      <c r="U168" s="15">
        <f>S168+T168</f>
        <v/>
      </c>
      <c r="V168" s="15">
        <f>INT((2^$J$12-1)*U168/100)/(2^$J$12-1)*100</f>
        <v/>
      </c>
      <c r="X168" s="15">
        <f>M168 * 1.05</f>
        <v/>
      </c>
      <c r="Y168" s="15">
        <f>M168 * 0.95</f>
        <v/>
      </c>
      <c r="Z168" s="15">
        <f>IF(AND(V168 &lt;= X168, V168 &gt;= Y168), 1, 0)</f>
        <v/>
      </c>
    </row>
    <row r="169">
      <c r="L169" s="15" t="n">
        <v>167</v>
      </c>
      <c r="M169" s="15">
        <f>IF(L169&lt;$D$16,$D$13,IF(L169&lt;$E$16,$E$13,$F$13))</f>
        <v/>
      </c>
      <c r="N169" s="15">
        <f>M169-V169</f>
        <v/>
      </c>
      <c r="O169" s="15">
        <f>IF(MOD(L169,$B$11)=0,OFFSET(O169,-$B$11,0)+ $E$2*N169+$E$3*OFFSET(N169,-$B$11,0)+ $E$4*OFFSET(N169,-2* $B$11,0), O168)</f>
        <v/>
      </c>
      <c r="P169" s="15">
        <f>INT((2^$J$12-1)*O169/100)/(2^$J$12-1)*100</f>
        <v/>
      </c>
      <c r="Q169" s="15" t="n">
        <v>0</v>
      </c>
      <c r="R169" s="15">
        <f>P169+Q169</f>
        <v/>
      </c>
      <c r="S169" s="15">
        <f>$I$1*S168-$I$2*S167+$I$3*R148+$I$4*R147</f>
        <v/>
      </c>
      <c r="T169" s="15">
        <f>RAND()*$G$12</f>
        <v/>
      </c>
      <c r="U169" s="15">
        <f>S169+T169</f>
        <v/>
      </c>
      <c r="V169" s="15">
        <f>INT((2^$J$12-1)*U169/100)/(2^$J$12-1)*100</f>
        <v/>
      </c>
      <c r="X169" s="15">
        <f>M169 * 1.05</f>
        <v/>
      </c>
      <c r="Y169" s="15">
        <f>M169 * 0.95</f>
        <v/>
      </c>
      <c r="Z169" s="15">
        <f>IF(AND(V169 &lt;= X169, V169 &gt;= Y169), 1, 0)</f>
        <v/>
      </c>
    </row>
    <row r="170">
      <c r="L170" s="15" t="n">
        <v>168</v>
      </c>
      <c r="M170" s="15">
        <f>IF(L170&lt;$D$16,$D$13,IF(L170&lt;$E$16,$E$13,$F$13))</f>
        <v/>
      </c>
      <c r="N170" s="15">
        <f>M170-V170</f>
        <v/>
      </c>
      <c r="O170" s="15">
        <f>IF(MOD(L170,$B$11)=0,OFFSET(O170,-$B$11,0)+ $E$2*N170+$E$3*OFFSET(N170,-$B$11,0)+ $E$4*OFFSET(N170,-2* $B$11,0), O169)</f>
        <v/>
      </c>
      <c r="P170" s="15">
        <f>INT((2^$J$12-1)*O170/100)/(2^$J$12-1)*100</f>
        <v/>
      </c>
      <c r="Q170" s="15" t="n">
        <v>0</v>
      </c>
      <c r="R170" s="15">
        <f>P170+Q170</f>
        <v/>
      </c>
      <c r="S170" s="15">
        <f>$I$1*S169-$I$2*S168+$I$3*R149+$I$4*R148</f>
        <v/>
      </c>
      <c r="T170" s="15">
        <f>RAND()*$G$12</f>
        <v/>
      </c>
      <c r="U170" s="15">
        <f>S170+T170</f>
        <v/>
      </c>
      <c r="V170" s="15">
        <f>INT((2^$J$12-1)*U170/100)/(2^$J$12-1)*100</f>
        <v/>
      </c>
      <c r="X170" s="15">
        <f>M170 * 1.05</f>
        <v/>
      </c>
      <c r="Y170" s="15">
        <f>M170 * 0.95</f>
        <v/>
      </c>
      <c r="Z170" s="15">
        <f>IF(AND(V170 &lt;= X170, V170 &gt;= Y170), 1, 0)</f>
        <v/>
      </c>
    </row>
    <row r="171">
      <c r="L171" s="15" t="n">
        <v>169</v>
      </c>
      <c r="M171" s="15">
        <f>IF(L171&lt;$D$16,$D$13,IF(L171&lt;$E$16,$E$13,$F$13))</f>
        <v/>
      </c>
      <c r="N171" s="15">
        <f>M171-V171</f>
        <v/>
      </c>
      <c r="O171" s="15">
        <f>IF(MOD(L171,$B$11)=0,OFFSET(O171,-$B$11,0)+ $E$2*N171+$E$3*OFFSET(N171,-$B$11,0)+ $E$4*OFFSET(N171,-2* $B$11,0), O170)</f>
        <v/>
      </c>
      <c r="P171" s="15">
        <f>INT((2^$J$12-1)*O171/100)/(2^$J$12-1)*100</f>
        <v/>
      </c>
      <c r="Q171" s="15" t="n">
        <v>0</v>
      </c>
      <c r="R171" s="15">
        <f>P171+Q171</f>
        <v/>
      </c>
      <c r="S171" s="15">
        <f>$I$1*S170-$I$2*S169+$I$3*R150+$I$4*R149</f>
        <v/>
      </c>
      <c r="T171" s="15">
        <f>RAND()*$G$12</f>
        <v/>
      </c>
      <c r="U171" s="15">
        <f>S171+T171</f>
        <v/>
      </c>
      <c r="V171" s="15">
        <f>INT((2^$J$12-1)*U171/100)/(2^$J$12-1)*100</f>
        <v/>
      </c>
      <c r="X171" s="15">
        <f>M171 * 1.05</f>
        <v/>
      </c>
      <c r="Y171" s="15">
        <f>M171 * 0.95</f>
        <v/>
      </c>
      <c r="Z171" s="15">
        <f>IF(AND(V171 &lt;= X171, V171 &gt;= Y171), 1, 0)</f>
        <v/>
      </c>
    </row>
    <row r="172">
      <c r="L172" s="15" t="n">
        <v>170</v>
      </c>
      <c r="M172" s="15">
        <f>IF(L172&lt;$D$16,$D$13,IF(L172&lt;$E$16,$E$13,$F$13))</f>
        <v/>
      </c>
      <c r="N172" s="15">
        <f>M172-V172</f>
        <v/>
      </c>
      <c r="O172" s="15">
        <f>IF(MOD(L172,$B$11)=0,OFFSET(O172,-$B$11,0)+ $E$2*N172+$E$3*OFFSET(N172,-$B$11,0)+ $E$4*OFFSET(N172,-2* $B$11,0), O171)</f>
        <v/>
      </c>
      <c r="P172" s="15">
        <f>INT((2^$J$12-1)*O172/100)/(2^$J$12-1)*100</f>
        <v/>
      </c>
      <c r="Q172" s="15" t="n">
        <v>0</v>
      </c>
      <c r="R172" s="15">
        <f>P172+Q172</f>
        <v/>
      </c>
      <c r="S172" s="15">
        <f>$I$1*S171-$I$2*S170+$I$3*R151+$I$4*R150</f>
        <v/>
      </c>
      <c r="T172" s="15">
        <f>RAND()*$G$12</f>
        <v/>
      </c>
      <c r="U172" s="15">
        <f>S172+T172</f>
        <v/>
      </c>
      <c r="V172" s="15">
        <f>INT((2^$J$12-1)*U172/100)/(2^$J$12-1)*100</f>
        <v/>
      </c>
      <c r="X172" s="15">
        <f>M172 * 1.05</f>
        <v/>
      </c>
      <c r="Y172" s="15">
        <f>M172 * 0.95</f>
        <v/>
      </c>
      <c r="Z172" s="15">
        <f>IF(AND(V172 &lt;= X172, V172 &gt;= Y172), 1, 0)</f>
        <v/>
      </c>
    </row>
    <row r="173">
      <c r="L173" s="15" t="n">
        <v>171</v>
      </c>
      <c r="M173" s="15">
        <f>IF(L173&lt;$D$16,$D$13,IF(L173&lt;$E$16,$E$13,$F$13))</f>
        <v/>
      </c>
      <c r="N173" s="15">
        <f>M173-V173</f>
        <v/>
      </c>
      <c r="O173" s="15">
        <f>IF(MOD(L173,$B$11)=0,OFFSET(O173,-$B$11,0)+ $E$2*N173+$E$3*OFFSET(N173,-$B$11,0)+ $E$4*OFFSET(N173,-2* $B$11,0), O172)</f>
        <v/>
      </c>
      <c r="P173" s="15">
        <f>INT((2^$J$12-1)*O173/100)/(2^$J$12-1)*100</f>
        <v/>
      </c>
      <c r="Q173" s="15" t="n">
        <v>0</v>
      </c>
      <c r="R173" s="15">
        <f>P173+Q173</f>
        <v/>
      </c>
      <c r="S173" s="15">
        <f>$I$1*S172-$I$2*S171+$I$3*R152+$I$4*R151</f>
        <v/>
      </c>
      <c r="T173" s="15">
        <f>RAND()*$G$12</f>
        <v/>
      </c>
      <c r="U173" s="15">
        <f>S173+T173</f>
        <v/>
      </c>
      <c r="V173" s="15">
        <f>INT((2^$J$12-1)*U173/100)/(2^$J$12-1)*100</f>
        <v/>
      </c>
      <c r="X173" s="15">
        <f>M173 * 1.05</f>
        <v/>
      </c>
      <c r="Y173" s="15">
        <f>M173 * 0.95</f>
        <v/>
      </c>
      <c r="Z173" s="15">
        <f>IF(AND(V173 &lt;= X173, V173 &gt;= Y173), 1, 0)</f>
        <v/>
      </c>
    </row>
    <row r="174">
      <c r="L174" s="15" t="n">
        <v>172</v>
      </c>
      <c r="M174" s="15">
        <f>IF(L174&lt;$D$16,$D$13,IF(L174&lt;$E$16,$E$13,$F$13))</f>
        <v/>
      </c>
      <c r="N174" s="15">
        <f>M174-V174</f>
        <v/>
      </c>
      <c r="O174" s="15">
        <f>IF(MOD(L174,$B$11)=0,OFFSET(O174,-$B$11,0)+ $E$2*N174+$E$3*OFFSET(N174,-$B$11,0)+ $E$4*OFFSET(N174,-2* $B$11,0), O173)</f>
        <v/>
      </c>
      <c r="P174" s="15">
        <f>INT((2^$J$12-1)*O174/100)/(2^$J$12-1)*100</f>
        <v/>
      </c>
      <c r="Q174" s="15" t="n">
        <v>0</v>
      </c>
      <c r="R174" s="15">
        <f>P174+Q174</f>
        <v/>
      </c>
      <c r="S174" s="15">
        <f>$I$1*S173-$I$2*S172+$I$3*R153+$I$4*R152</f>
        <v/>
      </c>
      <c r="T174" s="15">
        <f>RAND()*$G$12</f>
        <v/>
      </c>
      <c r="U174" s="15">
        <f>S174+T174</f>
        <v/>
      </c>
      <c r="V174" s="15">
        <f>INT((2^$J$12-1)*U174/100)/(2^$J$12-1)*100</f>
        <v/>
      </c>
      <c r="X174" s="15">
        <f>M174 * 1.05</f>
        <v/>
      </c>
      <c r="Y174" s="15">
        <f>M174 * 0.95</f>
        <v/>
      </c>
      <c r="Z174" s="15">
        <f>IF(AND(V174 &lt;= X174, V174 &gt;= Y174), 1, 0)</f>
        <v/>
      </c>
    </row>
    <row r="175">
      <c r="L175" s="15" t="n">
        <v>173</v>
      </c>
      <c r="M175" s="15">
        <f>IF(L175&lt;$D$16,$D$13,IF(L175&lt;$E$16,$E$13,$F$13))</f>
        <v/>
      </c>
      <c r="N175" s="15">
        <f>M175-V175</f>
        <v/>
      </c>
      <c r="O175" s="15">
        <f>IF(MOD(L175,$B$11)=0,OFFSET(O175,-$B$11,0)+ $E$2*N175+$E$3*OFFSET(N175,-$B$11,0)+ $E$4*OFFSET(N175,-2* $B$11,0), O174)</f>
        <v/>
      </c>
      <c r="P175" s="15">
        <f>INT((2^$J$12-1)*O175/100)/(2^$J$12-1)*100</f>
        <v/>
      </c>
      <c r="Q175" s="15" t="n">
        <v>0</v>
      </c>
      <c r="R175" s="15">
        <f>P175+Q175</f>
        <v/>
      </c>
      <c r="S175" s="15">
        <f>$I$1*S174-$I$2*S173+$I$3*R154+$I$4*R153</f>
        <v/>
      </c>
      <c r="T175" s="15">
        <f>RAND()*$G$12</f>
        <v/>
      </c>
      <c r="U175" s="15">
        <f>S175+T175</f>
        <v/>
      </c>
      <c r="V175" s="15">
        <f>INT((2^$J$12-1)*U175/100)/(2^$J$12-1)*100</f>
        <v/>
      </c>
      <c r="X175" s="15">
        <f>M175 * 1.05</f>
        <v/>
      </c>
      <c r="Y175" s="15">
        <f>M175 * 0.95</f>
        <v/>
      </c>
      <c r="Z175" s="15">
        <f>IF(AND(V175 &lt;= X175, V175 &gt;= Y175), 1, 0)</f>
        <v/>
      </c>
    </row>
    <row r="176">
      <c r="L176" s="15" t="n">
        <v>174</v>
      </c>
      <c r="M176" s="15">
        <f>IF(L176&lt;$D$16,$D$13,IF(L176&lt;$E$16,$E$13,$F$13))</f>
        <v/>
      </c>
      <c r="N176" s="15">
        <f>M176-V176</f>
        <v/>
      </c>
      <c r="O176" s="15">
        <f>IF(MOD(L176,$B$11)=0,OFFSET(O176,-$B$11,0)+ $E$2*N176+$E$3*OFFSET(N176,-$B$11,0)+ $E$4*OFFSET(N176,-2* $B$11,0), O175)</f>
        <v/>
      </c>
      <c r="P176" s="15">
        <f>INT((2^$J$12-1)*O176/100)/(2^$J$12-1)*100</f>
        <v/>
      </c>
      <c r="Q176" s="15" t="n">
        <v>0</v>
      </c>
      <c r="R176" s="15">
        <f>P176+Q176</f>
        <v/>
      </c>
      <c r="S176" s="15">
        <f>$I$1*S175-$I$2*S174+$I$3*R155+$I$4*R154</f>
        <v/>
      </c>
      <c r="T176" s="15">
        <f>RAND()*$G$12</f>
        <v/>
      </c>
      <c r="U176" s="15">
        <f>S176+T176</f>
        <v/>
      </c>
      <c r="V176" s="15">
        <f>INT((2^$J$12-1)*U176/100)/(2^$J$12-1)*100</f>
        <v/>
      </c>
      <c r="X176" s="15">
        <f>M176 * 1.05</f>
        <v/>
      </c>
      <c r="Y176" s="15">
        <f>M176 * 0.95</f>
        <v/>
      </c>
      <c r="Z176" s="15">
        <f>IF(AND(V176 &lt;= X176, V176 &gt;= Y176), 1, 0)</f>
        <v/>
      </c>
    </row>
    <row r="177">
      <c r="L177" s="15" t="n">
        <v>175</v>
      </c>
      <c r="M177" s="15">
        <f>IF(L177&lt;$D$16,$D$13,IF(L177&lt;$E$16,$E$13,$F$13))</f>
        <v/>
      </c>
      <c r="N177" s="15">
        <f>M177-V177</f>
        <v/>
      </c>
      <c r="O177" s="15">
        <f>IF(MOD(L177,$B$11)=0,OFFSET(O177,-$B$11,0)+ $E$2*N177+$E$3*OFFSET(N177,-$B$11,0)+ $E$4*OFFSET(N177,-2* $B$11,0), O176)</f>
        <v/>
      </c>
      <c r="P177" s="15">
        <f>INT((2^$J$12-1)*O177/100)/(2^$J$12-1)*100</f>
        <v/>
      </c>
      <c r="Q177" s="15" t="n">
        <v>0</v>
      </c>
      <c r="R177" s="15">
        <f>P177+Q177</f>
        <v/>
      </c>
      <c r="S177" s="15">
        <f>$I$1*S176-$I$2*S175+$I$3*R156+$I$4*R155</f>
        <v/>
      </c>
      <c r="T177" s="15">
        <f>RAND()*$G$12</f>
        <v/>
      </c>
      <c r="U177" s="15">
        <f>S177+T177</f>
        <v/>
      </c>
      <c r="V177" s="15">
        <f>INT((2^$J$12-1)*U177/100)/(2^$J$12-1)*100</f>
        <v/>
      </c>
      <c r="X177" s="15">
        <f>M177 * 1.05</f>
        <v/>
      </c>
      <c r="Y177" s="15">
        <f>M177 * 0.95</f>
        <v/>
      </c>
      <c r="Z177" s="15">
        <f>IF(AND(V177 &lt;= X177, V177 &gt;= Y177), 1, 0)</f>
        <v/>
      </c>
    </row>
    <row r="178">
      <c r="L178" s="15" t="n">
        <v>176</v>
      </c>
      <c r="M178" s="15">
        <f>IF(L178&lt;$D$16,$D$13,IF(L178&lt;$E$16,$E$13,$F$13))</f>
        <v/>
      </c>
      <c r="N178" s="15">
        <f>M178-V178</f>
        <v/>
      </c>
      <c r="O178" s="15">
        <f>IF(MOD(L178,$B$11)=0,OFFSET(O178,-$B$11,0)+ $E$2*N178+$E$3*OFFSET(N178,-$B$11,0)+ $E$4*OFFSET(N178,-2* $B$11,0), O177)</f>
        <v/>
      </c>
      <c r="P178" s="15">
        <f>INT((2^$J$12-1)*O178/100)/(2^$J$12-1)*100</f>
        <v/>
      </c>
      <c r="Q178" s="15" t="n">
        <v>0</v>
      </c>
      <c r="R178" s="15">
        <f>P178+Q178</f>
        <v/>
      </c>
      <c r="S178" s="15">
        <f>$I$1*S177-$I$2*S176+$I$3*R157+$I$4*R156</f>
        <v/>
      </c>
      <c r="T178" s="15">
        <f>RAND()*$G$12</f>
        <v/>
      </c>
      <c r="U178" s="15">
        <f>S178+T178</f>
        <v/>
      </c>
      <c r="V178" s="15">
        <f>INT((2^$J$12-1)*U178/100)/(2^$J$12-1)*100</f>
        <v/>
      </c>
      <c r="X178" s="15">
        <f>M178 * 1.05</f>
        <v/>
      </c>
      <c r="Y178" s="15">
        <f>M178 * 0.95</f>
        <v/>
      </c>
      <c r="Z178" s="15">
        <f>IF(AND(V178 &lt;= X178, V178 &gt;= Y178), 1, 0)</f>
        <v/>
      </c>
    </row>
    <row r="179">
      <c r="L179" s="15" t="n">
        <v>177</v>
      </c>
      <c r="M179" s="15">
        <f>IF(L179&lt;$D$16,$D$13,IF(L179&lt;$E$16,$E$13,$F$13))</f>
        <v/>
      </c>
      <c r="N179" s="15">
        <f>M179-V179</f>
        <v/>
      </c>
      <c r="O179" s="15">
        <f>IF(MOD(L179,$B$11)=0,OFFSET(O179,-$B$11,0)+ $E$2*N179+$E$3*OFFSET(N179,-$B$11,0)+ $E$4*OFFSET(N179,-2* $B$11,0), O178)</f>
        <v/>
      </c>
      <c r="P179" s="15">
        <f>INT((2^$J$12-1)*O179/100)/(2^$J$12-1)*100</f>
        <v/>
      </c>
      <c r="Q179" s="15" t="n">
        <v>0</v>
      </c>
      <c r="R179" s="15">
        <f>P179+Q179</f>
        <v/>
      </c>
      <c r="S179" s="15">
        <f>$I$1*S178-$I$2*S177+$I$3*R158+$I$4*R157</f>
        <v/>
      </c>
      <c r="T179" s="15">
        <f>RAND()*$G$12</f>
        <v/>
      </c>
      <c r="U179" s="15">
        <f>S179+T179</f>
        <v/>
      </c>
      <c r="V179" s="15">
        <f>INT((2^$J$12-1)*U179/100)/(2^$J$12-1)*100</f>
        <v/>
      </c>
      <c r="X179" s="15">
        <f>M179 * 1.05</f>
        <v/>
      </c>
      <c r="Y179" s="15">
        <f>M179 * 0.95</f>
        <v/>
      </c>
      <c r="Z179" s="15">
        <f>IF(AND(V179 &lt;= X179, V179 &gt;= Y179), 1, 0)</f>
        <v/>
      </c>
    </row>
    <row r="180">
      <c r="L180" s="15" t="n">
        <v>178</v>
      </c>
      <c r="M180" s="15">
        <f>IF(L180&lt;$D$16,$D$13,IF(L180&lt;$E$16,$E$13,$F$13))</f>
        <v/>
      </c>
      <c r="N180" s="15">
        <f>M180-V180</f>
        <v/>
      </c>
      <c r="O180" s="15">
        <f>IF(MOD(L180,$B$11)=0,OFFSET(O180,-$B$11,0)+ $E$2*N180+$E$3*OFFSET(N180,-$B$11,0)+ $E$4*OFFSET(N180,-2* $B$11,0), O179)</f>
        <v/>
      </c>
      <c r="P180" s="15">
        <f>INT((2^$J$12-1)*O180/100)/(2^$J$12-1)*100</f>
        <v/>
      </c>
      <c r="Q180" s="15" t="n">
        <v>0</v>
      </c>
      <c r="R180" s="15">
        <f>P180+Q180</f>
        <v/>
      </c>
      <c r="S180" s="15">
        <f>$I$1*S179-$I$2*S178+$I$3*R159+$I$4*R158</f>
        <v/>
      </c>
      <c r="T180" s="15">
        <f>RAND()*$G$12</f>
        <v/>
      </c>
      <c r="U180" s="15">
        <f>S180+T180</f>
        <v/>
      </c>
      <c r="V180" s="15">
        <f>INT((2^$J$12-1)*U180/100)/(2^$J$12-1)*100</f>
        <v/>
      </c>
      <c r="X180" s="15">
        <f>M180 * 1.05</f>
        <v/>
      </c>
      <c r="Y180" s="15">
        <f>M180 * 0.95</f>
        <v/>
      </c>
      <c r="Z180" s="15">
        <f>IF(AND(V180 &lt;= X180, V180 &gt;= Y180), 1, 0)</f>
        <v/>
      </c>
    </row>
    <row r="181">
      <c r="L181" s="15" t="n">
        <v>179</v>
      </c>
      <c r="M181" s="15">
        <f>IF(L181&lt;$D$16,$D$13,IF(L181&lt;$E$16,$E$13,$F$13))</f>
        <v/>
      </c>
      <c r="N181" s="15">
        <f>M181-V181</f>
        <v/>
      </c>
      <c r="O181" s="15">
        <f>IF(MOD(L181,$B$11)=0,OFFSET(O181,-$B$11,0)+ $E$2*N181+$E$3*OFFSET(N181,-$B$11,0)+ $E$4*OFFSET(N181,-2* $B$11,0), O180)</f>
        <v/>
      </c>
      <c r="P181" s="15">
        <f>INT((2^$J$12-1)*O181/100)/(2^$J$12-1)*100</f>
        <v/>
      </c>
      <c r="Q181" s="15" t="n">
        <v>0</v>
      </c>
      <c r="R181" s="15">
        <f>P181+Q181</f>
        <v/>
      </c>
      <c r="S181" s="15">
        <f>$I$1*S180-$I$2*S179+$I$3*R160+$I$4*R159</f>
        <v/>
      </c>
      <c r="T181" s="15">
        <f>RAND()*$G$12</f>
        <v/>
      </c>
      <c r="U181" s="15">
        <f>S181+T181</f>
        <v/>
      </c>
      <c r="V181" s="15">
        <f>INT((2^$J$12-1)*U181/100)/(2^$J$12-1)*100</f>
        <v/>
      </c>
      <c r="X181" s="15">
        <f>M181 * 1.05</f>
        <v/>
      </c>
      <c r="Y181" s="15">
        <f>M181 * 0.95</f>
        <v/>
      </c>
      <c r="Z181" s="15">
        <f>IF(AND(V181 &lt;= X181, V181 &gt;= Y181), 1, 0)</f>
        <v/>
      </c>
    </row>
    <row r="182">
      <c r="L182" s="15" t="n">
        <v>180</v>
      </c>
      <c r="M182" s="15">
        <f>IF(L182&lt;$D$16,$D$13,IF(L182&lt;$E$16,$E$13,$F$13))</f>
        <v/>
      </c>
      <c r="N182" s="15">
        <f>M182-V182</f>
        <v/>
      </c>
      <c r="O182" s="15">
        <f>IF(MOD(L182,$B$11)=0,OFFSET(O182,-$B$11,0)+ $E$2*N182+$E$3*OFFSET(N182,-$B$11,0)+ $E$4*OFFSET(N182,-2* $B$11,0), O181)</f>
        <v/>
      </c>
      <c r="P182" s="15">
        <f>INT((2^$J$12-1)*O182/100)/(2^$J$12-1)*100</f>
        <v/>
      </c>
      <c r="Q182" s="15" t="n">
        <v>0</v>
      </c>
      <c r="R182" s="15">
        <f>P182+Q182</f>
        <v/>
      </c>
      <c r="S182" s="15">
        <f>$I$1*S181-$I$2*S180+$I$3*R161+$I$4*R160</f>
        <v/>
      </c>
      <c r="T182" s="15">
        <f>RAND()*$G$12</f>
        <v/>
      </c>
      <c r="U182" s="15">
        <f>S182+T182</f>
        <v/>
      </c>
      <c r="V182" s="15">
        <f>INT((2^$J$12-1)*U182/100)/(2^$J$12-1)*100</f>
        <v/>
      </c>
      <c r="X182" s="15">
        <f>M182 * 1.05</f>
        <v/>
      </c>
      <c r="Y182" s="15">
        <f>M182 * 0.95</f>
        <v/>
      </c>
      <c r="Z182" s="15">
        <f>IF(AND(V182 &lt;= X182, V182 &gt;= Y182), 1, 0)</f>
        <v/>
      </c>
    </row>
    <row r="183">
      <c r="L183" s="15" t="n">
        <v>181</v>
      </c>
      <c r="M183" s="15">
        <f>IF(L183&lt;$D$16,$D$13,IF(L183&lt;$E$16,$E$13,$F$13))</f>
        <v/>
      </c>
      <c r="N183" s="15">
        <f>M183-V183</f>
        <v/>
      </c>
      <c r="O183" s="15">
        <f>IF(MOD(L183,$B$11)=0,OFFSET(O183,-$B$11,0)+ $E$2*N183+$E$3*OFFSET(N183,-$B$11,0)+ $E$4*OFFSET(N183,-2* $B$11,0), O182)</f>
        <v/>
      </c>
      <c r="P183" s="15">
        <f>INT((2^$J$12-1)*O183/100)/(2^$J$12-1)*100</f>
        <v/>
      </c>
      <c r="Q183" s="15" t="n">
        <v>0</v>
      </c>
      <c r="R183" s="15">
        <f>P183+Q183</f>
        <v/>
      </c>
      <c r="S183" s="15">
        <f>$I$1*S182-$I$2*S181+$I$3*R162+$I$4*R161</f>
        <v/>
      </c>
      <c r="T183" s="15">
        <f>RAND()*$G$12</f>
        <v/>
      </c>
      <c r="U183" s="15">
        <f>S183+T183</f>
        <v/>
      </c>
      <c r="V183" s="15">
        <f>INT((2^$J$12-1)*U183/100)/(2^$J$12-1)*100</f>
        <v/>
      </c>
      <c r="X183" s="15">
        <f>M183 * 1.05</f>
        <v/>
      </c>
      <c r="Y183" s="15">
        <f>M183 * 0.95</f>
        <v/>
      </c>
      <c r="Z183" s="15">
        <f>IF(AND(V183 &lt;= X183, V183 &gt;= Y183), 1, 0)</f>
        <v/>
      </c>
    </row>
    <row r="184">
      <c r="L184" s="15" t="n">
        <v>182</v>
      </c>
      <c r="M184" s="15">
        <f>IF(L184&lt;$D$16,$D$13,IF(L184&lt;$E$16,$E$13,$F$13))</f>
        <v/>
      </c>
      <c r="N184" s="15">
        <f>M184-V184</f>
        <v/>
      </c>
      <c r="O184" s="15">
        <f>IF(MOD(L184,$B$11)=0,OFFSET(O184,-$B$11,0)+ $E$2*N184+$E$3*OFFSET(N184,-$B$11,0)+ $E$4*OFFSET(N184,-2* $B$11,0), O183)</f>
        <v/>
      </c>
      <c r="P184" s="15">
        <f>INT((2^$J$12-1)*O184/100)/(2^$J$12-1)*100</f>
        <v/>
      </c>
      <c r="Q184" s="15" t="n">
        <v>0</v>
      </c>
      <c r="R184" s="15">
        <f>P184+Q184</f>
        <v/>
      </c>
      <c r="S184" s="15">
        <f>$I$1*S183-$I$2*S182+$I$3*R163+$I$4*R162</f>
        <v/>
      </c>
      <c r="T184" s="15">
        <f>RAND()*$G$12</f>
        <v/>
      </c>
      <c r="U184" s="15">
        <f>S184+T184</f>
        <v/>
      </c>
      <c r="V184" s="15">
        <f>INT((2^$J$12-1)*U184/100)/(2^$J$12-1)*100</f>
        <v/>
      </c>
      <c r="X184" s="15">
        <f>M184 * 1.05</f>
        <v/>
      </c>
      <c r="Y184" s="15">
        <f>M184 * 0.95</f>
        <v/>
      </c>
      <c r="Z184" s="15">
        <f>IF(AND(V184 &lt;= X184, V184 &gt;= Y184), 1, 0)</f>
        <v/>
      </c>
    </row>
    <row r="185">
      <c r="L185" s="15" t="n">
        <v>183</v>
      </c>
      <c r="M185" s="15">
        <f>IF(L185&lt;$D$16,$D$13,IF(L185&lt;$E$16,$E$13,$F$13))</f>
        <v/>
      </c>
      <c r="N185" s="15">
        <f>M185-V185</f>
        <v/>
      </c>
      <c r="O185" s="15">
        <f>IF(MOD(L185,$B$11)=0,OFFSET(O185,-$B$11,0)+ $E$2*N185+$E$3*OFFSET(N185,-$B$11,0)+ $E$4*OFFSET(N185,-2* $B$11,0), O184)</f>
        <v/>
      </c>
      <c r="P185" s="15">
        <f>INT((2^$J$12-1)*O185/100)/(2^$J$12-1)*100</f>
        <v/>
      </c>
      <c r="Q185" s="15" t="n">
        <v>0</v>
      </c>
      <c r="R185" s="15">
        <f>P185+Q185</f>
        <v/>
      </c>
      <c r="S185" s="15">
        <f>$I$1*S184-$I$2*S183+$I$3*R164+$I$4*R163</f>
        <v/>
      </c>
      <c r="T185" s="15">
        <f>RAND()*$G$12</f>
        <v/>
      </c>
      <c r="U185" s="15">
        <f>S185+T185</f>
        <v/>
      </c>
      <c r="V185" s="15">
        <f>INT((2^$J$12-1)*U185/100)/(2^$J$12-1)*100</f>
        <v/>
      </c>
      <c r="X185" s="15">
        <f>M185 * 1.05</f>
        <v/>
      </c>
      <c r="Y185" s="15">
        <f>M185 * 0.95</f>
        <v/>
      </c>
      <c r="Z185" s="15">
        <f>IF(AND(V185 &lt;= X185, V185 &gt;= Y185), 1, 0)</f>
        <v/>
      </c>
    </row>
    <row r="186">
      <c r="L186" s="15" t="n">
        <v>184</v>
      </c>
      <c r="M186" s="15">
        <f>IF(L186&lt;$D$16,$D$13,IF(L186&lt;$E$16,$E$13,$F$13))</f>
        <v/>
      </c>
      <c r="N186" s="15">
        <f>M186-V186</f>
        <v/>
      </c>
      <c r="O186" s="15">
        <f>IF(MOD(L186,$B$11)=0,OFFSET(O186,-$B$11,0)+ $E$2*N186+$E$3*OFFSET(N186,-$B$11,0)+ $E$4*OFFSET(N186,-2* $B$11,0), O185)</f>
        <v/>
      </c>
      <c r="P186" s="15">
        <f>INT((2^$J$12-1)*O186/100)/(2^$J$12-1)*100</f>
        <v/>
      </c>
      <c r="Q186" s="15" t="n">
        <v>0</v>
      </c>
      <c r="R186" s="15">
        <f>P186+Q186</f>
        <v/>
      </c>
      <c r="S186" s="15">
        <f>$I$1*S185-$I$2*S184+$I$3*R165+$I$4*R164</f>
        <v/>
      </c>
      <c r="T186" s="15">
        <f>RAND()*$G$12</f>
        <v/>
      </c>
      <c r="U186" s="15">
        <f>S186+T186</f>
        <v/>
      </c>
      <c r="V186" s="15">
        <f>INT((2^$J$12-1)*U186/100)/(2^$J$12-1)*100</f>
        <v/>
      </c>
      <c r="X186" s="15">
        <f>M186 * 1.05</f>
        <v/>
      </c>
      <c r="Y186" s="15">
        <f>M186 * 0.95</f>
        <v/>
      </c>
      <c r="Z186" s="15">
        <f>IF(AND(V186 &lt;= X186, V186 &gt;= Y186), 1, 0)</f>
        <v/>
      </c>
    </row>
    <row r="187">
      <c r="L187" s="15" t="n">
        <v>185</v>
      </c>
      <c r="M187" s="15">
        <f>IF(L187&lt;$D$16,$D$13,IF(L187&lt;$E$16,$E$13,$F$13))</f>
        <v/>
      </c>
      <c r="N187" s="15">
        <f>M187-V187</f>
        <v/>
      </c>
      <c r="O187" s="15">
        <f>IF(MOD(L187,$B$11)=0,OFFSET(O187,-$B$11,0)+ $E$2*N187+$E$3*OFFSET(N187,-$B$11,0)+ $E$4*OFFSET(N187,-2* $B$11,0), O186)</f>
        <v/>
      </c>
      <c r="P187" s="15">
        <f>INT((2^$J$12-1)*O187/100)/(2^$J$12-1)*100</f>
        <v/>
      </c>
      <c r="Q187" s="15" t="n">
        <v>0</v>
      </c>
      <c r="R187" s="15">
        <f>P187+Q187</f>
        <v/>
      </c>
      <c r="S187" s="15">
        <f>$I$1*S186-$I$2*S185+$I$3*R166+$I$4*R165</f>
        <v/>
      </c>
      <c r="T187" s="15">
        <f>RAND()*$G$12</f>
        <v/>
      </c>
      <c r="U187" s="15">
        <f>S187+T187</f>
        <v/>
      </c>
      <c r="V187" s="15">
        <f>INT((2^$J$12-1)*U187/100)/(2^$J$12-1)*100</f>
        <v/>
      </c>
      <c r="X187" s="15">
        <f>M187 * 1.05</f>
        <v/>
      </c>
      <c r="Y187" s="15">
        <f>M187 * 0.95</f>
        <v/>
      </c>
      <c r="Z187" s="15">
        <f>IF(AND(V187 &lt;= X187, V187 &gt;= Y187), 1, 0)</f>
        <v/>
      </c>
    </row>
    <row r="188">
      <c r="L188" s="15" t="n">
        <v>186</v>
      </c>
      <c r="M188" s="15">
        <f>IF(L188&lt;$D$16,$D$13,IF(L188&lt;$E$16,$E$13,$F$13))</f>
        <v/>
      </c>
      <c r="N188" s="15">
        <f>M188-V188</f>
        <v/>
      </c>
      <c r="O188" s="15">
        <f>IF(MOD(L188,$B$11)=0,OFFSET(O188,-$B$11,0)+ $E$2*N188+$E$3*OFFSET(N188,-$B$11,0)+ $E$4*OFFSET(N188,-2* $B$11,0), O187)</f>
        <v/>
      </c>
      <c r="P188" s="15">
        <f>INT((2^$J$12-1)*O188/100)/(2^$J$12-1)*100</f>
        <v/>
      </c>
      <c r="Q188" s="15" t="n">
        <v>0</v>
      </c>
      <c r="R188" s="15">
        <f>P188+Q188</f>
        <v/>
      </c>
      <c r="S188" s="15">
        <f>$I$1*S187-$I$2*S186+$I$3*R167+$I$4*R166</f>
        <v/>
      </c>
      <c r="T188" s="15">
        <f>RAND()*$G$12</f>
        <v/>
      </c>
      <c r="U188" s="15">
        <f>S188+T188</f>
        <v/>
      </c>
      <c r="V188" s="15">
        <f>INT((2^$J$12-1)*U188/100)/(2^$J$12-1)*100</f>
        <v/>
      </c>
      <c r="X188" s="15">
        <f>M188 * 1.05</f>
        <v/>
      </c>
      <c r="Y188" s="15">
        <f>M188 * 0.95</f>
        <v/>
      </c>
      <c r="Z188" s="15">
        <f>IF(AND(V188 &lt;= X188, V188 &gt;= Y188), 1, 0)</f>
        <v/>
      </c>
    </row>
    <row r="189">
      <c r="L189" s="15" t="n">
        <v>187</v>
      </c>
      <c r="M189" s="15">
        <f>IF(L189&lt;$D$16,$D$13,IF(L189&lt;$E$16,$E$13,$F$13))</f>
        <v/>
      </c>
      <c r="N189" s="15">
        <f>M189-V189</f>
        <v/>
      </c>
      <c r="O189" s="15">
        <f>IF(MOD(L189,$B$11)=0,OFFSET(O189,-$B$11,0)+ $E$2*N189+$E$3*OFFSET(N189,-$B$11,0)+ $E$4*OFFSET(N189,-2* $B$11,0), O188)</f>
        <v/>
      </c>
      <c r="P189" s="15">
        <f>INT((2^$J$12-1)*O189/100)/(2^$J$12-1)*100</f>
        <v/>
      </c>
      <c r="Q189" s="15" t="n">
        <v>0</v>
      </c>
      <c r="R189" s="15">
        <f>P189+Q189</f>
        <v/>
      </c>
      <c r="S189" s="15">
        <f>$I$1*S188-$I$2*S187+$I$3*R168+$I$4*R167</f>
        <v/>
      </c>
      <c r="T189" s="15">
        <f>RAND()*$G$12</f>
        <v/>
      </c>
      <c r="U189" s="15">
        <f>S189+T189</f>
        <v/>
      </c>
      <c r="V189" s="15">
        <f>INT((2^$J$12-1)*U189/100)/(2^$J$12-1)*100</f>
        <v/>
      </c>
      <c r="X189" s="15">
        <f>M189 * 1.05</f>
        <v/>
      </c>
      <c r="Y189" s="15">
        <f>M189 * 0.95</f>
        <v/>
      </c>
      <c r="Z189" s="15">
        <f>IF(AND(V189 &lt;= X189, V189 &gt;= Y189), 1, 0)</f>
        <v/>
      </c>
    </row>
    <row r="190">
      <c r="L190" s="15" t="n">
        <v>188</v>
      </c>
      <c r="M190" s="15">
        <f>IF(L190&lt;$D$16,$D$13,IF(L190&lt;$E$16,$E$13,$F$13))</f>
        <v/>
      </c>
      <c r="N190" s="15">
        <f>M190-V190</f>
        <v/>
      </c>
      <c r="O190" s="15">
        <f>IF(MOD(L190,$B$11)=0,OFFSET(O190,-$B$11,0)+ $E$2*N190+$E$3*OFFSET(N190,-$B$11,0)+ $E$4*OFFSET(N190,-2* $B$11,0), O189)</f>
        <v/>
      </c>
      <c r="P190" s="15">
        <f>INT((2^$J$12-1)*O190/100)/(2^$J$12-1)*100</f>
        <v/>
      </c>
      <c r="Q190" s="15" t="n">
        <v>0</v>
      </c>
      <c r="R190" s="15">
        <f>P190+Q190</f>
        <v/>
      </c>
      <c r="S190" s="15">
        <f>$I$1*S189-$I$2*S188+$I$3*R169+$I$4*R168</f>
        <v/>
      </c>
      <c r="T190" s="15">
        <f>RAND()*$G$12</f>
        <v/>
      </c>
      <c r="U190" s="15">
        <f>S190+T190</f>
        <v/>
      </c>
      <c r="V190" s="15">
        <f>INT((2^$J$12-1)*U190/100)/(2^$J$12-1)*100</f>
        <v/>
      </c>
      <c r="X190" s="15">
        <f>M190 * 1.05</f>
        <v/>
      </c>
      <c r="Y190" s="15">
        <f>M190 * 0.95</f>
        <v/>
      </c>
      <c r="Z190" s="15">
        <f>IF(AND(V190 &lt;= X190, V190 &gt;= Y190), 1, 0)</f>
        <v/>
      </c>
    </row>
    <row r="191">
      <c r="L191" s="15" t="n">
        <v>189</v>
      </c>
      <c r="M191" s="15">
        <f>IF(L191&lt;$D$16,$D$13,IF(L191&lt;$E$16,$E$13,$F$13))</f>
        <v/>
      </c>
      <c r="N191" s="15">
        <f>M191-V191</f>
        <v/>
      </c>
      <c r="O191" s="15">
        <f>IF(MOD(L191,$B$11)=0,OFFSET(O191,-$B$11,0)+ $E$2*N191+$E$3*OFFSET(N191,-$B$11,0)+ $E$4*OFFSET(N191,-2* $B$11,0), O190)</f>
        <v/>
      </c>
      <c r="P191" s="15">
        <f>INT((2^$J$12-1)*O191/100)/(2^$J$12-1)*100</f>
        <v/>
      </c>
      <c r="Q191" s="15" t="n">
        <v>0</v>
      </c>
      <c r="R191" s="15">
        <f>P191+Q191</f>
        <v/>
      </c>
      <c r="S191" s="15">
        <f>$I$1*S190-$I$2*S189+$I$3*R170+$I$4*R169</f>
        <v/>
      </c>
      <c r="T191" s="15">
        <f>RAND()*$G$12</f>
        <v/>
      </c>
      <c r="U191" s="15">
        <f>S191+T191</f>
        <v/>
      </c>
      <c r="V191" s="15">
        <f>INT((2^$J$12-1)*U191/100)/(2^$J$12-1)*100</f>
        <v/>
      </c>
      <c r="X191" s="15">
        <f>M191 * 1.05</f>
        <v/>
      </c>
      <c r="Y191" s="15">
        <f>M191 * 0.95</f>
        <v/>
      </c>
      <c r="Z191" s="15">
        <f>IF(AND(V191 &lt;= X191, V191 &gt;= Y191), 1, 0)</f>
        <v/>
      </c>
    </row>
    <row r="192">
      <c r="L192" s="15" t="n">
        <v>190</v>
      </c>
      <c r="M192" s="15">
        <f>IF(L192&lt;$D$16,$D$13,IF(L192&lt;$E$16,$E$13,$F$13))</f>
        <v/>
      </c>
      <c r="N192" s="15">
        <f>M192-V192</f>
        <v/>
      </c>
      <c r="O192" s="15">
        <f>IF(MOD(L192,$B$11)=0,OFFSET(O192,-$B$11,0)+ $E$2*N192+$E$3*OFFSET(N192,-$B$11,0)+ $E$4*OFFSET(N192,-2* $B$11,0), O191)</f>
        <v/>
      </c>
      <c r="P192" s="15">
        <f>INT((2^$J$12-1)*O192/100)/(2^$J$12-1)*100</f>
        <v/>
      </c>
      <c r="Q192" s="15" t="n">
        <v>0</v>
      </c>
      <c r="R192" s="15">
        <f>P192+Q192</f>
        <v/>
      </c>
      <c r="S192" s="15">
        <f>$I$1*S191-$I$2*S190+$I$3*R171+$I$4*R170</f>
        <v/>
      </c>
      <c r="T192" s="15">
        <f>RAND()*$G$12</f>
        <v/>
      </c>
      <c r="U192" s="15">
        <f>S192+T192</f>
        <v/>
      </c>
      <c r="V192" s="15">
        <f>INT((2^$J$12-1)*U192/100)/(2^$J$12-1)*100</f>
        <v/>
      </c>
      <c r="X192" s="15">
        <f>M192 * 1.05</f>
        <v/>
      </c>
      <c r="Y192" s="15">
        <f>M192 * 0.95</f>
        <v/>
      </c>
      <c r="Z192" s="15">
        <f>IF(AND(V192 &lt;= X192, V192 &gt;= Y192), 1, 0)</f>
        <v/>
      </c>
    </row>
    <row r="193">
      <c r="L193" s="15" t="n">
        <v>191</v>
      </c>
      <c r="M193" s="15">
        <f>IF(L193&lt;$D$16,$D$13,IF(L193&lt;$E$16,$E$13,$F$13))</f>
        <v/>
      </c>
      <c r="N193" s="15">
        <f>M193-V193</f>
        <v/>
      </c>
      <c r="O193" s="15">
        <f>IF(MOD(L193,$B$11)=0,OFFSET(O193,-$B$11,0)+ $E$2*N193+$E$3*OFFSET(N193,-$B$11,0)+ $E$4*OFFSET(N193,-2* $B$11,0), O192)</f>
        <v/>
      </c>
      <c r="P193" s="15">
        <f>INT((2^$J$12-1)*O193/100)/(2^$J$12-1)*100</f>
        <v/>
      </c>
      <c r="Q193" s="15" t="n">
        <v>0</v>
      </c>
      <c r="R193" s="15">
        <f>P193+Q193</f>
        <v/>
      </c>
      <c r="S193" s="15">
        <f>$I$1*S192-$I$2*S191+$I$3*R172+$I$4*R171</f>
        <v/>
      </c>
      <c r="T193" s="15">
        <f>RAND()*$G$12</f>
        <v/>
      </c>
      <c r="U193" s="15">
        <f>S193+T193</f>
        <v/>
      </c>
      <c r="V193" s="15">
        <f>INT((2^$J$12-1)*U193/100)/(2^$J$12-1)*100</f>
        <v/>
      </c>
      <c r="X193" s="15">
        <f>M193 * 1.05</f>
        <v/>
      </c>
      <c r="Y193" s="15">
        <f>M193 * 0.95</f>
        <v/>
      </c>
      <c r="Z193" s="15">
        <f>IF(AND(V193 &lt;= X193, V193 &gt;= Y193), 1, 0)</f>
        <v/>
      </c>
    </row>
    <row r="194">
      <c r="L194" s="15" t="n">
        <v>192</v>
      </c>
      <c r="M194" s="15">
        <f>IF(L194&lt;$D$16,$D$13,IF(L194&lt;$E$16,$E$13,$F$13))</f>
        <v/>
      </c>
      <c r="N194" s="15">
        <f>M194-V194</f>
        <v/>
      </c>
      <c r="O194" s="15">
        <f>IF(MOD(L194,$B$11)=0,OFFSET(O194,-$B$11,0)+ $E$2*N194+$E$3*OFFSET(N194,-$B$11,0)+ $E$4*OFFSET(N194,-2* $B$11,0), O193)</f>
        <v/>
      </c>
      <c r="P194" s="15">
        <f>INT((2^$J$12-1)*O194/100)/(2^$J$12-1)*100</f>
        <v/>
      </c>
      <c r="Q194" s="15" t="n">
        <v>0</v>
      </c>
      <c r="R194" s="15">
        <f>P194+Q194</f>
        <v/>
      </c>
      <c r="S194" s="15">
        <f>$I$1*S193-$I$2*S192+$I$3*R173+$I$4*R172</f>
        <v/>
      </c>
      <c r="T194" s="15">
        <f>RAND()*$G$12</f>
        <v/>
      </c>
      <c r="U194" s="15">
        <f>S194+T194</f>
        <v/>
      </c>
      <c r="V194" s="15">
        <f>INT((2^$J$12-1)*U194/100)/(2^$J$12-1)*100</f>
        <v/>
      </c>
      <c r="X194" s="15">
        <f>M194 * 1.05</f>
        <v/>
      </c>
      <c r="Y194" s="15">
        <f>M194 * 0.95</f>
        <v/>
      </c>
      <c r="Z194" s="15">
        <f>IF(AND(V194 &lt;= X194, V194 &gt;= Y194), 1, 0)</f>
        <v/>
      </c>
    </row>
    <row r="195">
      <c r="L195" s="15" t="n">
        <v>193</v>
      </c>
      <c r="M195" s="15">
        <f>IF(L195&lt;$D$16,$D$13,IF(L195&lt;$E$16,$E$13,$F$13))</f>
        <v/>
      </c>
      <c r="N195" s="15">
        <f>M195-V195</f>
        <v/>
      </c>
      <c r="O195" s="15">
        <f>IF(MOD(L195,$B$11)=0,OFFSET(O195,-$B$11,0)+ $E$2*N195+$E$3*OFFSET(N195,-$B$11,0)+ $E$4*OFFSET(N195,-2* $B$11,0), O194)</f>
        <v/>
      </c>
      <c r="P195" s="15">
        <f>INT((2^$J$12-1)*O195/100)/(2^$J$12-1)*100</f>
        <v/>
      </c>
      <c r="Q195" s="15" t="n">
        <v>0</v>
      </c>
      <c r="R195" s="15">
        <f>P195+Q195</f>
        <v/>
      </c>
      <c r="S195" s="15">
        <f>$I$1*S194-$I$2*S193+$I$3*R174+$I$4*R173</f>
        <v/>
      </c>
      <c r="T195" s="15">
        <f>RAND()*$G$12</f>
        <v/>
      </c>
      <c r="U195" s="15">
        <f>S195+T195</f>
        <v/>
      </c>
      <c r="V195" s="15">
        <f>INT((2^$J$12-1)*U195/100)/(2^$J$12-1)*100</f>
        <v/>
      </c>
      <c r="X195" s="15">
        <f>M195 * 1.05</f>
        <v/>
      </c>
      <c r="Y195" s="15">
        <f>M195 * 0.95</f>
        <v/>
      </c>
      <c r="Z195" s="15">
        <f>IF(AND(V195 &lt;= X195, V195 &gt;= Y195), 1, 0)</f>
        <v/>
      </c>
    </row>
    <row r="196">
      <c r="L196" s="15" t="n">
        <v>194</v>
      </c>
      <c r="M196" s="15">
        <f>IF(L196&lt;$D$16,$D$13,IF(L196&lt;$E$16,$E$13,$F$13))</f>
        <v/>
      </c>
      <c r="N196" s="15">
        <f>M196-V196</f>
        <v/>
      </c>
      <c r="O196" s="15">
        <f>IF(MOD(L196,$B$11)=0,OFFSET(O196,-$B$11,0)+ $E$2*N196+$E$3*OFFSET(N196,-$B$11,0)+ $E$4*OFFSET(N196,-2* $B$11,0), O195)</f>
        <v/>
      </c>
      <c r="P196" s="15">
        <f>INT((2^$J$12-1)*O196/100)/(2^$J$12-1)*100</f>
        <v/>
      </c>
      <c r="Q196" s="15" t="n">
        <v>0</v>
      </c>
      <c r="R196" s="15">
        <f>P196+Q196</f>
        <v/>
      </c>
      <c r="S196" s="15">
        <f>$I$1*S195-$I$2*S194+$I$3*R175+$I$4*R174</f>
        <v/>
      </c>
      <c r="T196" s="15">
        <f>RAND()*$G$12</f>
        <v/>
      </c>
      <c r="U196" s="15">
        <f>S196+T196</f>
        <v/>
      </c>
      <c r="V196" s="15">
        <f>INT((2^$J$12-1)*U196/100)/(2^$J$12-1)*100</f>
        <v/>
      </c>
      <c r="X196" s="15">
        <f>M196 * 1.05</f>
        <v/>
      </c>
      <c r="Y196" s="15">
        <f>M196 * 0.95</f>
        <v/>
      </c>
      <c r="Z196" s="15">
        <f>IF(AND(V196 &lt;= X196, V196 &gt;= Y196), 1, 0)</f>
        <v/>
      </c>
    </row>
    <row r="197">
      <c r="L197" s="15" t="n">
        <v>195</v>
      </c>
      <c r="M197" s="15">
        <f>IF(L197&lt;$D$16,$D$13,IF(L197&lt;$E$16,$E$13,$F$13))</f>
        <v/>
      </c>
      <c r="N197" s="15">
        <f>M197-V197</f>
        <v/>
      </c>
      <c r="O197" s="15">
        <f>IF(MOD(L197,$B$11)=0,OFFSET(O197,-$B$11,0)+ $E$2*N197+$E$3*OFFSET(N197,-$B$11,0)+ $E$4*OFFSET(N197,-2* $B$11,0), O196)</f>
        <v/>
      </c>
      <c r="P197" s="15">
        <f>INT((2^$J$12-1)*O197/100)/(2^$J$12-1)*100</f>
        <v/>
      </c>
      <c r="Q197" s="15" t="n">
        <v>0</v>
      </c>
      <c r="R197" s="15">
        <f>P197+Q197</f>
        <v/>
      </c>
      <c r="S197" s="15">
        <f>$I$1*S196-$I$2*S195+$I$3*R176+$I$4*R175</f>
        <v/>
      </c>
      <c r="T197" s="15">
        <f>RAND()*$G$12</f>
        <v/>
      </c>
      <c r="U197" s="15">
        <f>S197+T197</f>
        <v/>
      </c>
      <c r="V197" s="15">
        <f>INT((2^$J$12-1)*U197/100)/(2^$J$12-1)*100</f>
        <v/>
      </c>
      <c r="X197" s="15">
        <f>M197 * 1.05</f>
        <v/>
      </c>
      <c r="Y197" s="15">
        <f>M197 * 0.95</f>
        <v/>
      </c>
      <c r="Z197" s="15">
        <f>IF(AND(V197 &lt;= X197, V197 &gt;= Y197), 1, 0)</f>
        <v/>
      </c>
    </row>
    <row r="198">
      <c r="L198" s="15" t="n">
        <v>196</v>
      </c>
      <c r="M198" s="15">
        <f>IF(L198&lt;$D$16,$D$13,IF(L198&lt;$E$16,$E$13,$F$13))</f>
        <v/>
      </c>
      <c r="N198" s="15">
        <f>M198-V198</f>
        <v/>
      </c>
      <c r="O198" s="15">
        <f>IF(MOD(L198,$B$11)=0,OFFSET(O198,-$B$11,0)+ $E$2*N198+$E$3*OFFSET(N198,-$B$11,0)+ $E$4*OFFSET(N198,-2* $B$11,0), O197)</f>
        <v/>
      </c>
      <c r="P198" s="15">
        <f>INT((2^$J$12-1)*O198/100)/(2^$J$12-1)*100</f>
        <v/>
      </c>
      <c r="Q198" s="15" t="n">
        <v>0</v>
      </c>
      <c r="R198" s="15">
        <f>P198+Q198</f>
        <v/>
      </c>
      <c r="S198" s="15">
        <f>$I$1*S197-$I$2*S196+$I$3*R177+$I$4*R176</f>
        <v/>
      </c>
      <c r="T198" s="15">
        <f>RAND()*$G$12</f>
        <v/>
      </c>
      <c r="U198" s="15">
        <f>S198+T198</f>
        <v/>
      </c>
      <c r="V198" s="15">
        <f>INT((2^$J$12-1)*U198/100)/(2^$J$12-1)*100</f>
        <v/>
      </c>
      <c r="X198" s="15">
        <f>M198 * 1.05</f>
        <v/>
      </c>
      <c r="Y198" s="15">
        <f>M198 * 0.95</f>
        <v/>
      </c>
      <c r="Z198" s="15">
        <f>IF(AND(V198 &lt;= X198, V198 &gt;= Y198), 1, 0)</f>
        <v/>
      </c>
    </row>
    <row r="199">
      <c r="L199" s="15" t="n">
        <v>197</v>
      </c>
      <c r="M199" s="15">
        <f>IF(L199&lt;$D$16,$D$13,IF(L199&lt;$E$16,$E$13,$F$13))</f>
        <v/>
      </c>
      <c r="N199" s="15">
        <f>M199-V199</f>
        <v/>
      </c>
      <c r="O199" s="15">
        <f>IF(MOD(L199,$B$11)=0,OFFSET(O199,-$B$11,0)+ $E$2*N199+$E$3*OFFSET(N199,-$B$11,0)+ $E$4*OFFSET(N199,-2* $B$11,0), O198)</f>
        <v/>
      </c>
      <c r="P199" s="15">
        <f>INT((2^$J$12-1)*O199/100)/(2^$J$12-1)*100</f>
        <v/>
      </c>
      <c r="Q199" s="15" t="n">
        <v>0</v>
      </c>
      <c r="R199" s="15">
        <f>P199+Q199</f>
        <v/>
      </c>
      <c r="S199" s="15">
        <f>$I$1*S198-$I$2*S197+$I$3*R178+$I$4*R177</f>
        <v/>
      </c>
      <c r="T199" s="15">
        <f>RAND()*$G$12</f>
        <v/>
      </c>
      <c r="U199" s="15">
        <f>S199+T199</f>
        <v/>
      </c>
      <c r="V199" s="15">
        <f>INT((2^$J$12-1)*U199/100)/(2^$J$12-1)*100</f>
        <v/>
      </c>
      <c r="X199" s="15">
        <f>M199 * 1.05</f>
        <v/>
      </c>
      <c r="Y199" s="15">
        <f>M199 * 0.95</f>
        <v/>
      </c>
      <c r="Z199" s="15">
        <f>IF(AND(V199 &lt;= X199, V199 &gt;= Y199), 1, 0)</f>
        <v/>
      </c>
    </row>
    <row r="200">
      <c r="L200" s="15" t="n">
        <v>198</v>
      </c>
      <c r="M200" s="15">
        <f>IF(L200&lt;$D$16,$D$13,IF(L200&lt;$E$16,$E$13,$F$13))</f>
        <v/>
      </c>
      <c r="N200" s="15">
        <f>M200-V200</f>
        <v/>
      </c>
      <c r="O200" s="15">
        <f>IF(MOD(L200,$B$11)=0,OFFSET(O200,-$B$11,0)+ $E$2*N200+$E$3*OFFSET(N200,-$B$11,0)+ $E$4*OFFSET(N200,-2* $B$11,0), O199)</f>
        <v/>
      </c>
      <c r="P200" s="15">
        <f>INT((2^$J$12-1)*O200/100)/(2^$J$12-1)*100</f>
        <v/>
      </c>
      <c r="Q200" s="15" t="n">
        <v>0</v>
      </c>
      <c r="R200" s="15">
        <f>P200+Q200</f>
        <v/>
      </c>
      <c r="S200" s="15">
        <f>$I$1*S199-$I$2*S198+$I$3*R179+$I$4*R178</f>
        <v/>
      </c>
      <c r="T200" s="15">
        <f>RAND()*$G$12</f>
        <v/>
      </c>
      <c r="U200" s="15">
        <f>S200+T200</f>
        <v/>
      </c>
      <c r="V200" s="15">
        <f>INT((2^$J$12-1)*U200/100)/(2^$J$12-1)*100</f>
        <v/>
      </c>
      <c r="X200" s="15">
        <f>M200 * 1.05</f>
        <v/>
      </c>
      <c r="Y200" s="15">
        <f>M200 * 0.95</f>
        <v/>
      </c>
      <c r="Z200" s="15">
        <f>IF(AND(V200 &lt;= X200, V200 &gt;= Y200), 1, 0)</f>
        <v/>
      </c>
    </row>
    <row r="201">
      <c r="L201" s="15" t="n">
        <v>199</v>
      </c>
      <c r="M201" s="15">
        <f>IF(L201&lt;$D$16,$D$13,IF(L201&lt;$E$16,$E$13,$F$13))</f>
        <v/>
      </c>
      <c r="N201" s="15">
        <f>M201-V201</f>
        <v/>
      </c>
      <c r="O201" s="15">
        <f>IF(MOD(L201,$B$11)=0,OFFSET(O201,-$B$11,0)+ $E$2*N201+$E$3*OFFSET(N201,-$B$11,0)+ $E$4*OFFSET(N201,-2* $B$11,0), O200)</f>
        <v/>
      </c>
      <c r="P201" s="15">
        <f>INT((2^$J$12-1)*O201/100)/(2^$J$12-1)*100</f>
        <v/>
      </c>
      <c r="Q201" s="15" t="n">
        <v>0</v>
      </c>
      <c r="R201" s="15">
        <f>P201+Q201</f>
        <v/>
      </c>
      <c r="S201" s="15">
        <f>$I$1*S200-$I$2*S199+$I$3*R180+$I$4*R179</f>
        <v/>
      </c>
      <c r="T201" s="15">
        <f>RAND()*$G$12</f>
        <v/>
      </c>
      <c r="U201" s="15">
        <f>S201+T201</f>
        <v/>
      </c>
      <c r="V201" s="15">
        <f>INT((2^$J$12-1)*U201/100)/(2^$J$12-1)*100</f>
        <v/>
      </c>
      <c r="X201" s="15">
        <f>M201 * 1.05</f>
        <v/>
      </c>
      <c r="Y201" s="15">
        <f>M201 * 0.95</f>
        <v/>
      </c>
      <c r="Z201" s="15">
        <f>IF(AND(V201 &lt;= X201, V201 &gt;= Y201), 1, 0)</f>
        <v/>
      </c>
    </row>
    <row r="202">
      <c r="L202" s="15" t="n">
        <v>200</v>
      </c>
      <c r="M202" s="15">
        <f>IF(L202&lt;$D$16,$D$13,IF(L202&lt;$E$16,$E$13,$F$13))</f>
        <v/>
      </c>
      <c r="N202" s="15">
        <f>M202-V202</f>
        <v/>
      </c>
      <c r="O202" s="15">
        <f>IF(MOD(L202,$B$11)=0,OFFSET(O202,-$B$11,0)+ $E$2*N202+$E$3*OFFSET(N202,-$B$11,0)+ $E$4*OFFSET(N202,-2* $B$11,0), O201)</f>
        <v/>
      </c>
      <c r="P202" s="15">
        <f>INT((2^$J$12-1)*O202/100)/(2^$J$12-1)*100</f>
        <v/>
      </c>
      <c r="Q202" s="15" t="n">
        <v>0</v>
      </c>
      <c r="R202" s="15">
        <f>P202+Q202</f>
        <v/>
      </c>
      <c r="S202" s="15">
        <f>$I$1*S201-$I$2*S200+$I$3*R181+$I$4*R180</f>
        <v/>
      </c>
      <c r="T202" s="15">
        <f>RAND()*$G$12</f>
        <v/>
      </c>
      <c r="U202" s="15">
        <f>S202+T202</f>
        <v/>
      </c>
      <c r="V202" s="15">
        <f>INT((2^$J$12-1)*U202/100)/(2^$J$12-1)*100</f>
        <v/>
      </c>
      <c r="X202" s="15">
        <f>M202 * 1.05</f>
        <v/>
      </c>
      <c r="Y202" s="15">
        <f>M202 * 0.95</f>
        <v/>
      </c>
      <c r="Z202" s="15">
        <f>IF(AND(V202 &lt;= X202, V202 &gt;= Y202), 1, 0)</f>
        <v/>
      </c>
    </row>
    <row r="203">
      <c r="L203" s="15" t="n">
        <v>201</v>
      </c>
      <c r="M203" s="15">
        <f>IF(L203&lt;$D$16,$D$13,IF(L203&lt;$E$16,$E$13,$F$13))</f>
        <v/>
      </c>
      <c r="N203" s="15">
        <f>M203-V203</f>
        <v/>
      </c>
      <c r="O203" s="15">
        <f>IF(MOD(L203,$B$11)=0,OFFSET(O203,-$B$11,0)+ $E$2*N203+$E$3*OFFSET(N203,-$B$11,0)+ $E$4*OFFSET(N203,-2* $B$11,0), O202)</f>
        <v/>
      </c>
      <c r="P203" s="15">
        <f>INT((2^$J$12-1)*O203/100)/(2^$J$12-1)*100</f>
        <v/>
      </c>
      <c r="Q203" s="15" t="n">
        <v>0</v>
      </c>
      <c r="R203" s="15">
        <f>P203+Q203</f>
        <v/>
      </c>
      <c r="S203" s="15">
        <f>$I$1*S202-$I$2*S201+$I$3*R182+$I$4*R181</f>
        <v/>
      </c>
      <c r="T203" s="15">
        <f>RAND()*$G$12</f>
        <v/>
      </c>
      <c r="U203" s="15">
        <f>S203+T203</f>
        <v/>
      </c>
      <c r="V203" s="15">
        <f>INT((2^$J$12-1)*U203/100)/(2^$J$12-1)*100</f>
        <v/>
      </c>
      <c r="X203" s="15">
        <f>M203 * 1.05</f>
        <v/>
      </c>
      <c r="Y203" s="15">
        <f>M203 * 0.95</f>
        <v/>
      </c>
      <c r="Z203" s="15">
        <f>IF(AND(V203 &lt;= X203, V203 &gt;= Y203), 1, 0)</f>
        <v/>
      </c>
    </row>
    <row r="204">
      <c r="L204" s="15" t="n">
        <v>202</v>
      </c>
      <c r="M204" s="15">
        <f>IF(L204&lt;$D$16,$D$13,IF(L204&lt;$E$16,$E$13,$F$13))</f>
        <v/>
      </c>
      <c r="N204" s="15">
        <f>M204-V204</f>
        <v/>
      </c>
      <c r="O204" s="15">
        <f>IF(MOD(L204,$B$11)=0,OFFSET(O204,-$B$11,0)+ $E$2*N204+$E$3*OFFSET(N204,-$B$11,0)+ $E$4*OFFSET(N204,-2* $B$11,0), O203)</f>
        <v/>
      </c>
      <c r="P204" s="15">
        <f>INT((2^$J$12-1)*O204/100)/(2^$J$12-1)*100</f>
        <v/>
      </c>
      <c r="Q204" s="15" t="n">
        <v>0</v>
      </c>
      <c r="R204" s="15">
        <f>P204+Q204</f>
        <v/>
      </c>
      <c r="S204" s="15">
        <f>$I$1*S203-$I$2*S202+$I$3*R183+$I$4*R182</f>
        <v/>
      </c>
      <c r="T204" s="15">
        <f>RAND()*$G$12</f>
        <v/>
      </c>
      <c r="U204" s="15">
        <f>S204+T204</f>
        <v/>
      </c>
      <c r="V204" s="15">
        <f>INT((2^$J$12-1)*U204/100)/(2^$J$12-1)*100</f>
        <v/>
      </c>
      <c r="X204" s="15">
        <f>M204 * 1.05</f>
        <v/>
      </c>
      <c r="Y204" s="15">
        <f>M204 * 0.95</f>
        <v/>
      </c>
      <c r="Z204" s="15">
        <f>IF(AND(V204 &lt;= X204, V204 &gt;= Y204), 1, 0)</f>
        <v/>
      </c>
    </row>
    <row r="205">
      <c r="L205" s="15" t="n">
        <v>203</v>
      </c>
      <c r="M205" s="15">
        <f>IF(L205&lt;$D$16,$D$13,IF(L205&lt;$E$16,$E$13,$F$13))</f>
        <v/>
      </c>
      <c r="N205" s="15">
        <f>M205-V205</f>
        <v/>
      </c>
      <c r="O205" s="15">
        <f>IF(MOD(L205,$B$11)=0,OFFSET(O205,-$B$11,0)+ $E$2*N205+$E$3*OFFSET(N205,-$B$11,0)+ $E$4*OFFSET(N205,-2* $B$11,0), O204)</f>
        <v/>
      </c>
      <c r="P205" s="15">
        <f>INT((2^$J$12-1)*O205/100)/(2^$J$12-1)*100</f>
        <v/>
      </c>
      <c r="Q205" s="15" t="n">
        <v>0</v>
      </c>
      <c r="R205" s="15">
        <f>P205+Q205</f>
        <v/>
      </c>
      <c r="S205" s="15">
        <f>$I$1*S204-$I$2*S203+$I$3*R184+$I$4*R183</f>
        <v/>
      </c>
      <c r="T205" s="15">
        <f>RAND()*$G$12</f>
        <v/>
      </c>
      <c r="U205" s="15">
        <f>S205+T205</f>
        <v/>
      </c>
      <c r="V205" s="15">
        <f>INT((2^$J$12-1)*U205/100)/(2^$J$12-1)*100</f>
        <v/>
      </c>
      <c r="X205" s="15">
        <f>M205 * 1.05</f>
        <v/>
      </c>
      <c r="Y205" s="15">
        <f>M205 * 0.95</f>
        <v/>
      </c>
      <c r="Z205" s="15">
        <f>IF(AND(V205 &lt;= X205, V205 &gt;= Y205), 1, 0)</f>
        <v/>
      </c>
    </row>
    <row r="206">
      <c r="L206" s="15" t="n">
        <v>204</v>
      </c>
      <c r="M206" s="15">
        <f>IF(L206&lt;$D$16,$D$13,IF(L206&lt;$E$16,$E$13,$F$13))</f>
        <v/>
      </c>
      <c r="N206" s="15">
        <f>M206-V206</f>
        <v/>
      </c>
      <c r="O206" s="15">
        <f>IF(MOD(L206,$B$11)=0,OFFSET(O206,-$B$11,0)+ $E$2*N206+$E$3*OFFSET(N206,-$B$11,0)+ $E$4*OFFSET(N206,-2* $B$11,0), O205)</f>
        <v/>
      </c>
      <c r="P206" s="15">
        <f>INT((2^$J$12-1)*O206/100)/(2^$J$12-1)*100</f>
        <v/>
      </c>
      <c r="Q206" s="15" t="n">
        <v>0</v>
      </c>
      <c r="R206" s="15">
        <f>P206+Q206</f>
        <v/>
      </c>
      <c r="S206" s="15">
        <f>$I$1*S205-$I$2*S204+$I$3*R185+$I$4*R184</f>
        <v/>
      </c>
      <c r="T206" s="15">
        <f>RAND()*$G$12</f>
        <v/>
      </c>
      <c r="U206" s="15">
        <f>S206+T206</f>
        <v/>
      </c>
      <c r="V206" s="15">
        <f>INT((2^$J$12-1)*U206/100)/(2^$J$12-1)*100</f>
        <v/>
      </c>
      <c r="X206" s="15">
        <f>M206 * 1.05</f>
        <v/>
      </c>
      <c r="Y206" s="15">
        <f>M206 * 0.95</f>
        <v/>
      </c>
      <c r="Z206" s="15">
        <f>IF(AND(V206 &lt;= X206, V206 &gt;= Y206), 1, 0)</f>
        <v/>
      </c>
    </row>
    <row r="207">
      <c r="L207" s="15" t="n">
        <v>205</v>
      </c>
      <c r="M207" s="15">
        <f>IF(L207&lt;$D$16,$D$13,IF(L207&lt;$E$16,$E$13,$F$13))</f>
        <v/>
      </c>
      <c r="N207" s="15">
        <f>M207-V207</f>
        <v/>
      </c>
      <c r="O207" s="15">
        <f>IF(MOD(L207,$B$11)=0,OFFSET(O207,-$B$11,0)+ $E$2*N207+$E$3*OFFSET(N207,-$B$11,0)+ $E$4*OFFSET(N207,-2* $B$11,0), O206)</f>
        <v/>
      </c>
      <c r="P207" s="15">
        <f>INT((2^$J$12-1)*O207/100)/(2^$J$12-1)*100</f>
        <v/>
      </c>
      <c r="Q207" s="15" t="n">
        <v>0</v>
      </c>
      <c r="R207" s="15">
        <f>P207+Q207</f>
        <v/>
      </c>
      <c r="S207" s="15">
        <f>$I$1*S206-$I$2*S205+$I$3*R186+$I$4*R185</f>
        <v/>
      </c>
      <c r="T207" s="15">
        <f>RAND()*$G$12</f>
        <v/>
      </c>
      <c r="U207" s="15">
        <f>S207+T207</f>
        <v/>
      </c>
      <c r="V207" s="15">
        <f>INT((2^$J$12-1)*U207/100)/(2^$J$12-1)*100</f>
        <v/>
      </c>
      <c r="X207" s="15">
        <f>M207 * 1.05</f>
        <v/>
      </c>
      <c r="Y207" s="15">
        <f>M207 * 0.95</f>
        <v/>
      </c>
      <c r="Z207" s="15">
        <f>IF(AND(V207 &lt;= X207, V207 &gt;= Y207), 1, 0)</f>
        <v/>
      </c>
    </row>
    <row r="208">
      <c r="L208" s="15" t="n">
        <v>206</v>
      </c>
      <c r="M208" s="15">
        <f>IF(L208&lt;$D$16,$D$13,IF(L208&lt;$E$16,$E$13,$F$13))</f>
        <v/>
      </c>
      <c r="N208" s="15">
        <f>M208-V208</f>
        <v/>
      </c>
      <c r="O208" s="15">
        <f>IF(MOD(L208,$B$11)=0,OFFSET(O208,-$B$11,0)+ $E$2*N208+$E$3*OFFSET(N208,-$B$11,0)+ $E$4*OFFSET(N208,-2* $B$11,0), O207)</f>
        <v/>
      </c>
      <c r="P208" s="15">
        <f>INT((2^$J$12-1)*O208/100)/(2^$J$12-1)*100</f>
        <v/>
      </c>
      <c r="Q208" s="15" t="n">
        <v>0</v>
      </c>
      <c r="R208" s="15">
        <f>P208+Q208</f>
        <v/>
      </c>
      <c r="S208" s="15">
        <f>$I$1*S207-$I$2*S206+$I$3*R187+$I$4*R186</f>
        <v/>
      </c>
      <c r="T208" s="15">
        <f>RAND()*$G$12</f>
        <v/>
      </c>
      <c r="U208" s="15">
        <f>S208+T208</f>
        <v/>
      </c>
      <c r="V208" s="15">
        <f>INT((2^$J$12-1)*U208/100)/(2^$J$12-1)*100</f>
        <v/>
      </c>
      <c r="X208" s="15">
        <f>M208 * 1.05</f>
        <v/>
      </c>
      <c r="Y208" s="15">
        <f>M208 * 0.95</f>
        <v/>
      </c>
      <c r="Z208" s="15">
        <f>IF(AND(V208 &lt;= X208, V208 &gt;= Y208), 1, 0)</f>
        <v/>
      </c>
    </row>
    <row r="209">
      <c r="L209" s="15" t="n">
        <v>207</v>
      </c>
      <c r="M209" s="15">
        <f>IF(L209&lt;$D$16,$D$13,IF(L209&lt;$E$16,$E$13,$F$13))</f>
        <v/>
      </c>
      <c r="N209" s="15">
        <f>M209-V209</f>
        <v/>
      </c>
      <c r="O209" s="15">
        <f>IF(MOD(L209,$B$11)=0,OFFSET(O209,-$B$11,0)+ $E$2*N209+$E$3*OFFSET(N209,-$B$11,0)+ $E$4*OFFSET(N209,-2* $B$11,0), O208)</f>
        <v/>
      </c>
      <c r="P209" s="15">
        <f>INT((2^$J$12-1)*O209/100)/(2^$J$12-1)*100</f>
        <v/>
      </c>
      <c r="Q209" s="15" t="n">
        <v>0</v>
      </c>
      <c r="R209" s="15">
        <f>P209+Q209</f>
        <v/>
      </c>
      <c r="S209" s="15">
        <f>$I$1*S208-$I$2*S207+$I$3*R188+$I$4*R187</f>
        <v/>
      </c>
      <c r="T209" s="15">
        <f>RAND()*$G$12</f>
        <v/>
      </c>
      <c r="U209" s="15">
        <f>S209+T209</f>
        <v/>
      </c>
      <c r="V209" s="15">
        <f>INT((2^$J$12-1)*U209/100)/(2^$J$12-1)*100</f>
        <v/>
      </c>
      <c r="X209" s="15">
        <f>M209 * 1.05</f>
        <v/>
      </c>
      <c r="Y209" s="15">
        <f>M209 * 0.95</f>
        <v/>
      </c>
      <c r="Z209" s="15">
        <f>IF(AND(V209 &lt;= X209, V209 &gt;= Y209), 1, 0)</f>
        <v/>
      </c>
    </row>
    <row r="210">
      <c r="L210" s="15" t="n">
        <v>208</v>
      </c>
      <c r="M210" s="15">
        <f>IF(L210&lt;$D$16,$D$13,IF(L210&lt;$E$16,$E$13,$F$13))</f>
        <v/>
      </c>
      <c r="N210" s="15">
        <f>M210-V210</f>
        <v/>
      </c>
      <c r="O210" s="15">
        <f>IF(MOD(L210,$B$11)=0,OFFSET(O210,-$B$11,0)+ $E$2*N210+$E$3*OFFSET(N210,-$B$11,0)+ $E$4*OFFSET(N210,-2* $B$11,0), O209)</f>
        <v/>
      </c>
      <c r="P210" s="15">
        <f>INT((2^$J$12-1)*O210/100)/(2^$J$12-1)*100</f>
        <v/>
      </c>
      <c r="Q210" s="15" t="n">
        <v>0</v>
      </c>
      <c r="R210" s="15">
        <f>P210+Q210</f>
        <v/>
      </c>
      <c r="S210" s="15">
        <f>$I$1*S209-$I$2*S208+$I$3*R189+$I$4*R188</f>
        <v/>
      </c>
      <c r="T210" s="15">
        <f>RAND()*$G$12</f>
        <v/>
      </c>
      <c r="U210" s="15">
        <f>S210+T210</f>
        <v/>
      </c>
      <c r="V210" s="15">
        <f>INT((2^$J$12-1)*U210/100)/(2^$J$12-1)*100</f>
        <v/>
      </c>
      <c r="X210" s="15">
        <f>M210 * 1.05</f>
        <v/>
      </c>
      <c r="Y210" s="15">
        <f>M210 * 0.95</f>
        <v/>
      </c>
      <c r="Z210" s="15">
        <f>IF(AND(V210 &lt;= X210, V210 &gt;= Y210), 1, 0)</f>
        <v/>
      </c>
    </row>
    <row r="211">
      <c r="L211" s="15" t="n">
        <v>209</v>
      </c>
      <c r="M211" s="15">
        <f>IF(L211&lt;$D$16,$D$13,IF(L211&lt;$E$16,$E$13,$F$13))</f>
        <v/>
      </c>
      <c r="N211" s="15">
        <f>M211-V211</f>
        <v/>
      </c>
      <c r="O211" s="15">
        <f>IF(MOD(L211,$B$11)=0,OFFSET(O211,-$B$11,0)+ $E$2*N211+$E$3*OFFSET(N211,-$B$11,0)+ $E$4*OFFSET(N211,-2* $B$11,0), O210)</f>
        <v/>
      </c>
      <c r="P211" s="15">
        <f>INT((2^$J$12-1)*O211/100)/(2^$J$12-1)*100</f>
        <v/>
      </c>
      <c r="Q211" s="15" t="n">
        <v>0</v>
      </c>
      <c r="R211" s="15">
        <f>P211+Q211</f>
        <v/>
      </c>
      <c r="S211" s="15">
        <f>$I$1*S210-$I$2*S209+$I$3*R190+$I$4*R189</f>
        <v/>
      </c>
      <c r="T211" s="15">
        <f>RAND()*$G$12</f>
        <v/>
      </c>
      <c r="U211" s="15">
        <f>S211+T211</f>
        <v/>
      </c>
      <c r="V211" s="15">
        <f>INT((2^$J$12-1)*U211/100)/(2^$J$12-1)*100</f>
        <v/>
      </c>
      <c r="X211" s="15">
        <f>M211 * 1.05</f>
        <v/>
      </c>
      <c r="Y211" s="15">
        <f>M211 * 0.95</f>
        <v/>
      </c>
      <c r="Z211" s="15">
        <f>IF(AND(V211 &lt;= X211, V211 &gt;= Y211), 1, 0)</f>
        <v/>
      </c>
    </row>
    <row r="212">
      <c r="L212" s="15" t="n">
        <v>210</v>
      </c>
      <c r="M212" s="15">
        <f>IF(L212&lt;$D$16,$D$13,IF(L212&lt;$E$16,$E$13,$F$13))</f>
        <v/>
      </c>
      <c r="N212" s="15">
        <f>M212-V212</f>
        <v/>
      </c>
      <c r="O212" s="15">
        <f>IF(MOD(L212,$B$11)=0,OFFSET(O212,-$B$11,0)+ $E$2*N212+$E$3*OFFSET(N212,-$B$11,0)+ $E$4*OFFSET(N212,-2* $B$11,0), O211)</f>
        <v/>
      </c>
      <c r="P212" s="15">
        <f>INT((2^$J$12-1)*O212/100)/(2^$J$12-1)*100</f>
        <v/>
      </c>
      <c r="Q212" s="15" t="n">
        <v>0</v>
      </c>
      <c r="R212" s="15">
        <f>P212+Q212</f>
        <v/>
      </c>
      <c r="S212" s="15">
        <f>$I$1*S211-$I$2*S210+$I$3*R191+$I$4*R190</f>
        <v/>
      </c>
      <c r="T212" s="15">
        <f>RAND()*$G$12</f>
        <v/>
      </c>
      <c r="U212" s="15">
        <f>S212+T212</f>
        <v/>
      </c>
      <c r="V212" s="15">
        <f>INT((2^$J$12-1)*U212/100)/(2^$J$12-1)*100</f>
        <v/>
      </c>
      <c r="X212" s="15">
        <f>M212 * 1.05</f>
        <v/>
      </c>
      <c r="Y212" s="15">
        <f>M212 * 0.95</f>
        <v/>
      </c>
      <c r="Z212" s="15">
        <f>IF(AND(V212 &lt;= X212, V212 &gt;= Y212), 1, 0)</f>
        <v/>
      </c>
    </row>
    <row r="213">
      <c r="L213" s="15" t="n">
        <v>211</v>
      </c>
      <c r="M213" s="15">
        <f>IF(L213&lt;$D$16,$D$13,IF(L213&lt;$E$16,$E$13,$F$13))</f>
        <v/>
      </c>
      <c r="N213" s="15">
        <f>M213-V213</f>
        <v/>
      </c>
      <c r="O213" s="15">
        <f>IF(MOD(L213,$B$11)=0,OFFSET(O213,-$B$11,0)+ $E$2*N213+$E$3*OFFSET(N213,-$B$11,0)+ $E$4*OFFSET(N213,-2* $B$11,0), O212)</f>
        <v/>
      </c>
      <c r="P213" s="15">
        <f>INT((2^$J$12-1)*O213/100)/(2^$J$12-1)*100</f>
        <v/>
      </c>
      <c r="Q213" s="15" t="n">
        <v>0</v>
      </c>
      <c r="R213" s="15">
        <f>P213+Q213</f>
        <v/>
      </c>
      <c r="S213" s="15">
        <f>$I$1*S212-$I$2*S211+$I$3*R192+$I$4*R191</f>
        <v/>
      </c>
      <c r="T213" s="15">
        <f>RAND()*$G$12</f>
        <v/>
      </c>
      <c r="U213" s="15">
        <f>S213+T213</f>
        <v/>
      </c>
      <c r="V213" s="15">
        <f>INT((2^$J$12-1)*U213/100)/(2^$J$12-1)*100</f>
        <v/>
      </c>
      <c r="X213" s="15">
        <f>M213 * 1.05</f>
        <v/>
      </c>
      <c r="Y213" s="15">
        <f>M213 * 0.95</f>
        <v/>
      </c>
      <c r="Z213" s="15">
        <f>IF(AND(V213 &lt;= X213, V213 &gt;= Y213), 1, 0)</f>
        <v/>
      </c>
    </row>
    <row r="214">
      <c r="L214" s="15" t="n">
        <v>212</v>
      </c>
      <c r="M214" s="15">
        <f>IF(L214&lt;$D$16,$D$13,IF(L214&lt;$E$16,$E$13,$F$13))</f>
        <v/>
      </c>
      <c r="N214" s="15">
        <f>M214-V214</f>
        <v/>
      </c>
      <c r="O214" s="15">
        <f>IF(MOD(L214,$B$11)=0,OFFSET(O214,-$B$11,0)+ $E$2*N214+$E$3*OFFSET(N214,-$B$11,0)+ $E$4*OFFSET(N214,-2* $B$11,0), O213)</f>
        <v/>
      </c>
      <c r="P214" s="15">
        <f>INT((2^$J$12-1)*O214/100)/(2^$J$12-1)*100</f>
        <v/>
      </c>
      <c r="Q214" s="15" t="n">
        <v>0</v>
      </c>
      <c r="R214" s="15">
        <f>P214+Q214</f>
        <v/>
      </c>
      <c r="S214" s="15">
        <f>$I$1*S213-$I$2*S212+$I$3*R193+$I$4*R192</f>
        <v/>
      </c>
      <c r="T214" s="15">
        <f>RAND()*$G$12</f>
        <v/>
      </c>
      <c r="U214" s="15">
        <f>S214+T214</f>
        <v/>
      </c>
      <c r="V214" s="15">
        <f>INT((2^$J$12-1)*U214/100)/(2^$J$12-1)*100</f>
        <v/>
      </c>
      <c r="X214" s="15">
        <f>M214 * 1.05</f>
        <v/>
      </c>
      <c r="Y214" s="15">
        <f>M214 * 0.95</f>
        <v/>
      </c>
      <c r="Z214" s="15">
        <f>IF(AND(V214 &lt;= X214, V214 &gt;= Y214), 1, 0)</f>
        <v/>
      </c>
    </row>
    <row r="215">
      <c r="L215" s="15" t="n">
        <v>213</v>
      </c>
      <c r="M215" s="15">
        <f>IF(L215&lt;$D$16,$D$13,IF(L215&lt;$E$16,$E$13,$F$13))</f>
        <v/>
      </c>
      <c r="N215" s="15">
        <f>M215-V215</f>
        <v/>
      </c>
      <c r="O215" s="15">
        <f>IF(MOD(L215,$B$11)=0,OFFSET(O215,-$B$11,0)+ $E$2*N215+$E$3*OFFSET(N215,-$B$11,0)+ $E$4*OFFSET(N215,-2* $B$11,0), O214)</f>
        <v/>
      </c>
      <c r="P215" s="15">
        <f>INT((2^$J$12-1)*O215/100)/(2^$J$12-1)*100</f>
        <v/>
      </c>
      <c r="Q215" s="15" t="n">
        <v>0</v>
      </c>
      <c r="R215" s="15">
        <f>P215+Q215</f>
        <v/>
      </c>
      <c r="S215" s="15">
        <f>$I$1*S214-$I$2*S213+$I$3*R194+$I$4*R193</f>
        <v/>
      </c>
      <c r="T215" s="15">
        <f>RAND()*$G$12</f>
        <v/>
      </c>
      <c r="U215" s="15">
        <f>S215+T215</f>
        <v/>
      </c>
      <c r="V215" s="15">
        <f>INT((2^$J$12-1)*U215/100)/(2^$J$12-1)*100</f>
        <v/>
      </c>
      <c r="X215" s="15">
        <f>M215 * 1.05</f>
        <v/>
      </c>
      <c r="Y215" s="15">
        <f>M215 * 0.95</f>
        <v/>
      </c>
      <c r="Z215" s="15">
        <f>IF(AND(V215 &lt;= X215, V215 &gt;= Y215), 1, 0)</f>
        <v/>
      </c>
    </row>
    <row r="216">
      <c r="L216" s="15" t="n">
        <v>214</v>
      </c>
      <c r="M216" s="15">
        <f>IF(L216&lt;$D$16,$D$13,IF(L216&lt;$E$16,$E$13,$F$13))</f>
        <v/>
      </c>
      <c r="N216" s="15">
        <f>M216-V216</f>
        <v/>
      </c>
      <c r="O216" s="15">
        <f>IF(MOD(L216,$B$11)=0,OFFSET(O216,-$B$11,0)+ $E$2*N216+$E$3*OFFSET(N216,-$B$11,0)+ $E$4*OFFSET(N216,-2* $B$11,0), O215)</f>
        <v/>
      </c>
      <c r="P216" s="15">
        <f>INT((2^$J$12-1)*O216/100)/(2^$J$12-1)*100</f>
        <v/>
      </c>
      <c r="Q216" s="15" t="n">
        <v>0</v>
      </c>
      <c r="R216" s="15">
        <f>P216+Q216</f>
        <v/>
      </c>
      <c r="S216" s="15">
        <f>$I$1*S215-$I$2*S214+$I$3*R195+$I$4*R194</f>
        <v/>
      </c>
      <c r="T216" s="15">
        <f>RAND()*$G$12</f>
        <v/>
      </c>
      <c r="U216" s="15">
        <f>S216+T216</f>
        <v/>
      </c>
      <c r="V216" s="15">
        <f>INT((2^$J$12-1)*U216/100)/(2^$J$12-1)*100</f>
        <v/>
      </c>
      <c r="X216" s="15">
        <f>M216 * 1.05</f>
        <v/>
      </c>
      <c r="Y216" s="15">
        <f>M216 * 0.95</f>
        <v/>
      </c>
      <c r="Z216" s="15">
        <f>IF(AND(V216 &lt;= X216, V216 &gt;= Y216), 1, 0)</f>
        <v/>
      </c>
    </row>
    <row r="217">
      <c r="L217" s="15" t="n">
        <v>215</v>
      </c>
      <c r="M217" s="15">
        <f>IF(L217&lt;$D$16,$D$13,IF(L217&lt;$E$16,$E$13,$F$13))</f>
        <v/>
      </c>
      <c r="N217" s="15">
        <f>M217-V217</f>
        <v/>
      </c>
      <c r="O217" s="15">
        <f>IF(MOD(L217,$B$11)=0,OFFSET(O217,-$B$11,0)+ $E$2*N217+$E$3*OFFSET(N217,-$B$11,0)+ $E$4*OFFSET(N217,-2* $B$11,0), O216)</f>
        <v/>
      </c>
      <c r="P217" s="15">
        <f>INT((2^$J$12-1)*O217/100)/(2^$J$12-1)*100</f>
        <v/>
      </c>
      <c r="Q217" s="15" t="n">
        <v>0</v>
      </c>
      <c r="R217" s="15">
        <f>P217+Q217</f>
        <v/>
      </c>
      <c r="S217" s="15">
        <f>$I$1*S216-$I$2*S215+$I$3*R196+$I$4*R195</f>
        <v/>
      </c>
      <c r="T217" s="15">
        <f>RAND()*$G$12</f>
        <v/>
      </c>
      <c r="U217" s="15">
        <f>S217+T217</f>
        <v/>
      </c>
      <c r="V217" s="15">
        <f>INT((2^$J$12-1)*U217/100)/(2^$J$12-1)*100</f>
        <v/>
      </c>
      <c r="X217" s="15">
        <f>M217 * 1.05</f>
        <v/>
      </c>
      <c r="Y217" s="15">
        <f>M217 * 0.95</f>
        <v/>
      </c>
      <c r="Z217" s="15">
        <f>IF(AND(V217 &lt;= X217, V217 &gt;= Y217), 1, 0)</f>
        <v/>
      </c>
    </row>
    <row r="218">
      <c r="L218" s="15" t="n">
        <v>216</v>
      </c>
      <c r="M218" s="15">
        <f>IF(L218&lt;$D$16,$D$13,IF(L218&lt;$E$16,$E$13,$F$13))</f>
        <v/>
      </c>
      <c r="N218" s="15">
        <f>M218-V218</f>
        <v/>
      </c>
      <c r="O218" s="15">
        <f>IF(MOD(L218,$B$11)=0,OFFSET(O218,-$B$11,0)+ $E$2*N218+$E$3*OFFSET(N218,-$B$11,0)+ $E$4*OFFSET(N218,-2* $B$11,0), O217)</f>
        <v/>
      </c>
      <c r="P218" s="15">
        <f>INT((2^$J$12-1)*O218/100)/(2^$J$12-1)*100</f>
        <v/>
      </c>
      <c r="Q218" s="15" t="n">
        <v>0</v>
      </c>
      <c r="R218" s="15">
        <f>P218+Q218</f>
        <v/>
      </c>
      <c r="S218" s="15">
        <f>$I$1*S217-$I$2*S216+$I$3*R197+$I$4*R196</f>
        <v/>
      </c>
      <c r="T218" s="15">
        <f>RAND()*$G$12</f>
        <v/>
      </c>
      <c r="U218" s="15">
        <f>S218+T218</f>
        <v/>
      </c>
      <c r="V218" s="15">
        <f>INT((2^$J$12-1)*U218/100)/(2^$J$12-1)*100</f>
        <v/>
      </c>
      <c r="X218" s="15">
        <f>M218 * 1.05</f>
        <v/>
      </c>
      <c r="Y218" s="15">
        <f>M218 * 0.95</f>
        <v/>
      </c>
      <c r="Z218" s="15">
        <f>IF(AND(V218 &lt;= X218, V218 &gt;= Y218), 1, 0)</f>
        <v/>
      </c>
    </row>
    <row r="219">
      <c r="L219" s="15" t="n">
        <v>217</v>
      </c>
      <c r="M219" s="15">
        <f>IF(L219&lt;$D$16,$D$13,IF(L219&lt;$E$16,$E$13,$F$13))</f>
        <v/>
      </c>
      <c r="N219" s="15">
        <f>M219-V219</f>
        <v/>
      </c>
      <c r="O219" s="15">
        <f>IF(MOD(L219,$B$11)=0,OFFSET(O219,-$B$11,0)+ $E$2*N219+$E$3*OFFSET(N219,-$B$11,0)+ $E$4*OFFSET(N219,-2* $B$11,0), O218)</f>
        <v/>
      </c>
      <c r="P219" s="15">
        <f>INT((2^$J$12-1)*O219/100)/(2^$J$12-1)*100</f>
        <v/>
      </c>
      <c r="Q219" s="15" t="n">
        <v>0</v>
      </c>
      <c r="R219" s="15">
        <f>P219+Q219</f>
        <v/>
      </c>
      <c r="S219" s="15">
        <f>$I$1*S218-$I$2*S217+$I$3*R198+$I$4*R197</f>
        <v/>
      </c>
      <c r="T219" s="15">
        <f>RAND()*$G$12</f>
        <v/>
      </c>
      <c r="U219" s="15">
        <f>S219+T219</f>
        <v/>
      </c>
      <c r="V219" s="15">
        <f>INT((2^$J$12-1)*U219/100)/(2^$J$12-1)*100</f>
        <v/>
      </c>
      <c r="X219" s="15">
        <f>M219 * 1.05</f>
        <v/>
      </c>
      <c r="Y219" s="15">
        <f>M219 * 0.95</f>
        <v/>
      </c>
      <c r="Z219" s="15">
        <f>IF(AND(V219 &lt;= X219, V219 &gt;= Y219), 1, 0)</f>
        <v/>
      </c>
    </row>
    <row r="220">
      <c r="L220" s="15" t="n">
        <v>218</v>
      </c>
      <c r="M220" s="15">
        <f>IF(L220&lt;$D$16,$D$13,IF(L220&lt;$E$16,$E$13,$F$13))</f>
        <v/>
      </c>
      <c r="N220" s="15">
        <f>M220-V220</f>
        <v/>
      </c>
      <c r="O220" s="15">
        <f>IF(MOD(L220,$B$11)=0,OFFSET(O220,-$B$11,0)+ $E$2*N220+$E$3*OFFSET(N220,-$B$11,0)+ $E$4*OFFSET(N220,-2* $B$11,0), O219)</f>
        <v/>
      </c>
      <c r="P220" s="15">
        <f>INT((2^$J$12-1)*O220/100)/(2^$J$12-1)*100</f>
        <v/>
      </c>
      <c r="Q220" s="15" t="n">
        <v>0</v>
      </c>
      <c r="R220" s="15">
        <f>P220+Q220</f>
        <v/>
      </c>
      <c r="S220" s="15">
        <f>$I$1*S219-$I$2*S218+$I$3*R199+$I$4*R198</f>
        <v/>
      </c>
      <c r="T220" s="15">
        <f>RAND()*$G$12</f>
        <v/>
      </c>
      <c r="U220" s="15">
        <f>S220+T220</f>
        <v/>
      </c>
      <c r="V220" s="15">
        <f>INT((2^$J$12-1)*U220/100)/(2^$J$12-1)*100</f>
        <v/>
      </c>
      <c r="X220" s="15">
        <f>M220 * 1.05</f>
        <v/>
      </c>
      <c r="Y220" s="15">
        <f>M220 * 0.95</f>
        <v/>
      </c>
      <c r="Z220" s="15">
        <f>IF(AND(V220 &lt;= X220, V220 &gt;= Y220), 1, 0)</f>
        <v/>
      </c>
    </row>
    <row r="221">
      <c r="L221" s="15" t="n">
        <v>219</v>
      </c>
      <c r="M221" s="15">
        <f>IF(L221&lt;$D$16,$D$13,IF(L221&lt;$E$16,$E$13,$F$13))</f>
        <v/>
      </c>
      <c r="N221" s="15">
        <f>M221-V221</f>
        <v/>
      </c>
      <c r="O221" s="15">
        <f>IF(MOD(L221,$B$11)=0,OFFSET(O221,-$B$11,0)+ $E$2*N221+$E$3*OFFSET(N221,-$B$11,0)+ $E$4*OFFSET(N221,-2* $B$11,0), O220)</f>
        <v/>
      </c>
      <c r="P221" s="15">
        <f>INT((2^$J$12-1)*O221/100)/(2^$J$12-1)*100</f>
        <v/>
      </c>
      <c r="Q221" s="15" t="n">
        <v>0</v>
      </c>
      <c r="R221" s="15">
        <f>P221+Q221</f>
        <v/>
      </c>
      <c r="S221" s="15">
        <f>$I$1*S220-$I$2*S219+$I$3*R200+$I$4*R199</f>
        <v/>
      </c>
      <c r="T221" s="15">
        <f>RAND()*$G$12</f>
        <v/>
      </c>
      <c r="U221" s="15">
        <f>S221+T221</f>
        <v/>
      </c>
      <c r="V221" s="15">
        <f>INT((2^$J$12-1)*U221/100)/(2^$J$12-1)*100</f>
        <v/>
      </c>
      <c r="X221" s="15">
        <f>M221 * 1.05</f>
        <v/>
      </c>
      <c r="Y221" s="15">
        <f>M221 * 0.95</f>
        <v/>
      </c>
      <c r="Z221" s="15">
        <f>IF(AND(V221 &lt;= X221, V221 &gt;= Y221), 1, 0)</f>
        <v/>
      </c>
    </row>
    <row r="222">
      <c r="L222" s="15" t="n">
        <v>220</v>
      </c>
      <c r="M222" s="15">
        <f>IF(L222&lt;$D$16,$D$13,IF(L222&lt;$E$16,$E$13,$F$13))</f>
        <v/>
      </c>
      <c r="N222" s="15">
        <f>M222-V222</f>
        <v/>
      </c>
      <c r="O222" s="15">
        <f>IF(MOD(L222,$B$11)=0,OFFSET(O222,-$B$11,0)+ $E$2*N222+$E$3*OFFSET(N222,-$B$11,0)+ $E$4*OFFSET(N222,-2* $B$11,0), O221)</f>
        <v/>
      </c>
      <c r="P222" s="15">
        <f>INT((2^$J$12-1)*O222/100)/(2^$J$12-1)*100</f>
        <v/>
      </c>
      <c r="Q222" s="15" t="n">
        <v>0</v>
      </c>
      <c r="R222" s="15">
        <f>P222+Q222</f>
        <v/>
      </c>
      <c r="S222" s="15">
        <f>$I$1*S221-$I$2*S220+$I$3*R201+$I$4*R200</f>
        <v/>
      </c>
      <c r="T222" s="15">
        <f>RAND()*$G$12</f>
        <v/>
      </c>
      <c r="U222" s="15">
        <f>S222+T222</f>
        <v/>
      </c>
      <c r="V222" s="15">
        <f>INT((2^$J$12-1)*U222/100)/(2^$J$12-1)*100</f>
        <v/>
      </c>
      <c r="X222" s="15">
        <f>M222 * 1.05</f>
        <v/>
      </c>
      <c r="Y222" s="15">
        <f>M222 * 0.95</f>
        <v/>
      </c>
      <c r="Z222" s="15">
        <f>IF(AND(V222 &lt;= X222, V222 &gt;= Y222), 1, 0)</f>
        <v/>
      </c>
    </row>
    <row r="223">
      <c r="L223" s="15" t="n">
        <v>221</v>
      </c>
      <c r="M223" s="15">
        <f>IF(L223&lt;$D$16,$D$13,IF(L223&lt;$E$16,$E$13,$F$13))</f>
        <v/>
      </c>
      <c r="N223" s="15">
        <f>M223-V223</f>
        <v/>
      </c>
      <c r="O223" s="15">
        <f>IF(MOD(L223,$B$11)=0,OFFSET(O223,-$B$11,0)+ $E$2*N223+$E$3*OFFSET(N223,-$B$11,0)+ $E$4*OFFSET(N223,-2* $B$11,0), O222)</f>
        <v/>
      </c>
      <c r="P223" s="15">
        <f>INT((2^$J$12-1)*O223/100)/(2^$J$12-1)*100</f>
        <v/>
      </c>
      <c r="Q223" s="15" t="n">
        <v>0</v>
      </c>
      <c r="R223" s="15">
        <f>P223+Q223</f>
        <v/>
      </c>
      <c r="S223" s="15">
        <f>$I$1*S222-$I$2*S221+$I$3*R202+$I$4*R201</f>
        <v/>
      </c>
      <c r="T223" s="15">
        <f>RAND()*$G$12</f>
        <v/>
      </c>
      <c r="U223" s="15">
        <f>S223+T223</f>
        <v/>
      </c>
      <c r="V223" s="15">
        <f>INT((2^$J$12-1)*U223/100)/(2^$J$12-1)*100</f>
        <v/>
      </c>
      <c r="X223" s="15">
        <f>M223 * 1.05</f>
        <v/>
      </c>
      <c r="Y223" s="15">
        <f>M223 * 0.95</f>
        <v/>
      </c>
      <c r="Z223" s="15">
        <f>IF(AND(V223 &lt;= X223, V223 &gt;= Y223), 1, 0)</f>
        <v/>
      </c>
    </row>
    <row r="224">
      <c r="L224" s="15" t="n">
        <v>222</v>
      </c>
      <c r="M224" s="15">
        <f>IF(L224&lt;$D$16,$D$13,IF(L224&lt;$E$16,$E$13,$F$13))</f>
        <v/>
      </c>
      <c r="N224" s="15">
        <f>M224-V224</f>
        <v/>
      </c>
      <c r="O224" s="15">
        <f>IF(MOD(L224,$B$11)=0,OFFSET(O224,-$B$11,0)+ $E$2*N224+$E$3*OFFSET(N224,-$B$11,0)+ $E$4*OFFSET(N224,-2* $B$11,0), O223)</f>
        <v/>
      </c>
      <c r="P224" s="15">
        <f>INT((2^$J$12-1)*O224/100)/(2^$J$12-1)*100</f>
        <v/>
      </c>
      <c r="Q224" s="15" t="n">
        <v>0</v>
      </c>
      <c r="R224" s="15">
        <f>P224+Q224</f>
        <v/>
      </c>
      <c r="S224" s="15">
        <f>$I$1*S223-$I$2*S222+$I$3*R203+$I$4*R202</f>
        <v/>
      </c>
      <c r="T224" s="15">
        <f>RAND()*$G$12</f>
        <v/>
      </c>
      <c r="U224" s="15">
        <f>S224+T224</f>
        <v/>
      </c>
      <c r="V224" s="15">
        <f>INT((2^$J$12-1)*U224/100)/(2^$J$12-1)*100</f>
        <v/>
      </c>
      <c r="X224" s="15">
        <f>M224 * 1.05</f>
        <v/>
      </c>
      <c r="Y224" s="15">
        <f>M224 * 0.95</f>
        <v/>
      </c>
      <c r="Z224" s="15">
        <f>IF(AND(V224 &lt;= X224, V224 &gt;= Y224), 1, 0)</f>
        <v/>
      </c>
    </row>
    <row r="225">
      <c r="L225" s="15" t="n">
        <v>223</v>
      </c>
      <c r="M225" s="15">
        <f>IF(L225&lt;$D$16,$D$13,IF(L225&lt;$E$16,$E$13,$F$13))</f>
        <v/>
      </c>
      <c r="N225" s="15">
        <f>M225-V225</f>
        <v/>
      </c>
      <c r="O225" s="15">
        <f>IF(MOD(L225,$B$11)=0,OFFSET(O225,-$B$11,0)+ $E$2*N225+$E$3*OFFSET(N225,-$B$11,0)+ $E$4*OFFSET(N225,-2* $B$11,0), O224)</f>
        <v/>
      </c>
      <c r="P225" s="15">
        <f>INT((2^$J$12-1)*O225/100)/(2^$J$12-1)*100</f>
        <v/>
      </c>
      <c r="Q225" s="15" t="n">
        <v>0</v>
      </c>
      <c r="R225" s="15">
        <f>P225+Q225</f>
        <v/>
      </c>
      <c r="S225" s="15">
        <f>$I$1*S224-$I$2*S223+$I$3*R204+$I$4*R203</f>
        <v/>
      </c>
      <c r="T225" s="15">
        <f>RAND()*$G$12</f>
        <v/>
      </c>
      <c r="U225" s="15">
        <f>S225+T225</f>
        <v/>
      </c>
      <c r="V225" s="15">
        <f>INT((2^$J$12-1)*U225/100)/(2^$J$12-1)*100</f>
        <v/>
      </c>
      <c r="X225" s="15">
        <f>M225 * 1.05</f>
        <v/>
      </c>
      <c r="Y225" s="15">
        <f>M225 * 0.95</f>
        <v/>
      </c>
      <c r="Z225" s="15">
        <f>IF(AND(V225 &lt;= X225, V225 &gt;= Y225), 1, 0)</f>
        <v/>
      </c>
    </row>
    <row r="226">
      <c r="L226" s="15" t="n">
        <v>224</v>
      </c>
      <c r="M226" s="15">
        <f>IF(L226&lt;$D$16,$D$13,IF(L226&lt;$E$16,$E$13,$F$13))</f>
        <v/>
      </c>
      <c r="N226" s="15">
        <f>M226-V226</f>
        <v/>
      </c>
      <c r="O226" s="15">
        <f>IF(MOD(L226,$B$11)=0,OFFSET(O226,-$B$11,0)+ $E$2*N226+$E$3*OFFSET(N226,-$B$11,0)+ $E$4*OFFSET(N226,-2* $B$11,0), O225)</f>
        <v/>
      </c>
      <c r="P226" s="15">
        <f>INT((2^$J$12-1)*O226/100)/(2^$J$12-1)*100</f>
        <v/>
      </c>
      <c r="Q226" s="15" t="n">
        <v>0</v>
      </c>
      <c r="R226" s="15">
        <f>P226+Q226</f>
        <v/>
      </c>
      <c r="S226" s="15">
        <f>$I$1*S225-$I$2*S224+$I$3*R205+$I$4*R204</f>
        <v/>
      </c>
      <c r="T226" s="15">
        <f>RAND()*$G$12</f>
        <v/>
      </c>
      <c r="U226" s="15">
        <f>S226+T226</f>
        <v/>
      </c>
      <c r="V226" s="15">
        <f>INT((2^$J$12-1)*U226/100)/(2^$J$12-1)*100</f>
        <v/>
      </c>
      <c r="X226" s="15">
        <f>M226 * 1.05</f>
        <v/>
      </c>
      <c r="Y226" s="15">
        <f>M226 * 0.95</f>
        <v/>
      </c>
      <c r="Z226" s="15">
        <f>IF(AND(V226 &lt;= X226, V226 &gt;= Y226), 1, 0)</f>
        <v/>
      </c>
    </row>
    <row r="227">
      <c r="L227" s="15" t="n">
        <v>225</v>
      </c>
      <c r="M227" s="15">
        <f>IF(L227&lt;$D$16,$D$13,IF(L227&lt;$E$16,$E$13,$F$13))</f>
        <v/>
      </c>
      <c r="N227" s="15">
        <f>M227-V227</f>
        <v/>
      </c>
      <c r="O227" s="15">
        <f>IF(MOD(L227,$B$11)=0,OFFSET(O227,-$B$11,0)+ $E$2*N227+$E$3*OFFSET(N227,-$B$11,0)+ $E$4*OFFSET(N227,-2* $B$11,0), O226)</f>
        <v/>
      </c>
      <c r="P227" s="15">
        <f>INT((2^$J$12-1)*O227/100)/(2^$J$12-1)*100</f>
        <v/>
      </c>
      <c r="Q227" s="15" t="n">
        <v>0</v>
      </c>
      <c r="R227" s="15">
        <f>P227+Q227</f>
        <v/>
      </c>
      <c r="S227" s="15">
        <f>$I$1*S226-$I$2*S225+$I$3*R206+$I$4*R205</f>
        <v/>
      </c>
      <c r="T227" s="15">
        <f>RAND()*$G$12</f>
        <v/>
      </c>
      <c r="U227" s="15">
        <f>S227+T227</f>
        <v/>
      </c>
      <c r="V227" s="15">
        <f>INT((2^$J$12-1)*U227/100)/(2^$J$12-1)*100</f>
        <v/>
      </c>
      <c r="X227" s="15">
        <f>M227 * 1.05</f>
        <v/>
      </c>
      <c r="Y227" s="15">
        <f>M227 * 0.95</f>
        <v/>
      </c>
      <c r="Z227" s="15">
        <f>IF(AND(V227 &lt;= X227, V227 &gt;= Y227), 1, 0)</f>
        <v/>
      </c>
    </row>
    <row r="228">
      <c r="L228" s="15" t="n">
        <v>226</v>
      </c>
      <c r="M228" s="15">
        <f>IF(L228&lt;$D$16,$D$13,IF(L228&lt;$E$16,$E$13,$F$13))</f>
        <v/>
      </c>
      <c r="N228" s="15">
        <f>M228-V228</f>
        <v/>
      </c>
      <c r="O228" s="15">
        <f>IF(MOD(L228,$B$11)=0,OFFSET(O228,-$B$11,0)+ $E$2*N228+$E$3*OFFSET(N228,-$B$11,0)+ $E$4*OFFSET(N228,-2* $B$11,0), O227)</f>
        <v/>
      </c>
      <c r="P228" s="15">
        <f>INT((2^$J$12-1)*O228/100)/(2^$J$12-1)*100</f>
        <v/>
      </c>
      <c r="Q228" s="15" t="n">
        <v>0</v>
      </c>
      <c r="R228" s="15">
        <f>P228+Q228</f>
        <v/>
      </c>
      <c r="S228" s="15">
        <f>$I$1*S227-$I$2*S226+$I$3*R207+$I$4*R206</f>
        <v/>
      </c>
      <c r="T228" s="15">
        <f>RAND()*$G$12</f>
        <v/>
      </c>
      <c r="U228" s="15">
        <f>S228+T228</f>
        <v/>
      </c>
      <c r="V228" s="15">
        <f>INT((2^$J$12-1)*U228/100)/(2^$J$12-1)*100</f>
        <v/>
      </c>
      <c r="X228" s="15">
        <f>M228 * 1.05</f>
        <v/>
      </c>
      <c r="Y228" s="15">
        <f>M228 * 0.95</f>
        <v/>
      </c>
      <c r="Z228" s="15">
        <f>IF(AND(V228 &lt;= X228, V228 &gt;= Y228), 1, 0)</f>
        <v/>
      </c>
    </row>
    <row r="229">
      <c r="L229" s="15" t="n">
        <v>227</v>
      </c>
      <c r="M229" s="15">
        <f>IF(L229&lt;$D$16,$D$13,IF(L229&lt;$E$16,$E$13,$F$13))</f>
        <v/>
      </c>
      <c r="N229" s="15">
        <f>M229-V229</f>
        <v/>
      </c>
      <c r="O229" s="15">
        <f>IF(MOD(L229,$B$11)=0,OFFSET(O229,-$B$11,0)+ $E$2*N229+$E$3*OFFSET(N229,-$B$11,0)+ $E$4*OFFSET(N229,-2* $B$11,0), O228)</f>
        <v/>
      </c>
      <c r="P229" s="15">
        <f>INT((2^$J$12-1)*O229/100)/(2^$J$12-1)*100</f>
        <v/>
      </c>
      <c r="Q229" s="15" t="n">
        <v>0</v>
      </c>
      <c r="R229" s="15">
        <f>P229+Q229</f>
        <v/>
      </c>
      <c r="S229" s="15">
        <f>$I$1*S228-$I$2*S227+$I$3*R208+$I$4*R207</f>
        <v/>
      </c>
      <c r="T229" s="15">
        <f>RAND()*$G$12</f>
        <v/>
      </c>
      <c r="U229" s="15">
        <f>S229+T229</f>
        <v/>
      </c>
      <c r="V229" s="15">
        <f>INT((2^$J$12-1)*U229/100)/(2^$J$12-1)*100</f>
        <v/>
      </c>
      <c r="X229" s="15">
        <f>M229 * 1.05</f>
        <v/>
      </c>
      <c r="Y229" s="15">
        <f>M229 * 0.95</f>
        <v/>
      </c>
      <c r="Z229" s="15">
        <f>IF(AND(V229 &lt;= X229, V229 &gt;= Y229), 1, 0)</f>
        <v/>
      </c>
    </row>
    <row r="230">
      <c r="L230" s="15" t="n">
        <v>228</v>
      </c>
      <c r="M230" s="15">
        <f>IF(L230&lt;$D$16,$D$13,IF(L230&lt;$E$16,$E$13,$F$13))</f>
        <v/>
      </c>
      <c r="N230" s="15">
        <f>M230-V230</f>
        <v/>
      </c>
      <c r="O230" s="15">
        <f>IF(MOD(L230,$B$11)=0,OFFSET(O230,-$B$11,0)+ $E$2*N230+$E$3*OFFSET(N230,-$B$11,0)+ $E$4*OFFSET(N230,-2* $B$11,0), O229)</f>
        <v/>
      </c>
      <c r="P230" s="15">
        <f>INT((2^$J$12-1)*O230/100)/(2^$J$12-1)*100</f>
        <v/>
      </c>
      <c r="Q230" s="15" t="n">
        <v>0</v>
      </c>
      <c r="R230" s="15">
        <f>P230+Q230</f>
        <v/>
      </c>
      <c r="S230" s="15">
        <f>$I$1*S229-$I$2*S228+$I$3*R209+$I$4*R208</f>
        <v/>
      </c>
      <c r="T230" s="15">
        <f>RAND()*$G$12</f>
        <v/>
      </c>
      <c r="U230" s="15">
        <f>S230+T230</f>
        <v/>
      </c>
      <c r="V230" s="15">
        <f>INT((2^$J$12-1)*U230/100)/(2^$J$12-1)*100</f>
        <v/>
      </c>
      <c r="X230" s="15">
        <f>M230 * 1.05</f>
        <v/>
      </c>
      <c r="Y230" s="15">
        <f>M230 * 0.95</f>
        <v/>
      </c>
      <c r="Z230" s="15">
        <f>IF(AND(V230 &lt;= X230, V230 &gt;= Y230), 1, 0)</f>
        <v/>
      </c>
    </row>
    <row r="231">
      <c r="L231" s="15" t="n">
        <v>229</v>
      </c>
      <c r="M231" s="15">
        <f>IF(L231&lt;$D$16,$D$13,IF(L231&lt;$E$16,$E$13,$F$13))</f>
        <v/>
      </c>
      <c r="N231" s="15">
        <f>M231-V231</f>
        <v/>
      </c>
      <c r="O231" s="15">
        <f>IF(MOD(L231,$B$11)=0,OFFSET(O231,-$B$11,0)+ $E$2*N231+$E$3*OFFSET(N231,-$B$11,0)+ $E$4*OFFSET(N231,-2* $B$11,0), O230)</f>
        <v/>
      </c>
      <c r="P231" s="15">
        <f>INT((2^$J$12-1)*O231/100)/(2^$J$12-1)*100</f>
        <v/>
      </c>
      <c r="Q231" s="15" t="n">
        <v>0</v>
      </c>
      <c r="R231" s="15">
        <f>P231+Q231</f>
        <v/>
      </c>
      <c r="S231" s="15">
        <f>$I$1*S230-$I$2*S229+$I$3*R210+$I$4*R209</f>
        <v/>
      </c>
      <c r="T231" s="15">
        <f>RAND()*$G$12</f>
        <v/>
      </c>
      <c r="U231" s="15">
        <f>S231+T231</f>
        <v/>
      </c>
      <c r="V231" s="15">
        <f>INT((2^$J$12-1)*U231/100)/(2^$J$12-1)*100</f>
        <v/>
      </c>
      <c r="X231" s="15">
        <f>M231 * 1.05</f>
        <v/>
      </c>
      <c r="Y231" s="15">
        <f>M231 * 0.95</f>
        <v/>
      </c>
      <c r="Z231" s="15">
        <f>IF(AND(V231 &lt;= X231, V231 &gt;= Y231), 1, 0)</f>
        <v/>
      </c>
    </row>
    <row r="232">
      <c r="L232" s="15" t="n">
        <v>230</v>
      </c>
      <c r="M232" s="15">
        <f>IF(L232&lt;$D$16,$D$13,IF(L232&lt;$E$16,$E$13,$F$13))</f>
        <v/>
      </c>
      <c r="N232" s="15">
        <f>M232-V232</f>
        <v/>
      </c>
      <c r="O232" s="15">
        <f>IF(MOD(L232,$B$11)=0,OFFSET(O232,-$B$11,0)+ $E$2*N232+$E$3*OFFSET(N232,-$B$11,0)+ $E$4*OFFSET(N232,-2* $B$11,0), O231)</f>
        <v/>
      </c>
      <c r="P232" s="15">
        <f>INT((2^$J$12-1)*O232/100)/(2^$J$12-1)*100</f>
        <v/>
      </c>
      <c r="Q232" s="15" t="n">
        <v>0</v>
      </c>
      <c r="R232" s="15">
        <f>P232+Q232</f>
        <v/>
      </c>
      <c r="S232" s="15">
        <f>$I$1*S231-$I$2*S230+$I$3*R211+$I$4*R210</f>
        <v/>
      </c>
      <c r="T232" s="15">
        <f>RAND()*$G$12</f>
        <v/>
      </c>
      <c r="U232" s="15">
        <f>S232+T232</f>
        <v/>
      </c>
      <c r="V232" s="15">
        <f>INT((2^$J$12-1)*U232/100)/(2^$J$12-1)*100</f>
        <v/>
      </c>
      <c r="X232" s="15">
        <f>M232 * 1.05</f>
        <v/>
      </c>
      <c r="Y232" s="15">
        <f>M232 * 0.95</f>
        <v/>
      </c>
      <c r="Z232" s="15">
        <f>IF(AND(V232 &lt;= X232, V232 &gt;= Y232), 1, 0)</f>
        <v/>
      </c>
    </row>
    <row r="233">
      <c r="L233" s="15" t="n">
        <v>231</v>
      </c>
      <c r="M233" s="15">
        <f>IF(L233&lt;$D$16,$D$13,IF(L233&lt;$E$16,$E$13,$F$13))</f>
        <v/>
      </c>
      <c r="N233" s="15">
        <f>M233-V233</f>
        <v/>
      </c>
      <c r="O233" s="15">
        <f>IF(MOD(L233,$B$11)=0,OFFSET(O233,-$B$11,0)+ $E$2*N233+$E$3*OFFSET(N233,-$B$11,0)+ $E$4*OFFSET(N233,-2* $B$11,0), O232)</f>
        <v/>
      </c>
      <c r="P233" s="15">
        <f>INT((2^$J$12-1)*O233/100)/(2^$J$12-1)*100</f>
        <v/>
      </c>
      <c r="Q233" s="15" t="n">
        <v>0</v>
      </c>
      <c r="R233" s="15">
        <f>P233+Q233</f>
        <v/>
      </c>
      <c r="S233" s="15">
        <f>$I$1*S232-$I$2*S231+$I$3*R212+$I$4*R211</f>
        <v/>
      </c>
      <c r="T233" s="15">
        <f>RAND()*$G$12</f>
        <v/>
      </c>
      <c r="U233" s="15">
        <f>S233+T233</f>
        <v/>
      </c>
      <c r="V233" s="15">
        <f>INT((2^$J$12-1)*U233/100)/(2^$J$12-1)*100</f>
        <v/>
      </c>
      <c r="X233" s="15">
        <f>M233 * 1.05</f>
        <v/>
      </c>
      <c r="Y233" s="15">
        <f>M233 * 0.95</f>
        <v/>
      </c>
      <c r="Z233" s="15">
        <f>IF(AND(V233 &lt;= X233, V233 &gt;= Y233), 1, 0)</f>
        <v/>
      </c>
    </row>
    <row r="234">
      <c r="L234" s="15" t="n">
        <v>232</v>
      </c>
      <c r="M234" s="15">
        <f>IF(L234&lt;$D$16,$D$13,IF(L234&lt;$E$16,$E$13,$F$13))</f>
        <v/>
      </c>
      <c r="N234" s="15">
        <f>M234-V234</f>
        <v/>
      </c>
      <c r="O234" s="15">
        <f>IF(MOD(L234,$B$11)=0,OFFSET(O234,-$B$11,0)+ $E$2*N234+$E$3*OFFSET(N234,-$B$11,0)+ $E$4*OFFSET(N234,-2* $B$11,0), O233)</f>
        <v/>
      </c>
      <c r="P234" s="15">
        <f>INT((2^$J$12-1)*O234/100)/(2^$J$12-1)*100</f>
        <v/>
      </c>
      <c r="Q234" s="15" t="n">
        <v>0</v>
      </c>
      <c r="R234" s="15">
        <f>P234+Q234</f>
        <v/>
      </c>
      <c r="S234" s="15">
        <f>$I$1*S233-$I$2*S232+$I$3*R213+$I$4*R212</f>
        <v/>
      </c>
      <c r="T234" s="15">
        <f>RAND()*$G$12</f>
        <v/>
      </c>
      <c r="U234" s="15">
        <f>S234+T234</f>
        <v/>
      </c>
      <c r="V234" s="15">
        <f>INT((2^$J$12-1)*U234/100)/(2^$J$12-1)*100</f>
        <v/>
      </c>
      <c r="X234" s="15">
        <f>M234 * 1.05</f>
        <v/>
      </c>
      <c r="Y234" s="15">
        <f>M234 * 0.95</f>
        <v/>
      </c>
      <c r="Z234" s="15">
        <f>IF(AND(V234 &lt;= X234, V234 &gt;= Y234), 1, 0)</f>
        <v/>
      </c>
    </row>
    <row r="235">
      <c r="L235" s="15" t="n">
        <v>233</v>
      </c>
      <c r="M235" s="15">
        <f>IF(L235&lt;$D$16,$D$13,IF(L235&lt;$E$16,$E$13,$F$13))</f>
        <v/>
      </c>
      <c r="N235" s="15">
        <f>M235-V235</f>
        <v/>
      </c>
      <c r="O235" s="15">
        <f>IF(MOD(L235,$B$11)=0,OFFSET(O235,-$B$11,0)+ $E$2*N235+$E$3*OFFSET(N235,-$B$11,0)+ $E$4*OFFSET(N235,-2* $B$11,0), O234)</f>
        <v/>
      </c>
      <c r="P235" s="15">
        <f>INT((2^$J$12-1)*O235/100)/(2^$J$12-1)*100</f>
        <v/>
      </c>
      <c r="Q235" s="15" t="n">
        <v>0</v>
      </c>
      <c r="R235" s="15">
        <f>P235+Q235</f>
        <v/>
      </c>
      <c r="S235" s="15">
        <f>$I$1*S234-$I$2*S233+$I$3*R214+$I$4*R213</f>
        <v/>
      </c>
      <c r="T235" s="15">
        <f>RAND()*$G$12</f>
        <v/>
      </c>
      <c r="U235" s="15">
        <f>S235+T235</f>
        <v/>
      </c>
      <c r="V235" s="15">
        <f>INT((2^$J$12-1)*U235/100)/(2^$J$12-1)*100</f>
        <v/>
      </c>
      <c r="X235" s="15">
        <f>M235 * 1.05</f>
        <v/>
      </c>
      <c r="Y235" s="15">
        <f>M235 * 0.95</f>
        <v/>
      </c>
      <c r="Z235" s="15">
        <f>IF(AND(V235 &lt;= X235, V235 &gt;= Y235), 1, 0)</f>
        <v/>
      </c>
    </row>
    <row r="236">
      <c r="L236" s="15" t="n">
        <v>234</v>
      </c>
      <c r="M236" s="15">
        <f>IF(L236&lt;$D$16,$D$13,IF(L236&lt;$E$16,$E$13,$F$13))</f>
        <v/>
      </c>
      <c r="N236" s="15">
        <f>M236-V236</f>
        <v/>
      </c>
      <c r="O236" s="15">
        <f>IF(MOD(L236,$B$11)=0,OFFSET(O236,-$B$11,0)+ $E$2*N236+$E$3*OFFSET(N236,-$B$11,0)+ $E$4*OFFSET(N236,-2* $B$11,0), O235)</f>
        <v/>
      </c>
      <c r="P236" s="15">
        <f>INT((2^$J$12-1)*O236/100)/(2^$J$12-1)*100</f>
        <v/>
      </c>
      <c r="Q236" s="15" t="n">
        <v>0</v>
      </c>
      <c r="R236" s="15">
        <f>P236+Q236</f>
        <v/>
      </c>
      <c r="S236" s="15">
        <f>$I$1*S235-$I$2*S234+$I$3*R215+$I$4*R214</f>
        <v/>
      </c>
      <c r="T236" s="15">
        <f>RAND()*$G$12</f>
        <v/>
      </c>
      <c r="U236" s="15">
        <f>S236+T236</f>
        <v/>
      </c>
      <c r="V236" s="15">
        <f>INT((2^$J$12-1)*U236/100)/(2^$J$12-1)*100</f>
        <v/>
      </c>
      <c r="X236" s="15">
        <f>M236 * 1.05</f>
        <v/>
      </c>
      <c r="Y236" s="15">
        <f>M236 * 0.95</f>
        <v/>
      </c>
      <c r="Z236" s="15">
        <f>IF(AND(V236 &lt;= X236, V236 &gt;= Y236), 1, 0)</f>
        <v/>
      </c>
    </row>
    <row r="237">
      <c r="L237" s="15" t="n">
        <v>235</v>
      </c>
      <c r="M237" s="15">
        <f>IF(L237&lt;$D$16,$D$13,IF(L237&lt;$E$16,$E$13,$F$13))</f>
        <v/>
      </c>
      <c r="N237" s="15">
        <f>M237-V237</f>
        <v/>
      </c>
      <c r="O237" s="15">
        <f>IF(MOD(L237,$B$11)=0,OFFSET(O237,-$B$11,0)+ $E$2*N237+$E$3*OFFSET(N237,-$B$11,0)+ $E$4*OFFSET(N237,-2* $B$11,0), O236)</f>
        <v/>
      </c>
      <c r="P237" s="15">
        <f>INT((2^$J$12-1)*O237/100)/(2^$J$12-1)*100</f>
        <v/>
      </c>
      <c r="Q237" s="15" t="n">
        <v>0</v>
      </c>
      <c r="R237" s="15">
        <f>P237+Q237</f>
        <v/>
      </c>
      <c r="S237" s="15">
        <f>$I$1*S236-$I$2*S235+$I$3*R216+$I$4*R215</f>
        <v/>
      </c>
      <c r="T237" s="15">
        <f>RAND()*$G$12</f>
        <v/>
      </c>
      <c r="U237" s="15">
        <f>S237+T237</f>
        <v/>
      </c>
      <c r="V237" s="15">
        <f>INT((2^$J$12-1)*U237/100)/(2^$J$12-1)*100</f>
        <v/>
      </c>
      <c r="X237" s="15">
        <f>M237 * 1.05</f>
        <v/>
      </c>
      <c r="Y237" s="15">
        <f>M237 * 0.95</f>
        <v/>
      </c>
      <c r="Z237" s="15">
        <f>IF(AND(V237 &lt;= X237, V237 &gt;= Y237), 1, 0)</f>
        <v/>
      </c>
    </row>
    <row r="238">
      <c r="L238" s="15" t="n">
        <v>236</v>
      </c>
      <c r="M238" s="15">
        <f>IF(L238&lt;$D$16,$D$13,IF(L238&lt;$E$16,$E$13,$F$13))</f>
        <v/>
      </c>
      <c r="N238" s="15">
        <f>M238-V238</f>
        <v/>
      </c>
      <c r="O238" s="15">
        <f>IF(MOD(L238,$B$11)=0,OFFSET(O238,-$B$11,0)+ $E$2*N238+$E$3*OFFSET(N238,-$B$11,0)+ $E$4*OFFSET(N238,-2* $B$11,0), O237)</f>
        <v/>
      </c>
      <c r="P238" s="15">
        <f>INT((2^$J$12-1)*O238/100)/(2^$J$12-1)*100</f>
        <v/>
      </c>
      <c r="Q238" s="15" t="n">
        <v>0</v>
      </c>
      <c r="R238" s="15">
        <f>P238+Q238</f>
        <v/>
      </c>
      <c r="S238" s="15">
        <f>$I$1*S237-$I$2*S236+$I$3*R217+$I$4*R216</f>
        <v/>
      </c>
      <c r="T238" s="15">
        <f>RAND()*$G$12</f>
        <v/>
      </c>
      <c r="U238" s="15">
        <f>S238+T238</f>
        <v/>
      </c>
      <c r="V238" s="15">
        <f>INT((2^$J$12-1)*U238/100)/(2^$J$12-1)*100</f>
        <v/>
      </c>
      <c r="X238" s="15">
        <f>M238 * 1.05</f>
        <v/>
      </c>
      <c r="Y238" s="15">
        <f>M238 * 0.95</f>
        <v/>
      </c>
      <c r="Z238" s="15">
        <f>IF(AND(V238 &lt;= X238, V238 &gt;= Y238), 1, 0)</f>
        <v/>
      </c>
    </row>
    <row r="239">
      <c r="L239" s="15" t="n">
        <v>237</v>
      </c>
      <c r="M239" s="15">
        <f>IF(L239&lt;$D$16,$D$13,IF(L239&lt;$E$16,$E$13,$F$13))</f>
        <v/>
      </c>
      <c r="N239" s="15">
        <f>M239-V239</f>
        <v/>
      </c>
      <c r="O239" s="15">
        <f>IF(MOD(L239,$B$11)=0,OFFSET(O239,-$B$11,0)+ $E$2*N239+$E$3*OFFSET(N239,-$B$11,0)+ $E$4*OFFSET(N239,-2* $B$11,0), O238)</f>
        <v/>
      </c>
      <c r="P239" s="15">
        <f>INT((2^$J$12-1)*O239/100)/(2^$J$12-1)*100</f>
        <v/>
      </c>
      <c r="Q239" s="15" t="n">
        <v>0</v>
      </c>
      <c r="R239" s="15">
        <f>P239+Q239</f>
        <v/>
      </c>
      <c r="S239" s="15">
        <f>$I$1*S238-$I$2*S237+$I$3*R218+$I$4*R217</f>
        <v/>
      </c>
      <c r="T239" s="15">
        <f>RAND()*$G$12</f>
        <v/>
      </c>
      <c r="U239" s="15">
        <f>S239+T239</f>
        <v/>
      </c>
      <c r="V239" s="15">
        <f>INT((2^$J$12-1)*U239/100)/(2^$J$12-1)*100</f>
        <v/>
      </c>
      <c r="X239" s="15">
        <f>M239 * 1.05</f>
        <v/>
      </c>
      <c r="Y239" s="15">
        <f>M239 * 0.95</f>
        <v/>
      </c>
      <c r="Z239" s="15">
        <f>IF(AND(V239 &lt;= X239, V239 &gt;= Y239), 1, 0)</f>
        <v/>
      </c>
    </row>
    <row r="240">
      <c r="L240" s="15" t="n">
        <v>238</v>
      </c>
      <c r="M240" s="15">
        <f>IF(L240&lt;$D$16,$D$13,IF(L240&lt;$E$16,$E$13,$F$13))</f>
        <v/>
      </c>
      <c r="N240" s="15">
        <f>M240-V240</f>
        <v/>
      </c>
      <c r="O240" s="15">
        <f>IF(MOD(L240,$B$11)=0,OFFSET(O240,-$B$11,0)+ $E$2*N240+$E$3*OFFSET(N240,-$B$11,0)+ $E$4*OFFSET(N240,-2* $B$11,0), O239)</f>
        <v/>
      </c>
      <c r="P240" s="15">
        <f>INT((2^$J$12-1)*O240/100)/(2^$J$12-1)*100</f>
        <v/>
      </c>
      <c r="Q240" s="15" t="n">
        <v>0</v>
      </c>
      <c r="R240" s="15">
        <f>P240+Q240</f>
        <v/>
      </c>
      <c r="S240" s="15">
        <f>$I$1*S239-$I$2*S238+$I$3*R219+$I$4*R218</f>
        <v/>
      </c>
      <c r="T240" s="15">
        <f>RAND()*$G$12</f>
        <v/>
      </c>
      <c r="U240" s="15">
        <f>S240+T240</f>
        <v/>
      </c>
      <c r="V240" s="15">
        <f>INT((2^$J$12-1)*U240/100)/(2^$J$12-1)*100</f>
        <v/>
      </c>
      <c r="X240" s="15">
        <f>M240 * 1.05</f>
        <v/>
      </c>
      <c r="Y240" s="15">
        <f>M240 * 0.95</f>
        <v/>
      </c>
      <c r="Z240" s="15">
        <f>IF(AND(V240 &lt;= X240, V240 &gt;= Y240), 1, 0)</f>
        <v/>
      </c>
    </row>
    <row r="241">
      <c r="L241" s="15" t="n">
        <v>239</v>
      </c>
      <c r="M241" s="15">
        <f>IF(L241&lt;$D$16,$D$13,IF(L241&lt;$E$16,$E$13,$F$13))</f>
        <v/>
      </c>
      <c r="N241" s="15">
        <f>M241-V241</f>
        <v/>
      </c>
      <c r="O241" s="15">
        <f>IF(MOD(L241,$B$11)=0,OFFSET(O241,-$B$11,0)+ $E$2*N241+$E$3*OFFSET(N241,-$B$11,0)+ $E$4*OFFSET(N241,-2* $B$11,0), O240)</f>
        <v/>
      </c>
      <c r="P241" s="15">
        <f>INT((2^$J$12-1)*O241/100)/(2^$J$12-1)*100</f>
        <v/>
      </c>
      <c r="Q241" s="15" t="n">
        <v>0</v>
      </c>
      <c r="R241" s="15">
        <f>P241+Q241</f>
        <v/>
      </c>
      <c r="S241" s="15">
        <f>$I$1*S240-$I$2*S239+$I$3*R220+$I$4*R219</f>
        <v/>
      </c>
      <c r="T241" s="15">
        <f>RAND()*$G$12</f>
        <v/>
      </c>
      <c r="U241" s="15">
        <f>S241+T241</f>
        <v/>
      </c>
      <c r="V241" s="15">
        <f>INT((2^$J$12-1)*U241/100)/(2^$J$12-1)*100</f>
        <v/>
      </c>
      <c r="X241" s="15">
        <f>M241 * 1.05</f>
        <v/>
      </c>
      <c r="Y241" s="15">
        <f>M241 * 0.95</f>
        <v/>
      </c>
      <c r="Z241" s="15">
        <f>IF(AND(V241 &lt;= X241, V241 &gt;= Y241), 1, 0)</f>
        <v/>
      </c>
    </row>
    <row r="242">
      <c r="L242" s="15" t="n">
        <v>240</v>
      </c>
      <c r="M242" s="15">
        <f>IF(L242&lt;$D$16,$D$13,IF(L242&lt;$E$16,$E$13,$F$13))</f>
        <v/>
      </c>
      <c r="N242" s="15">
        <f>M242-V242</f>
        <v/>
      </c>
      <c r="O242" s="15">
        <f>IF(MOD(L242,$B$11)=0,OFFSET(O242,-$B$11,0)+ $E$2*N242+$E$3*OFFSET(N242,-$B$11,0)+ $E$4*OFFSET(N242,-2* $B$11,0), O241)</f>
        <v/>
      </c>
      <c r="P242" s="15">
        <f>INT((2^$J$12-1)*O242/100)/(2^$J$12-1)*100</f>
        <v/>
      </c>
      <c r="Q242" s="15" t="n">
        <v>0</v>
      </c>
      <c r="R242" s="15">
        <f>P242+Q242</f>
        <v/>
      </c>
      <c r="S242" s="15">
        <f>$I$1*S241-$I$2*S240+$I$3*R221+$I$4*R220</f>
        <v/>
      </c>
      <c r="T242" s="15">
        <f>RAND()*$G$12</f>
        <v/>
      </c>
      <c r="U242" s="15">
        <f>S242+T242</f>
        <v/>
      </c>
      <c r="V242" s="15">
        <f>INT((2^$J$12-1)*U242/100)/(2^$J$12-1)*100</f>
        <v/>
      </c>
      <c r="X242" s="15">
        <f>M242 * 1.05</f>
        <v/>
      </c>
      <c r="Y242" s="15">
        <f>M242 * 0.95</f>
        <v/>
      </c>
      <c r="Z242" s="15">
        <f>IF(AND(V242 &lt;= X242, V242 &gt;= Y242), 1, 0)</f>
        <v/>
      </c>
    </row>
    <row r="243">
      <c r="L243" s="15" t="n">
        <v>241</v>
      </c>
      <c r="M243" s="15">
        <f>IF(L243&lt;$D$16,$D$13,IF(L243&lt;$E$16,$E$13,$F$13))</f>
        <v/>
      </c>
      <c r="N243" s="15">
        <f>M243-V243</f>
        <v/>
      </c>
      <c r="O243" s="15">
        <f>IF(MOD(L243,$B$11)=0,OFFSET(O243,-$B$11,0)+ $E$2*N243+$E$3*OFFSET(N243,-$B$11,0)+ $E$4*OFFSET(N243,-2* $B$11,0), O242)</f>
        <v/>
      </c>
      <c r="P243" s="15">
        <f>INT((2^$J$12-1)*O243/100)/(2^$J$12-1)*100</f>
        <v/>
      </c>
      <c r="Q243" s="15" t="n">
        <v>0</v>
      </c>
      <c r="R243" s="15">
        <f>P243+Q243</f>
        <v/>
      </c>
      <c r="S243" s="15">
        <f>$I$1*S242-$I$2*S241+$I$3*R222+$I$4*R221</f>
        <v/>
      </c>
      <c r="T243" s="15">
        <f>RAND()*$G$12</f>
        <v/>
      </c>
      <c r="U243" s="15">
        <f>S243+T243</f>
        <v/>
      </c>
      <c r="V243" s="15">
        <f>INT((2^$J$12-1)*U243/100)/(2^$J$12-1)*100</f>
        <v/>
      </c>
      <c r="X243" s="15">
        <f>M243 * 1.05</f>
        <v/>
      </c>
      <c r="Y243" s="15">
        <f>M243 * 0.95</f>
        <v/>
      </c>
      <c r="Z243" s="15">
        <f>IF(AND(V243 &lt;= X243, V243 &gt;= Y243), 1, 0)</f>
        <v/>
      </c>
    </row>
    <row r="244">
      <c r="L244" s="15" t="n">
        <v>242</v>
      </c>
      <c r="M244" s="15">
        <f>IF(L244&lt;$D$16,$D$13,IF(L244&lt;$E$16,$E$13,$F$13))</f>
        <v/>
      </c>
      <c r="N244" s="15">
        <f>M244-V244</f>
        <v/>
      </c>
      <c r="O244" s="15">
        <f>IF(MOD(L244,$B$11)=0,OFFSET(O244,-$B$11,0)+ $E$2*N244+$E$3*OFFSET(N244,-$B$11,0)+ $E$4*OFFSET(N244,-2* $B$11,0), O243)</f>
        <v/>
      </c>
      <c r="P244" s="15">
        <f>INT((2^$J$12-1)*O244/100)/(2^$J$12-1)*100</f>
        <v/>
      </c>
      <c r="Q244" s="15" t="n">
        <v>0</v>
      </c>
      <c r="R244" s="15">
        <f>P244+Q244</f>
        <v/>
      </c>
      <c r="S244" s="15">
        <f>$I$1*S243-$I$2*S242+$I$3*R223+$I$4*R222</f>
        <v/>
      </c>
      <c r="T244" s="15">
        <f>RAND()*$G$12</f>
        <v/>
      </c>
      <c r="U244" s="15">
        <f>S244+T244</f>
        <v/>
      </c>
      <c r="V244" s="15">
        <f>INT((2^$J$12-1)*U244/100)/(2^$J$12-1)*100</f>
        <v/>
      </c>
      <c r="X244" s="15">
        <f>M244 * 1.05</f>
        <v/>
      </c>
      <c r="Y244" s="15">
        <f>M244 * 0.95</f>
        <v/>
      </c>
      <c r="Z244" s="15">
        <f>IF(AND(V244 &lt;= X244, V244 &gt;= Y244), 1, 0)</f>
        <v/>
      </c>
    </row>
    <row r="245">
      <c r="L245" s="15" t="n">
        <v>243</v>
      </c>
      <c r="M245" s="15">
        <f>IF(L245&lt;$D$16,$D$13,IF(L245&lt;$E$16,$E$13,$F$13))</f>
        <v/>
      </c>
      <c r="N245" s="15">
        <f>M245-V245</f>
        <v/>
      </c>
      <c r="O245" s="15">
        <f>IF(MOD(L245,$B$11)=0,OFFSET(O245,-$B$11,0)+ $E$2*N245+$E$3*OFFSET(N245,-$B$11,0)+ $E$4*OFFSET(N245,-2* $B$11,0), O244)</f>
        <v/>
      </c>
      <c r="P245" s="15">
        <f>INT((2^$J$12-1)*O245/100)/(2^$J$12-1)*100</f>
        <v/>
      </c>
      <c r="Q245" s="15" t="n">
        <v>0</v>
      </c>
      <c r="R245" s="15">
        <f>P245+Q245</f>
        <v/>
      </c>
      <c r="S245" s="15">
        <f>$I$1*S244-$I$2*S243+$I$3*R224+$I$4*R223</f>
        <v/>
      </c>
      <c r="T245" s="15">
        <f>RAND()*$G$12</f>
        <v/>
      </c>
      <c r="U245" s="15">
        <f>S245+T245</f>
        <v/>
      </c>
      <c r="V245" s="15">
        <f>INT((2^$J$12-1)*U245/100)/(2^$J$12-1)*100</f>
        <v/>
      </c>
      <c r="X245" s="15">
        <f>M245 * 1.05</f>
        <v/>
      </c>
      <c r="Y245" s="15">
        <f>M245 * 0.95</f>
        <v/>
      </c>
      <c r="Z245" s="15">
        <f>IF(AND(V245 &lt;= X245, V245 &gt;= Y245), 1, 0)</f>
        <v/>
      </c>
    </row>
    <row r="246">
      <c r="L246" s="15" t="n">
        <v>244</v>
      </c>
      <c r="M246" s="15">
        <f>IF(L246&lt;$D$16,$D$13,IF(L246&lt;$E$16,$E$13,$F$13))</f>
        <v/>
      </c>
      <c r="N246" s="15">
        <f>M246-V246</f>
        <v/>
      </c>
      <c r="O246" s="15">
        <f>IF(MOD(L246,$B$11)=0,OFFSET(O246,-$B$11,0)+ $E$2*N246+$E$3*OFFSET(N246,-$B$11,0)+ $E$4*OFFSET(N246,-2* $B$11,0), O245)</f>
        <v/>
      </c>
      <c r="P246" s="15">
        <f>INT((2^$J$12-1)*O246/100)/(2^$J$12-1)*100</f>
        <v/>
      </c>
      <c r="Q246" s="15" t="n">
        <v>0</v>
      </c>
      <c r="R246" s="15">
        <f>P246+Q246</f>
        <v/>
      </c>
      <c r="S246" s="15">
        <f>$I$1*S245-$I$2*S244+$I$3*R225+$I$4*R224</f>
        <v/>
      </c>
      <c r="T246" s="15">
        <f>RAND()*$G$12</f>
        <v/>
      </c>
      <c r="U246" s="15">
        <f>S246+T246</f>
        <v/>
      </c>
      <c r="V246" s="15">
        <f>INT((2^$J$12-1)*U246/100)/(2^$J$12-1)*100</f>
        <v/>
      </c>
      <c r="X246" s="15">
        <f>M246 * 1.05</f>
        <v/>
      </c>
      <c r="Y246" s="15">
        <f>M246 * 0.95</f>
        <v/>
      </c>
      <c r="Z246" s="15">
        <f>IF(AND(V246 &lt;= X246, V246 &gt;= Y246), 1, 0)</f>
        <v/>
      </c>
    </row>
    <row r="247">
      <c r="L247" s="15" t="n">
        <v>245</v>
      </c>
      <c r="M247" s="15">
        <f>IF(L247&lt;$D$16,$D$13,IF(L247&lt;$E$16,$E$13,$F$13))</f>
        <v/>
      </c>
      <c r="N247" s="15">
        <f>M247-V247</f>
        <v/>
      </c>
      <c r="O247" s="15">
        <f>IF(MOD(L247,$B$11)=0,OFFSET(O247,-$B$11,0)+ $E$2*N247+$E$3*OFFSET(N247,-$B$11,0)+ $E$4*OFFSET(N247,-2* $B$11,0), O246)</f>
        <v/>
      </c>
      <c r="P247" s="15">
        <f>INT((2^$J$12-1)*O247/100)/(2^$J$12-1)*100</f>
        <v/>
      </c>
      <c r="Q247" s="15" t="n">
        <v>0</v>
      </c>
      <c r="R247" s="15">
        <f>P247+Q247</f>
        <v/>
      </c>
      <c r="S247" s="15">
        <f>$I$1*S246-$I$2*S245+$I$3*R226+$I$4*R225</f>
        <v/>
      </c>
      <c r="T247" s="15">
        <f>RAND()*$G$12</f>
        <v/>
      </c>
      <c r="U247" s="15">
        <f>S247+T247</f>
        <v/>
      </c>
      <c r="V247" s="15">
        <f>INT((2^$J$12-1)*U247/100)/(2^$J$12-1)*100</f>
        <v/>
      </c>
      <c r="X247" s="15">
        <f>M247 * 1.05</f>
        <v/>
      </c>
      <c r="Y247" s="15">
        <f>M247 * 0.95</f>
        <v/>
      </c>
      <c r="Z247" s="15">
        <f>IF(AND(V247 &lt;= X247, V247 &gt;= Y247), 1, 0)</f>
        <v/>
      </c>
    </row>
    <row r="248">
      <c r="L248" s="15" t="n">
        <v>246</v>
      </c>
      <c r="M248" s="15">
        <f>IF(L248&lt;$D$16,$D$13,IF(L248&lt;$E$16,$E$13,$F$13))</f>
        <v/>
      </c>
      <c r="N248" s="15">
        <f>M248-V248</f>
        <v/>
      </c>
      <c r="O248" s="15">
        <f>IF(MOD(L248,$B$11)=0,OFFSET(O248,-$B$11,0)+ $E$2*N248+$E$3*OFFSET(N248,-$B$11,0)+ $E$4*OFFSET(N248,-2* $B$11,0), O247)</f>
        <v/>
      </c>
      <c r="P248" s="15">
        <f>INT((2^$J$12-1)*O248/100)/(2^$J$12-1)*100</f>
        <v/>
      </c>
      <c r="Q248" s="15" t="n">
        <v>0</v>
      </c>
      <c r="R248" s="15">
        <f>P248+Q248</f>
        <v/>
      </c>
      <c r="S248" s="15">
        <f>$I$1*S247-$I$2*S246+$I$3*R227+$I$4*R226</f>
        <v/>
      </c>
      <c r="T248" s="15">
        <f>RAND()*$G$12</f>
        <v/>
      </c>
      <c r="U248" s="15">
        <f>S248+T248</f>
        <v/>
      </c>
      <c r="V248" s="15">
        <f>INT((2^$J$12-1)*U248/100)/(2^$J$12-1)*100</f>
        <v/>
      </c>
      <c r="X248" s="15">
        <f>M248 * 1.05</f>
        <v/>
      </c>
      <c r="Y248" s="15">
        <f>M248 * 0.95</f>
        <v/>
      </c>
      <c r="Z248" s="15">
        <f>IF(AND(V248 &lt;= X248, V248 &gt;= Y248), 1, 0)</f>
        <v/>
      </c>
    </row>
    <row r="249">
      <c r="L249" s="15" t="n">
        <v>247</v>
      </c>
      <c r="M249" s="15">
        <f>IF(L249&lt;$D$16,$D$13,IF(L249&lt;$E$16,$E$13,$F$13))</f>
        <v/>
      </c>
      <c r="N249" s="15">
        <f>M249-V249</f>
        <v/>
      </c>
      <c r="O249" s="15">
        <f>IF(MOD(L249,$B$11)=0,OFFSET(O249,-$B$11,0)+ $E$2*N249+$E$3*OFFSET(N249,-$B$11,0)+ $E$4*OFFSET(N249,-2* $B$11,0), O248)</f>
        <v/>
      </c>
      <c r="P249" s="15">
        <f>INT((2^$J$12-1)*O249/100)/(2^$J$12-1)*100</f>
        <v/>
      </c>
      <c r="Q249" s="15" t="n">
        <v>0</v>
      </c>
      <c r="R249" s="15">
        <f>P249+Q249</f>
        <v/>
      </c>
      <c r="S249" s="15">
        <f>$I$1*S248-$I$2*S247+$I$3*R228+$I$4*R227</f>
        <v/>
      </c>
      <c r="T249" s="15">
        <f>RAND()*$G$12</f>
        <v/>
      </c>
      <c r="U249" s="15">
        <f>S249+T249</f>
        <v/>
      </c>
      <c r="V249" s="15">
        <f>INT((2^$J$12-1)*U249/100)/(2^$J$12-1)*100</f>
        <v/>
      </c>
      <c r="X249" s="15">
        <f>M249 * 1.05</f>
        <v/>
      </c>
      <c r="Y249" s="15">
        <f>M249 * 0.95</f>
        <v/>
      </c>
      <c r="Z249" s="15">
        <f>IF(AND(V249 &lt;= X249, V249 &gt;= Y249), 1, 0)</f>
        <v/>
      </c>
    </row>
    <row r="250">
      <c r="L250" s="15" t="n">
        <v>248</v>
      </c>
      <c r="M250" s="15">
        <f>IF(L250&lt;$D$16,$D$13,IF(L250&lt;$E$16,$E$13,$F$13))</f>
        <v/>
      </c>
      <c r="N250" s="15">
        <f>M250-V250</f>
        <v/>
      </c>
      <c r="O250" s="15">
        <f>IF(MOD(L250,$B$11)=0,OFFSET(O250,-$B$11,0)+ $E$2*N250+$E$3*OFFSET(N250,-$B$11,0)+ $E$4*OFFSET(N250,-2* $B$11,0), O249)</f>
        <v/>
      </c>
      <c r="P250" s="15">
        <f>INT((2^$J$12-1)*O250/100)/(2^$J$12-1)*100</f>
        <v/>
      </c>
      <c r="Q250" s="15" t="n">
        <v>0</v>
      </c>
      <c r="R250" s="15">
        <f>P250+Q250</f>
        <v/>
      </c>
      <c r="S250" s="15">
        <f>$I$1*S249-$I$2*S248+$I$3*R229+$I$4*R228</f>
        <v/>
      </c>
      <c r="T250" s="15">
        <f>RAND()*$G$12</f>
        <v/>
      </c>
      <c r="U250" s="15">
        <f>S250+T250</f>
        <v/>
      </c>
      <c r="V250" s="15">
        <f>INT((2^$J$12-1)*U250/100)/(2^$J$12-1)*100</f>
        <v/>
      </c>
      <c r="X250" s="15">
        <f>M250 * 1.05</f>
        <v/>
      </c>
      <c r="Y250" s="15">
        <f>M250 * 0.95</f>
        <v/>
      </c>
      <c r="Z250" s="15">
        <f>IF(AND(V250 &lt;= X250, V250 &gt;= Y250), 1, 0)</f>
        <v/>
      </c>
    </row>
    <row r="251">
      <c r="L251" s="15" t="n">
        <v>249</v>
      </c>
      <c r="M251" s="15">
        <f>IF(L251&lt;$D$16,$D$13,IF(L251&lt;$E$16,$E$13,$F$13))</f>
        <v/>
      </c>
      <c r="N251" s="15">
        <f>M251-V251</f>
        <v/>
      </c>
      <c r="O251" s="15">
        <f>IF(MOD(L251,$B$11)=0,OFFSET(O251,-$B$11,0)+ $E$2*N251+$E$3*OFFSET(N251,-$B$11,0)+ $E$4*OFFSET(N251,-2* $B$11,0), O250)</f>
        <v/>
      </c>
      <c r="P251" s="15">
        <f>INT((2^$J$12-1)*O251/100)/(2^$J$12-1)*100</f>
        <v/>
      </c>
      <c r="Q251" s="15" t="n">
        <v>0</v>
      </c>
      <c r="R251" s="15">
        <f>P251+Q251</f>
        <v/>
      </c>
      <c r="S251" s="15">
        <f>$I$1*S250-$I$2*S249+$I$3*R230+$I$4*R229</f>
        <v/>
      </c>
      <c r="T251" s="15">
        <f>RAND()*$G$12</f>
        <v/>
      </c>
      <c r="U251" s="15">
        <f>S251+T251</f>
        <v/>
      </c>
      <c r="V251" s="15">
        <f>INT((2^$J$12-1)*U251/100)/(2^$J$12-1)*100</f>
        <v/>
      </c>
      <c r="X251" s="15">
        <f>M251 * 1.05</f>
        <v/>
      </c>
      <c r="Y251" s="15">
        <f>M251 * 0.95</f>
        <v/>
      </c>
      <c r="Z251" s="15">
        <f>IF(AND(V251 &lt;= X251, V251 &gt;= Y251), 1, 0)</f>
        <v/>
      </c>
    </row>
    <row r="252">
      <c r="L252" s="15" t="n">
        <v>250</v>
      </c>
      <c r="M252" s="15">
        <f>IF(L252&lt;$D$16,$D$13,IF(L252&lt;$E$16,$E$13,$F$13))</f>
        <v/>
      </c>
      <c r="N252" s="15">
        <f>M252-V252</f>
        <v/>
      </c>
      <c r="O252" s="15">
        <f>IF(MOD(L252,$B$11)=0,OFFSET(O252,-$B$11,0)+ $E$2*N252+$E$3*OFFSET(N252,-$B$11,0)+ $E$4*OFFSET(N252,-2* $B$11,0), O251)</f>
        <v/>
      </c>
      <c r="P252" s="15">
        <f>INT((2^$J$12-1)*O252/100)/(2^$J$12-1)*100</f>
        <v/>
      </c>
      <c r="Q252" s="15" t="n">
        <v>0</v>
      </c>
      <c r="R252" s="15">
        <f>P252+Q252</f>
        <v/>
      </c>
      <c r="S252" s="15">
        <f>$I$1*S251-$I$2*S250+$I$3*R231+$I$4*R230</f>
        <v/>
      </c>
      <c r="T252" s="15">
        <f>RAND()*$G$12</f>
        <v/>
      </c>
      <c r="U252" s="15">
        <f>S252+T252</f>
        <v/>
      </c>
      <c r="V252" s="15">
        <f>INT((2^$J$12-1)*U252/100)/(2^$J$12-1)*100</f>
        <v/>
      </c>
      <c r="X252" s="15">
        <f>M252 * 1.05</f>
        <v/>
      </c>
      <c r="Y252" s="15">
        <f>M252 * 0.95</f>
        <v/>
      </c>
      <c r="Z252" s="15">
        <f>IF(AND(V252 &lt;= X252, V252 &gt;= Y252), 1, 0)</f>
        <v/>
      </c>
    </row>
    <row r="253">
      <c r="L253" s="15" t="n">
        <v>251</v>
      </c>
      <c r="M253" s="15">
        <f>IF(L253&lt;$D$16,$D$13,IF(L253&lt;$E$16,$E$13,$F$13))</f>
        <v/>
      </c>
      <c r="N253" s="15">
        <f>M253-V253</f>
        <v/>
      </c>
      <c r="O253" s="15">
        <f>IF(MOD(L253,$B$11)=0,OFFSET(O253,-$B$11,0)+ $E$2*N253+$E$3*OFFSET(N253,-$B$11,0)+ $E$4*OFFSET(N253,-2* $B$11,0), O252)</f>
        <v/>
      </c>
      <c r="P253" s="15">
        <f>INT((2^$J$12-1)*O253/100)/(2^$J$12-1)*100</f>
        <v/>
      </c>
      <c r="Q253" s="15" t="n">
        <v>0</v>
      </c>
      <c r="R253" s="15">
        <f>P253+Q253</f>
        <v/>
      </c>
      <c r="S253" s="15">
        <f>$I$1*S252-$I$2*S251+$I$3*R232+$I$4*R231</f>
        <v/>
      </c>
      <c r="T253" s="15">
        <f>RAND()*$G$12</f>
        <v/>
      </c>
      <c r="U253" s="15">
        <f>S253+T253</f>
        <v/>
      </c>
      <c r="V253" s="15">
        <f>INT((2^$J$12-1)*U253/100)/(2^$J$12-1)*100</f>
        <v/>
      </c>
      <c r="X253" s="15">
        <f>M253 * 1.05</f>
        <v/>
      </c>
      <c r="Y253" s="15">
        <f>M253 * 0.95</f>
        <v/>
      </c>
      <c r="Z253" s="15">
        <f>IF(AND(V253 &lt;= X253, V253 &gt;= Y253), 1, 0)</f>
        <v/>
      </c>
    </row>
    <row r="254">
      <c r="L254" s="15" t="n">
        <v>252</v>
      </c>
      <c r="M254" s="15">
        <f>IF(L254&lt;$D$16,$D$13,IF(L254&lt;$E$16,$E$13,$F$13))</f>
        <v/>
      </c>
      <c r="N254" s="15">
        <f>M254-V254</f>
        <v/>
      </c>
      <c r="O254" s="15">
        <f>IF(MOD(L254,$B$11)=0,OFFSET(O254,-$B$11,0)+ $E$2*N254+$E$3*OFFSET(N254,-$B$11,0)+ $E$4*OFFSET(N254,-2* $B$11,0), O253)</f>
        <v/>
      </c>
      <c r="P254" s="15">
        <f>INT((2^$J$12-1)*O254/100)/(2^$J$12-1)*100</f>
        <v/>
      </c>
      <c r="Q254" s="15" t="n">
        <v>0</v>
      </c>
      <c r="R254" s="15">
        <f>P254+Q254</f>
        <v/>
      </c>
      <c r="S254" s="15">
        <f>$I$1*S253-$I$2*S252+$I$3*R233+$I$4*R232</f>
        <v/>
      </c>
      <c r="T254" s="15">
        <f>RAND()*$G$12</f>
        <v/>
      </c>
      <c r="U254" s="15">
        <f>S254+T254</f>
        <v/>
      </c>
      <c r="V254" s="15">
        <f>INT((2^$J$12-1)*U254/100)/(2^$J$12-1)*100</f>
        <v/>
      </c>
      <c r="X254" s="15">
        <f>M254 * 1.05</f>
        <v/>
      </c>
      <c r="Y254" s="15">
        <f>M254 * 0.95</f>
        <v/>
      </c>
      <c r="Z254" s="15">
        <f>IF(AND(V254 &lt;= X254, V254 &gt;= Y254), 1, 0)</f>
        <v/>
      </c>
    </row>
    <row r="255">
      <c r="L255" s="15" t="n">
        <v>253</v>
      </c>
      <c r="M255" s="15">
        <f>IF(L255&lt;$D$16,$D$13,IF(L255&lt;$E$16,$E$13,$F$13))</f>
        <v/>
      </c>
      <c r="N255" s="15">
        <f>M255-V255</f>
        <v/>
      </c>
      <c r="O255" s="15">
        <f>IF(MOD(L255,$B$11)=0,OFFSET(O255,-$B$11,0)+ $E$2*N255+$E$3*OFFSET(N255,-$B$11,0)+ $E$4*OFFSET(N255,-2* $B$11,0), O254)</f>
        <v/>
      </c>
      <c r="P255" s="15">
        <f>INT((2^$J$12-1)*O255/100)/(2^$J$12-1)*100</f>
        <v/>
      </c>
      <c r="Q255" s="15" t="n">
        <v>0</v>
      </c>
      <c r="R255" s="15">
        <f>P255+Q255</f>
        <v/>
      </c>
      <c r="S255" s="15">
        <f>$I$1*S254-$I$2*S253+$I$3*R234+$I$4*R233</f>
        <v/>
      </c>
      <c r="T255" s="15">
        <f>RAND()*$G$12</f>
        <v/>
      </c>
      <c r="U255" s="15">
        <f>S255+T255</f>
        <v/>
      </c>
      <c r="V255" s="15">
        <f>INT((2^$J$12-1)*U255/100)/(2^$J$12-1)*100</f>
        <v/>
      </c>
      <c r="X255" s="15">
        <f>M255 * 1.05</f>
        <v/>
      </c>
      <c r="Y255" s="15">
        <f>M255 * 0.95</f>
        <v/>
      </c>
      <c r="Z255" s="15">
        <f>IF(AND(V255 &lt;= X255, V255 &gt;= Y255), 1, 0)</f>
        <v/>
      </c>
    </row>
    <row r="256">
      <c r="L256" s="15" t="n">
        <v>254</v>
      </c>
      <c r="M256" s="15">
        <f>IF(L256&lt;$D$16,$D$13,IF(L256&lt;$E$16,$E$13,$F$13))</f>
        <v/>
      </c>
      <c r="N256" s="15">
        <f>M256-V256</f>
        <v/>
      </c>
      <c r="O256" s="15">
        <f>IF(MOD(L256,$B$11)=0,OFFSET(O256,-$B$11,0)+ $E$2*N256+$E$3*OFFSET(N256,-$B$11,0)+ $E$4*OFFSET(N256,-2* $B$11,0), O255)</f>
        <v/>
      </c>
      <c r="P256" s="15">
        <f>INT((2^$J$12-1)*O256/100)/(2^$J$12-1)*100</f>
        <v/>
      </c>
      <c r="Q256" s="15" t="n">
        <v>0</v>
      </c>
      <c r="R256" s="15">
        <f>P256+Q256</f>
        <v/>
      </c>
      <c r="S256" s="15">
        <f>$I$1*S255-$I$2*S254+$I$3*R235+$I$4*R234</f>
        <v/>
      </c>
      <c r="T256" s="15">
        <f>RAND()*$G$12</f>
        <v/>
      </c>
      <c r="U256" s="15">
        <f>S256+T256</f>
        <v/>
      </c>
      <c r="V256" s="15">
        <f>INT((2^$J$12-1)*U256/100)/(2^$J$12-1)*100</f>
        <v/>
      </c>
      <c r="X256" s="15">
        <f>M256 * 1.05</f>
        <v/>
      </c>
      <c r="Y256" s="15">
        <f>M256 * 0.95</f>
        <v/>
      </c>
      <c r="Z256" s="15">
        <f>IF(AND(V256 &lt;= X256, V256 &gt;= Y256), 1, 0)</f>
        <v/>
      </c>
    </row>
    <row r="257">
      <c r="L257" s="15" t="n">
        <v>255</v>
      </c>
      <c r="M257" s="15">
        <f>IF(L257&lt;$D$16,$D$13,IF(L257&lt;$E$16,$E$13,$F$13))</f>
        <v/>
      </c>
      <c r="N257" s="15">
        <f>M257-V257</f>
        <v/>
      </c>
      <c r="O257" s="15">
        <f>IF(MOD(L257,$B$11)=0,OFFSET(O257,-$B$11,0)+ $E$2*N257+$E$3*OFFSET(N257,-$B$11,0)+ $E$4*OFFSET(N257,-2* $B$11,0), O256)</f>
        <v/>
      </c>
      <c r="P257" s="15">
        <f>INT((2^$J$12-1)*O257/100)/(2^$J$12-1)*100</f>
        <v/>
      </c>
      <c r="Q257" s="15" t="n">
        <v>0</v>
      </c>
      <c r="R257" s="15">
        <f>P257+Q257</f>
        <v/>
      </c>
      <c r="S257" s="15">
        <f>$I$1*S256-$I$2*S255+$I$3*R236+$I$4*R235</f>
        <v/>
      </c>
      <c r="T257" s="15">
        <f>RAND()*$G$12</f>
        <v/>
      </c>
      <c r="U257" s="15">
        <f>S257+T257</f>
        <v/>
      </c>
      <c r="V257" s="15">
        <f>INT((2^$J$12-1)*U257/100)/(2^$J$12-1)*100</f>
        <v/>
      </c>
      <c r="X257" s="15">
        <f>M257 * 1.05</f>
        <v/>
      </c>
      <c r="Y257" s="15">
        <f>M257 * 0.95</f>
        <v/>
      </c>
      <c r="Z257" s="15">
        <f>IF(AND(V257 &lt;= X257, V257 &gt;= Y257), 1, 0)</f>
        <v/>
      </c>
    </row>
    <row r="258">
      <c r="L258" s="15" t="n">
        <v>256</v>
      </c>
      <c r="M258" s="15">
        <f>IF(L258&lt;$D$16,$D$13,IF(L258&lt;$E$16,$E$13,$F$13))</f>
        <v/>
      </c>
      <c r="N258" s="15">
        <f>M258-V258</f>
        <v/>
      </c>
      <c r="O258" s="15">
        <f>IF(MOD(L258,$B$11)=0,OFFSET(O258,-$B$11,0)+ $E$2*N258+$E$3*OFFSET(N258,-$B$11,0)+ $E$4*OFFSET(N258,-2* $B$11,0), O257)</f>
        <v/>
      </c>
      <c r="P258" s="15">
        <f>INT((2^$J$12-1)*O258/100)/(2^$J$12-1)*100</f>
        <v/>
      </c>
      <c r="Q258" s="15" t="n">
        <v>0</v>
      </c>
      <c r="R258" s="15">
        <f>P258+Q258</f>
        <v/>
      </c>
      <c r="S258" s="15">
        <f>$I$1*S257-$I$2*S256+$I$3*R237+$I$4*R236</f>
        <v/>
      </c>
      <c r="T258" s="15">
        <f>RAND()*$G$12</f>
        <v/>
      </c>
      <c r="U258" s="15">
        <f>S258+T258</f>
        <v/>
      </c>
      <c r="V258" s="15">
        <f>INT((2^$J$12-1)*U258/100)/(2^$J$12-1)*100</f>
        <v/>
      </c>
      <c r="X258" s="15">
        <f>M258 * 1.05</f>
        <v/>
      </c>
      <c r="Y258" s="15">
        <f>M258 * 0.95</f>
        <v/>
      </c>
      <c r="Z258" s="15">
        <f>IF(AND(V258 &lt;= X258, V258 &gt;= Y258), 1, 0)</f>
        <v/>
      </c>
    </row>
    <row r="259">
      <c r="L259" s="15" t="n">
        <v>257</v>
      </c>
      <c r="M259" s="15">
        <f>IF(L259&lt;$D$16,$D$13,IF(L259&lt;$E$16,$E$13,$F$13))</f>
        <v/>
      </c>
      <c r="N259" s="15">
        <f>M259-V259</f>
        <v/>
      </c>
      <c r="O259" s="15">
        <f>IF(MOD(L259,$B$11)=0,OFFSET(O259,-$B$11,0)+ $E$2*N259+$E$3*OFFSET(N259,-$B$11,0)+ $E$4*OFFSET(N259,-2* $B$11,0), O258)</f>
        <v/>
      </c>
      <c r="P259" s="15">
        <f>INT((2^$J$12-1)*O259/100)/(2^$J$12-1)*100</f>
        <v/>
      </c>
      <c r="Q259" s="15" t="n">
        <v>0</v>
      </c>
      <c r="R259" s="15">
        <f>P259+Q259</f>
        <v/>
      </c>
      <c r="S259" s="15">
        <f>$I$1*S258-$I$2*S257+$I$3*R238+$I$4*R237</f>
        <v/>
      </c>
      <c r="T259" s="15">
        <f>RAND()*$G$12</f>
        <v/>
      </c>
      <c r="U259" s="15">
        <f>S259+T259</f>
        <v/>
      </c>
      <c r="V259" s="15">
        <f>INT((2^$J$12-1)*U259/100)/(2^$J$12-1)*100</f>
        <v/>
      </c>
      <c r="X259" s="15">
        <f>M259 * 1.05</f>
        <v/>
      </c>
      <c r="Y259" s="15">
        <f>M259 * 0.95</f>
        <v/>
      </c>
      <c r="Z259" s="15">
        <f>IF(AND(V259 &lt;= X259, V259 &gt;= Y259), 1, 0)</f>
        <v/>
      </c>
    </row>
    <row r="260">
      <c r="L260" s="15" t="n">
        <v>258</v>
      </c>
      <c r="M260" s="15">
        <f>IF(L260&lt;$D$16,$D$13,IF(L260&lt;$E$16,$E$13,$F$13))</f>
        <v/>
      </c>
      <c r="N260" s="15">
        <f>M260-V260</f>
        <v/>
      </c>
      <c r="O260" s="15">
        <f>IF(MOD(L260,$B$11)=0,OFFSET(O260,-$B$11,0)+ $E$2*N260+$E$3*OFFSET(N260,-$B$11,0)+ $E$4*OFFSET(N260,-2* $B$11,0), O259)</f>
        <v/>
      </c>
      <c r="P260" s="15">
        <f>INT((2^$J$12-1)*O260/100)/(2^$J$12-1)*100</f>
        <v/>
      </c>
      <c r="Q260" s="15" t="n">
        <v>0</v>
      </c>
      <c r="R260" s="15">
        <f>P260+Q260</f>
        <v/>
      </c>
      <c r="S260" s="15">
        <f>$I$1*S259-$I$2*S258+$I$3*R239+$I$4*R238</f>
        <v/>
      </c>
      <c r="T260" s="15">
        <f>RAND()*$G$12</f>
        <v/>
      </c>
      <c r="U260" s="15">
        <f>S260+T260</f>
        <v/>
      </c>
      <c r="V260" s="15">
        <f>INT((2^$J$12-1)*U260/100)/(2^$J$12-1)*100</f>
        <v/>
      </c>
      <c r="X260" s="15">
        <f>M260 * 1.05</f>
        <v/>
      </c>
      <c r="Y260" s="15">
        <f>M260 * 0.95</f>
        <v/>
      </c>
      <c r="Z260" s="15">
        <f>IF(AND(V260 &lt;= X260, V260 &gt;= Y260), 1, 0)</f>
        <v/>
      </c>
    </row>
    <row r="261">
      <c r="L261" s="15" t="n">
        <v>259</v>
      </c>
      <c r="M261" s="15">
        <f>IF(L261&lt;$D$16,$D$13,IF(L261&lt;$E$16,$E$13,$F$13))</f>
        <v/>
      </c>
      <c r="N261" s="15">
        <f>M261-V261</f>
        <v/>
      </c>
      <c r="O261" s="15">
        <f>IF(MOD(L261,$B$11)=0,OFFSET(O261,-$B$11,0)+ $E$2*N261+$E$3*OFFSET(N261,-$B$11,0)+ $E$4*OFFSET(N261,-2* $B$11,0), O260)</f>
        <v/>
      </c>
      <c r="P261" s="15">
        <f>INT((2^$J$12-1)*O261/100)/(2^$J$12-1)*100</f>
        <v/>
      </c>
      <c r="Q261" s="15" t="n">
        <v>0</v>
      </c>
      <c r="R261" s="15">
        <f>P261+Q261</f>
        <v/>
      </c>
      <c r="S261" s="15">
        <f>$I$1*S260-$I$2*S259+$I$3*R240+$I$4*R239</f>
        <v/>
      </c>
      <c r="T261" s="15">
        <f>RAND()*$G$12</f>
        <v/>
      </c>
      <c r="U261" s="15">
        <f>S261+T261</f>
        <v/>
      </c>
      <c r="V261" s="15">
        <f>INT((2^$J$12-1)*U261/100)/(2^$J$12-1)*100</f>
        <v/>
      </c>
      <c r="X261" s="15">
        <f>M261 * 1.05</f>
        <v/>
      </c>
      <c r="Y261" s="15">
        <f>M261 * 0.95</f>
        <v/>
      </c>
      <c r="Z261" s="15">
        <f>IF(AND(V261 &lt;= X261, V261 &gt;= Y261), 1, 0)</f>
        <v/>
      </c>
    </row>
    <row r="262">
      <c r="L262" s="15" t="n">
        <v>260</v>
      </c>
      <c r="M262" s="15">
        <f>IF(L262&lt;$D$16,$D$13,IF(L262&lt;$E$16,$E$13,$F$13))</f>
        <v/>
      </c>
      <c r="N262" s="15">
        <f>M262-V262</f>
        <v/>
      </c>
      <c r="O262" s="15">
        <f>IF(MOD(L262,$B$11)=0,OFFSET(O262,-$B$11,0)+ $E$2*N262+$E$3*OFFSET(N262,-$B$11,0)+ $E$4*OFFSET(N262,-2* $B$11,0), O261)</f>
        <v/>
      </c>
      <c r="P262" s="15">
        <f>INT((2^$J$12-1)*O262/100)/(2^$J$12-1)*100</f>
        <v/>
      </c>
      <c r="Q262" s="15" t="n">
        <v>0</v>
      </c>
      <c r="R262" s="15">
        <f>P262+Q262</f>
        <v/>
      </c>
      <c r="S262" s="15">
        <f>$I$1*S261-$I$2*S260+$I$3*R241+$I$4*R240</f>
        <v/>
      </c>
      <c r="T262" s="15">
        <f>RAND()*$G$12</f>
        <v/>
      </c>
      <c r="U262" s="15">
        <f>S262+T262</f>
        <v/>
      </c>
      <c r="V262" s="15">
        <f>INT((2^$J$12-1)*U262/100)/(2^$J$12-1)*100</f>
        <v/>
      </c>
      <c r="X262" s="15">
        <f>M262 * 1.05</f>
        <v/>
      </c>
      <c r="Y262" s="15">
        <f>M262 * 0.95</f>
        <v/>
      </c>
      <c r="Z262" s="15">
        <f>IF(AND(V262 &lt;= X262, V262 &gt;= Y262), 1, 0)</f>
        <v/>
      </c>
    </row>
    <row r="263">
      <c r="L263" s="15" t="n">
        <v>261</v>
      </c>
      <c r="M263" s="15">
        <f>IF(L263&lt;$D$16,$D$13,IF(L263&lt;$E$16,$E$13,$F$13))</f>
        <v/>
      </c>
      <c r="N263" s="15">
        <f>M263-V263</f>
        <v/>
      </c>
      <c r="O263" s="15">
        <f>IF(MOD(L263,$B$11)=0,OFFSET(O263,-$B$11,0)+ $E$2*N263+$E$3*OFFSET(N263,-$B$11,0)+ $E$4*OFFSET(N263,-2* $B$11,0), O262)</f>
        <v/>
      </c>
      <c r="P263" s="15">
        <f>INT((2^$J$12-1)*O263/100)/(2^$J$12-1)*100</f>
        <v/>
      </c>
      <c r="Q263" s="15" t="n">
        <v>0</v>
      </c>
      <c r="R263" s="15">
        <f>P263+Q263</f>
        <v/>
      </c>
      <c r="S263" s="15">
        <f>$I$1*S262-$I$2*S261+$I$3*R242+$I$4*R241</f>
        <v/>
      </c>
      <c r="T263" s="15">
        <f>RAND()*$G$12</f>
        <v/>
      </c>
      <c r="U263" s="15">
        <f>S263+T263</f>
        <v/>
      </c>
      <c r="V263" s="15">
        <f>INT((2^$J$12-1)*U263/100)/(2^$J$12-1)*100</f>
        <v/>
      </c>
      <c r="X263" s="15">
        <f>M263 * 1.05</f>
        <v/>
      </c>
      <c r="Y263" s="15">
        <f>M263 * 0.95</f>
        <v/>
      </c>
      <c r="Z263" s="15">
        <f>IF(AND(V263 &lt;= X263, V263 &gt;= Y263), 1, 0)</f>
        <v/>
      </c>
    </row>
    <row r="264">
      <c r="L264" s="15" t="n">
        <v>262</v>
      </c>
      <c r="M264" s="15">
        <f>IF(L264&lt;$D$16,$D$13,IF(L264&lt;$E$16,$E$13,$F$13))</f>
        <v/>
      </c>
      <c r="N264" s="15">
        <f>M264-V264</f>
        <v/>
      </c>
      <c r="O264" s="15">
        <f>IF(MOD(L264,$B$11)=0,OFFSET(O264,-$B$11,0)+ $E$2*N264+$E$3*OFFSET(N264,-$B$11,0)+ $E$4*OFFSET(N264,-2* $B$11,0), O263)</f>
        <v/>
      </c>
      <c r="P264" s="15">
        <f>INT((2^$J$12-1)*O264/100)/(2^$J$12-1)*100</f>
        <v/>
      </c>
      <c r="Q264" s="15" t="n">
        <v>0</v>
      </c>
      <c r="R264" s="15">
        <f>P264+Q264</f>
        <v/>
      </c>
      <c r="S264" s="15">
        <f>$I$1*S263-$I$2*S262+$I$3*R243+$I$4*R242</f>
        <v/>
      </c>
      <c r="T264" s="15">
        <f>RAND()*$G$12</f>
        <v/>
      </c>
      <c r="U264" s="15">
        <f>S264+T264</f>
        <v/>
      </c>
      <c r="V264" s="15">
        <f>INT((2^$J$12-1)*U264/100)/(2^$J$12-1)*100</f>
        <v/>
      </c>
      <c r="X264" s="15">
        <f>M264 * 1.05</f>
        <v/>
      </c>
      <c r="Y264" s="15">
        <f>M264 * 0.95</f>
        <v/>
      </c>
      <c r="Z264" s="15">
        <f>IF(AND(V264 &lt;= X264, V264 &gt;= Y264), 1, 0)</f>
        <v/>
      </c>
    </row>
    <row r="265">
      <c r="L265" s="15" t="n">
        <v>263</v>
      </c>
      <c r="M265" s="15">
        <f>IF(L265&lt;$D$16,$D$13,IF(L265&lt;$E$16,$E$13,$F$13))</f>
        <v/>
      </c>
      <c r="N265" s="15">
        <f>M265-V265</f>
        <v/>
      </c>
      <c r="O265" s="15">
        <f>IF(MOD(L265,$B$11)=0,OFFSET(O265,-$B$11,0)+ $E$2*N265+$E$3*OFFSET(N265,-$B$11,0)+ $E$4*OFFSET(N265,-2* $B$11,0), O264)</f>
        <v/>
      </c>
      <c r="P265" s="15">
        <f>INT((2^$J$12-1)*O265/100)/(2^$J$12-1)*100</f>
        <v/>
      </c>
      <c r="Q265" s="15" t="n">
        <v>0</v>
      </c>
      <c r="R265" s="15">
        <f>P265+Q265</f>
        <v/>
      </c>
      <c r="S265" s="15">
        <f>$I$1*S264-$I$2*S263+$I$3*R244+$I$4*R243</f>
        <v/>
      </c>
      <c r="T265" s="15">
        <f>RAND()*$G$12</f>
        <v/>
      </c>
      <c r="U265" s="15">
        <f>S265+T265</f>
        <v/>
      </c>
      <c r="V265" s="15">
        <f>INT((2^$J$12-1)*U265/100)/(2^$J$12-1)*100</f>
        <v/>
      </c>
      <c r="X265" s="15">
        <f>M265 * 1.05</f>
        <v/>
      </c>
      <c r="Y265" s="15">
        <f>M265 * 0.95</f>
        <v/>
      </c>
      <c r="Z265" s="15">
        <f>IF(AND(V265 &lt;= X265, V265 &gt;= Y265), 1, 0)</f>
        <v/>
      </c>
    </row>
    <row r="266">
      <c r="L266" s="15" t="n">
        <v>264</v>
      </c>
      <c r="M266" s="15">
        <f>IF(L266&lt;$D$16,$D$13,IF(L266&lt;$E$16,$E$13,$F$13))</f>
        <v/>
      </c>
      <c r="N266" s="15">
        <f>M266-V266</f>
        <v/>
      </c>
      <c r="O266" s="15">
        <f>IF(MOD(L266,$B$11)=0,OFFSET(O266,-$B$11,0)+ $E$2*N266+$E$3*OFFSET(N266,-$B$11,0)+ $E$4*OFFSET(N266,-2* $B$11,0), O265)</f>
        <v/>
      </c>
      <c r="P266" s="15">
        <f>INT((2^$J$12-1)*O266/100)/(2^$J$12-1)*100</f>
        <v/>
      </c>
      <c r="Q266" s="15" t="n">
        <v>0</v>
      </c>
      <c r="R266" s="15">
        <f>P266+Q266</f>
        <v/>
      </c>
      <c r="S266" s="15">
        <f>$I$1*S265-$I$2*S264+$I$3*R245+$I$4*R244</f>
        <v/>
      </c>
      <c r="T266" s="15">
        <f>RAND()*$G$12</f>
        <v/>
      </c>
      <c r="U266" s="15">
        <f>S266+T266</f>
        <v/>
      </c>
      <c r="V266" s="15">
        <f>INT((2^$J$12-1)*U266/100)/(2^$J$12-1)*100</f>
        <v/>
      </c>
      <c r="X266" s="15">
        <f>M266 * 1.05</f>
        <v/>
      </c>
      <c r="Y266" s="15">
        <f>M266 * 0.95</f>
        <v/>
      </c>
      <c r="Z266" s="15">
        <f>IF(AND(V266 &lt;= X266, V266 &gt;= Y266), 1, 0)</f>
        <v/>
      </c>
    </row>
    <row r="267">
      <c r="L267" s="15" t="n">
        <v>265</v>
      </c>
      <c r="M267" s="15">
        <f>IF(L267&lt;$D$16,$D$13,IF(L267&lt;$E$16,$E$13,$F$13))</f>
        <v/>
      </c>
      <c r="N267" s="15">
        <f>M267-V267</f>
        <v/>
      </c>
      <c r="O267" s="15">
        <f>IF(MOD(L267,$B$11)=0,OFFSET(O267,-$B$11,0)+ $E$2*N267+$E$3*OFFSET(N267,-$B$11,0)+ $E$4*OFFSET(N267,-2* $B$11,0), O266)</f>
        <v/>
      </c>
      <c r="P267" s="15">
        <f>INT((2^$J$12-1)*O267/100)/(2^$J$12-1)*100</f>
        <v/>
      </c>
      <c r="Q267" s="15" t="n">
        <v>0</v>
      </c>
      <c r="R267" s="15">
        <f>P267+Q267</f>
        <v/>
      </c>
      <c r="S267" s="15">
        <f>$I$1*S266-$I$2*S265+$I$3*R246+$I$4*R245</f>
        <v/>
      </c>
      <c r="T267" s="15">
        <f>RAND()*$G$12</f>
        <v/>
      </c>
      <c r="U267" s="15">
        <f>S267+T267</f>
        <v/>
      </c>
      <c r="V267" s="15">
        <f>INT((2^$J$12-1)*U267/100)/(2^$J$12-1)*100</f>
        <v/>
      </c>
      <c r="X267" s="15">
        <f>M267 * 1.05</f>
        <v/>
      </c>
      <c r="Y267" s="15">
        <f>M267 * 0.95</f>
        <v/>
      </c>
      <c r="Z267" s="15">
        <f>IF(AND(V267 &lt;= X267, V267 &gt;= Y267), 1, 0)</f>
        <v/>
      </c>
    </row>
    <row r="268">
      <c r="L268" s="15" t="n">
        <v>266</v>
      </c>
      <c r="M268" s="15">
        <f>IF(L268&lt;$D$16,$D$13,IF(L268&lt;$E$16,$E$13,$F$13))</f>
        <v/>
      </c>
      <c r="N268" s="15">
        <f>M268-V268</f>
        <v/>
      </c>
      <c r="O268" s="15">
        <f>IF(MOD(L268,$B$11)=0,OFFSET(O268,-$B$11,0)+ $E$2*N268+$E$3*OFFSET(N268,-$B$11,0)+ $E$4*OFFSET(N268,-2* $B$11,0), O267)</f>
        <v/>
      </c>
      <c r="P268" s="15">
        <f>INT((2^$J$12-1)*O268/100)/(2^$J$12-1)*100</f>
        <v/>
      </c>
      <c r="Q268" s="15" t="n">
        <v>0</v>
      </c>
      <c r="R268" s="15">
        <f>P268+Q268</f>
        <v/>
      </c>
      <c r="S268" s="15">
        <f>$I$1*S267-$I$2*S266+$I$3*R247+$I$4*R246</f>
        <v/>
      </c>
      <c r="T268" s="15">
        <f>RAND()*$G$12</f>
        <v/>
      </c>
      <c r="U268" s="15">
        <f>S268+T268</f>
        <v/>
      </c>
      <c r="V268" s="15">
        <f>INT((2^$J$12-1)*U268/100)/(2^$J$12-1)*100</f>
        <v/>
      </c>
      <c r="X268" s="15">
        <f>M268 * 1.05</f>
        <v/>
      </c>
      <c r="Y268" s="15">
        <f>M268 * 0.95</f>
        <v/>
      </c>
      <c r="Z268" s="15">
        <f>IF(AND(V268 &lt;= X268, V268 &gt;= Y268), 1, 0)</f>
        <v/>
      </c>
    </row>
    <row r="269">
      <c r="L269" s="15" t="n">
        <v>267</v>
      </c>
      <c r="M269" s="15">
        <f>IF(L269&lt;$D$16,$D$13,IF(L269&lt;$E$16,$E$13,$F$13))</f>
        <v/>
      </c>
      <c r="N269" s="15">
        <f>M269-V269</f>
        <v/>
      </c>
      <c r="O269" s="15">
        <f>IF(MOD(L269,$B$11)=0,OFFSET(O269,-$B$11,0)+ $E$2*N269+$E$3*OFFSET(N269,-$B$11,0)+ $E$4*OFFSET(N269,-2* $B$11,0), O268)</f>
        <v/>
      </c>
      <c r="P269" s="15">
        <f>INT((2^$J$12-1)*O269/100)/(2^$J$12-1)*100</f>
        <v/>
      </c>
      <c r="Q269" s="15" t="n">
        <v>0</v>
      </c>
      <c r="R269" s="15">
        <f>P269+Q269</f>
        <v/>
      </c>
      <c r="S269" s="15">
        <f>$I$1*S268-$I$2*S267+$I$3*R248+$I$4*R247</f>
        <v/>
      </c>
      <c r="T269" s="15">
        <f>RAND()*$G$12</f>
        <v/>
      </c>
      <c r="U269" s="15">
        <f>S269+T269</f>
        <v/>
      </c>
      <c r="V269" s="15">
        <f>INT((2^$J$12-1)*U269/100)/(2^$J$12-1)*100</f>
        <v/>
      </c>
      <c r="X269" s="15">
        <f>M269 * 1.05</f>
        <v/>
      </c>
      <c r="Y269" s="15">
        <f>M269 * 0.95</f>
        <v/>
      </c>
      <c r="Z269" s="15">
        <f>IF(AND(V269 &lt;= X269, V269 &gt;= Y269), 1, 0)</f>
        <v/>
      </c>
    </row>
    <row r="270">
      <c r="L270" s="15" t="n">
        <v>268</v>
      </c>
      <c r="M270" s="15">
        <f>IF(L270&lt;$D$16,$D$13,IF(L270&lt;$E$16,$E$13,$F$13))</f>
        <v/>
      </c>
      <c r="N270" s="15">
        <f>M270-V270</f>
        <v/>
      </c>
      <c r="O270" s="15">
        <f>IF(MOD(L270,$B$11)=0,OFFSET(O270,-$B$11,0)+ $E$2*N270+$E$3*OFFSET(N270,-$B$11,0)+ $E$4*OFFSET(N270,-2* $B$11,0), O269)</f>
        <v/>
      </c>
      <c r="P270" s="15">
        <f>INT((2^$J$12-1)*O270/100)/(2^$J$12-1)*100</f>
        <v/>
      </c>
      <c r="Q270" s="15" t="n">
        <v>0</v>
      </c>
      <c r="R270" s="15">
        <f>P270+Q270</f>
        <v/>
      </c>
      <c r="S270" s="15">
        <f>$I$1*S269-$I$2*S268+$I$3*R249+$I$4*R248</f>
        <v/>
      </c>
      <c r="T270" s="15">
        <f>RAND()*$G$12</f>
        <v/>
      </c>
      <c r="U270" s="15">
        <f>S270+T270</f>
        <v/>
      </c>
      <c r="V270" s="15">
        <f>INT((2^$J$12-1)*U270/100)/(2^$J$12-1)*100</f>
        <v/>
      </c>
      <c r="X270" s="15">
        <f>M270 * 1.05</f>
        <v/>
      </c>
      <c r="Y270" s="15">
        <f>M270 * 0.95</f>
        <v/>
      </c>
      <c r="Z270" s="15">
        <f>IF(AND(V270 &lt;= X270, V270 &gt;= Y270), 1, 0)</f>
        <v/>
      </c>
    </row>
    <row r="271">
      <c r="L271" s="15" t="n">
        <v>269</v>
      </c>
      <c r="M271" s="15">
        <f>IF(L271&lt;$D$16,$D$13,IF(L271&lt;$E$16,$E$13,$F$13))</f>
        <v/>
      </c>
      <c r="N271" s="15">
        <f>M271-V271</f>
        <v/>
      </c>
      <c r="O271" s="15">
        <f>IF(MOD(L271,$B$11)=0,OFFSET(O271,-$B$11,0)+ $E$2*N271+$E$3*OFFSET(N271,-$B$11,0)+ $E$4*OFFSET(N271,-2* $B$11,0), O270)</f>
        <v/>
      </c>
      <c r="P271" s="15">
        <f>INT((2^$J$12-1)*O271/100)/(2^$J$12-1)*100</f>
        <v/>
      </c>
      <c r="Q271" s="15" t="n">
        <v>0</v>
      </c>
      <c r="R271" s="15">
        <f>P271+Q271</f>
        <v/>
      </c>
      <c r="S271" s="15">
        <f>$I$1*S270-$I$2*S269+$I$3*R250+$I$4*R249</f>
        <v/>
      </c>
      <c r="T271" s="15">
        <f>RAND()*$G$12</f>
        <v/>
      </c>
      <c r="U271" s="15">
        <f>S271+T271</f>
        <v/>
      </c>
      <c r="V271" s="15">
        <f>INT((2^$J$12-1)*U271/100)/(2^$J$12-1)*100</f>
        <v/>
      </c>
      <c r="X271" s="15">
        <f>M271 * 1.05</f>
        <v/>
      </c>
      <c r="Y271" s="15">
        <f>M271 * 0.95</f>
        <v/>
      </c>
      <c r="Z271" s="15">
        <f>IF(AND(V271 &lt;= X271, V271 &gt;= Y271), 1, 0)</f>
        <v/>
      </c>
    </row>
    <row r="272">
      <c r="L272" s="15" t="n">
        <v>270</v>
      </c>
      <c r="M272" s="15">
        <f>IF(L272&lt;$D$16,$D$13,IF(L272&lt;$E$16,$E$13,$F$13))</f>
        <v/>
      </c>
      <c r="N272" s="15">
        <f>M272-V272</f>
        <v/>
      </c>
      <c r="O272" s="15">
        <f>IF(MOD(L272,$B$11)=0,OFFSET(O272,-$B$11,0)+ $E$2*N272+$E$3*OFFSET(N272,-$B$11,0)+ $E$4*OFFSET(N272,-2* $B$11,0), O271)</f>
        <v/>
      </c>
      <c r="P272" s="15">
        <f>INT((2^$J$12-1)*O272/100)/(2^$J$12-1)*100</f>
        <v/>
      </c>
      <c r="Q272" s="15" t="n">
        <v>0</v>
      </c>
      <c r="R272" s="15">
        <f>P272+Q272</f>
        <v/>
      </c>
      <c r="S272" s="15">
        <f>$I$1*S271-$I$2*S270+$I$3*R251+$I$4*R250</f>
        <v/>
      </c>
      <c r="T272" s="15">
        <f>RAND()*$G$12</f>
        <v/>
      </c>
      <c r="U272" s="15">
        <f>S272+T272</f>
        <v/>
      </c>
      <c r="V272" s="15">
        <f>INT((2^$J$12-1)*U272/100)/(2^$J$12-1)*100</f>
        <v/>
      </c>
      <c r="X272" s="15">
        <f>M272 * 1.05</f>
        <v/>
      </c>
      <c r="Y272" s="15">
        <f>M272 * 0.95</f>
        <v/>
      </c>
      <c r="Z272" s="15">
        <f>IF(AND(V272 &lt;= X272, V272 &gt;= Y272), 1, 0)</f>
        <v/>
      </c>
    </row>
    <row r="273">
      <c r="L273" s="15" t="n">
        <v>271</v>
      </c>
      <c r="M273" s="15">
        <f>IF(L273&lt;$D$16,$D$13,IF(L273&lt;$E$16,$E$13,$F$13))</f>
        <v/>
      </c>
      <c r="N273" s="15">
        <f>M273-V273</f>
        <v/>
      </c>
      <c r="O273" s="15">
        <f>IF(MOD(L273,$B$11)=0,OFFSET(O273,-$B$11,0)+ $E$2*N273+$E$3*OFFSET(N273,-$B$11,0)+ $E$4*OFFSET(N273,-2* $B$11,0), O272)</f>
        <v/>
      </c>
      <c r="P273" s="15">
        <f>INT((2^$J$12-1)*O273/100)/(2^$J$12-1)*100</f>
        <v/>
      </c>
      <c r="Q273" s="15" t="n">
        <v>0</v>
      </c>
      <c r="R273" s="15">
        <f>P273+Q273</f>
        <v/>
      </c>
      <c r="S273" s="15">
        <f>$I$1*S272-$I$2*S271+$I$3*R252+$I$4*R251</f>
        <v/>
      </c>
      <c r="T273" s="15">
        <f>RAND()*$G$12</f>
        <v/>
      </c>
      <c r="U273" s="15">
        <f>S273+T273</f>
        <v/>
      </c>
      <c r="V273" s="15">
        <f>INT((2^$J$12-1)*U273/100)/(2^$J$12-1)*100</f>
        <v/>
      </c>
      <c r="X273" s="15">
        <f>M273 * 1.05</f>
        <v/>
      </c>
      <c r="Y273" s="15">
        <f>M273 * 0.95</f>
        <v/>
      </c>
      <c r="Z273" s="15">
        <f>IF(AND(V273 &lt;= X273, V273 &gt;= Y273), 1, 0)</f>
        <v/>
      </c>
    </row>
    <row r="274">
      <c r="L274" s="15" t="n">
        <v>272</v>
      </c>
      <c r="M274" s="15">
        <f>IF(L274&lt;$D$16,$D$13,IF(L274&lt;$E$16,$E$13,$F$13))</f>
        <v/>
      </c>
      <c r="N274" s="15">
        <f>M274-V274</f>
        <v/>
      </c>
      <c r="O274" s="15">
        <f>IF(MOD(L274,$B$11)=0,OFFSET(O274,-$B$11,0)+ $E$2*N274+$E$3*OFFSET(N274,-$B$11,0)+ $E$4*OFFSET(N274,-2* $B$11,0), O273)</f>
        <v/>
      </c>
      <c r="P274" s="15">
        <f>INT((2^$J$12-1)*O274/100)/(2^$J$12-1)*100</f>
        <v/>
      </c>
      <c r="Q274" s="15" t="n">
        <v>0</v>
      </c>
      <c r="R274" s="15">
        <f>P274+Q274</f>
        <v/>
      </c>
      <c r="S274" s="15">
        <f>$I$1*S273-$I$2*S272+$I$3*R253+$I$4*R252</f>
        <v/>
      </c>
      <c r="T274" s="15">
        <f>RAND()*$G$12</f>
        <v/>
      </c>
      <c r="U274" s="15">
        <f>S274+T274</f>
        <v/>
      </c>
      <c r="V274" s="15">
        <f>INT((2^$J$12-1)*U274/100)/(2^$J$12-1)*100</f>
        <v/>
      </c>
      <c r="X274" s="15">
        <f>M274 * 1.05</f>
        <v/>
      </c>
      <c r="Y274" s="15">
        <f>M274 * 0.95</f>
        <v/>
      </c>
      <c r="Z274" s="15">
        <f>IF(AND(V274 &lt;= X274, V274 &gt;= Y274), 1, 0)</f>
        <v/>
      </c>
    </row>
    <row r="275">
      <c r="L275" s="15" t="n">
        <v>273</v>
      </c>
      <c r="M275" s="15">
        <f>IF(L275&lt;$D$16,$D$13,IF(L275&lt;$E$16,$E$13,$F$13))</f>
        <v/>
      </c>
      <c r="N275" s="15">
        <f>M275-V275</f>
        <v/>
      </c>
      <c r="O275" s="15">
        <f>IF(MOD(L275,$B$11)=0,OFFSET(O275,-$B$11,0)+ $E$2*N275+$E$3*OFFSET(N275,-$B$11,0)+ $E$4*OFFSET(N275,-2* $B$11,0), O274)</f>
        <v/>
      </c>
      <c r="P275" s="15">
        <f>INT((2^$J$12-1)*O275/100)/(2^$J$12-1)*100</f>
        <v/>
      </c>
      <c r="Q275" s="15" t="n">
        <v>0</v>
      </c>
      <c r="R275" s="15">
        <f>P275+Q275</f>
        <v/>
      </c>
      <c r="S275" s="15">
        <f>$I$1*S274-$I$2*S273+$I$3*R254+$I$4*R253</f>
        <v/>
      </c>
      <c r="T275" s="15">
        <f>RAND()*$G$12</f>
        <v/>
      </c>
      <c r="U275" s="15">
        <f>S275+T275</f>
        <v/>
      </c>
      <c r="V275" s="15">
        <f>INT((2^$J$12-1)*U275/100)/(2^$J$12-1)*100</f>
        <v/>
      </c>
      <c r="X275" s="15">
        <f>M275 * 1.05</f>
        <v/>
      </c>
      <c r="Y275" s="15">
        <f>M275 * 0.95</f>
        <v/>
      </c>
      <c r="Z275" s="15">
        <f>IF(AND(V275 &lt;= X275, V275 &gt;= Y275), 1, 0)</f>
        <v/>
      </c>
    </row>
    <row r="276">
      <c r="L276" s="15" t="n">
        <v>274</v>
      </c>
      <c r="M276" s="15">
        <f>IF(L276&lt;$D$16,$D$13,IF(L276&lt;$E$16,$E$13,$F$13))</f>
        <v/>
      </c>
      <c r="N276" s="15">
        <f>M276-V276</f>
        <v/>
      </c>
      <c r="O276" s="15">
        <f>IF(MOD(L276,$B$11)=0,OFFSET(O276,-$B$11,0)+ $E$2*N276+$E$3*OFFSET(N276,-$B$11,0)+ $E$4*OFFSET(N276,-2* $B$11,0), O275)</f>
        <v/>
      </c>
      <c r="P276" s="15">
        <f>INT((2^$J$12-1)*O276/100)/(2^$J$12-1)*100</f>
        <v/>
      </c>
      <c r="Q276" s="15" t="n">
        <v>0</v>
      </c>
      <c r="R276" s="15">
        <f>P276+Q276</f>
        <v/>
      </c>
      <c r="S276" s="15">
        <f>$I$1*S275-$I$2*S274+$I$3*R255+$I$4*R254</f>
        <v/>
      </c>
      <c r="T276" s="15">
        <f>RAND()*$G$12</f>
        <v/>
      </c>
      <c r="U276" s="15">
        <f>S276+T276</f>
        <v/>
      </c>
      <c r="V276" s="15">
        <f>INT((2^$J$12-1)*U276/100)/(2^$J$12-1)*100</f>
        <v/>
      </c>
      <c r="X276" s="15">
        <f>M276 * 1.05</f>
        <v/>
      </c>
      <c r="Y276" s="15">
        <f>M276 * 0.95</f>
        <v/>
      </c>
      <c r="Z276" s="15">
        <f>IF(AND(V276 &lt;= X276, V276 &gt;= Y276), 1, 0)</f>
        <v/>
      </c>
    </row>
    <row r="277">
      <c r="L277" s="15" t="n">
        <v>275</v>
      </c>
      <c r="M277" s="15">
        <f>IF(L277&lt;$D$16,$D$13,IF(L277&lt;$E$16,$E$13,$F$13))</f>
        <v/>
      </c>
      <c r="N277" s="15">
        <f>M277-V277</f>
        <v/>
      </c>
      <c r="O277" s="15">
        <f>IF(MOD(L277,$B$11)=0,OFFSET(O277,-$B$11,0)+ $E$2*N277+$E$3*OFFSET(N277,-$B$11,0)+ $E$4*OFFSET(N277,-2* $B$11,0), O276)</f>
        <v/>
      </c>
      <c r="P277" s="15">
        <f>INT((2^$J$12-1)*O277/100)/(2^$J$12-1)*100</f>
        <v/>
      </c>
      <c r="Q277" s="15" t="n">
        <v>0</v>
      </c>
      <c r="R277" s="15">
        <f>P277+Q277</f>
        <v/>
      </c>
      <c r="S277" s="15">
        <f>$I$1*S276-$I$2*S275+$I$3*R256+$I$4*R255</f>
        <v/>
      </c>
      <c r="T277" s="15">
        <f>RAND()*$G$12</f>
        <v/>
      </c>
      <c r="U277" s="15">
        <f>S277+T277</f>
        <v/>
      </c>
      <c r="V277" s="15">
        <f>INT((2^$J$12-1)*U277/100)/(2^$J$12-1)*100</f>
        <v/>
      </c>
      <c r="X277" s="15">
        <f>M277 * 1.05</f>
        <v/>
      </c>
      <c r="Y277" s="15">
        <f>M277 * 0.95</f>
        <v/>
      </c>
      <c r="Z277" s="15">
        <f>IF(AND(V277 &lt;= X277, V277 &gt;= Y277), 1, 0)</f>
        <v/>
      </c>
    </row>
    <row r="278">
      <c r="L278" s="15" t="n">
        <v>276</v>
      </c>
      <c r="M278" s="15">
        <f>IF(L278&lt;$D$16,$D$13,IF(L278&lt;$E$16,$E$13,$F$13))</f>
        <v/>
      </c>
      <c r="N278" s="15">
        <f>M278-V278</f>
        <v/>
      </c>
      <c r="O278" s="15">
        <f>IF(MOD(L278,$B$11)=0,OFFSET(O278,-$B$11,0)+ $E$2*N278+$E$3*OFFSET(N278,-$B$11,0)+ $E$4*OFFSET(N278,-2* $B$11,0), O277)</f>
        <v/>
      </c>
      <c r="P278" s="15">
        <f>INT((2^$J$12-1)*O278/100)/(2^$J$12-1)*100</f>
        <v/>
      </c>
      <c r="Q278" s="15" t="n">
        <v>0</v>
      </c>
      <c r="R278" s="15">
        <f>P278+Q278</f>
        <v/>
      </c>
      <c r="S278" s="15">
        <f>$I$1*S277-$I$2*S276+$I$3*R257+$I$4*R256</f>
        <v/>
      </c>
      <c r="T278" s="15">
        <f>RAND()*$G$12</f>
        <v/>
      </c>
      <c r="U278" s="15">
        <f>S278+T278</f>
        <v/>
      </c>
      <c r="V278" s="15">
        <f>INT((2^$J$12-1)*U278/100)/(2^$J$12-1)*100</f>
        <v/>
      </c>
      <c r="X278" s="15">
        <f>M278 * 1.05</f>
        <v/>
      </c>
      <c r="Y278" s="15">
        <f>M278 * 0.95</f>
        <v/>
      </c>
      <c r="Z278" s="15">
        <f>IF(AND(V278 &lt;= X278, V278 &gt;= Y278), 1, 0)</f>
        <v/>
      </c>
    </row>
    <row r="279">
      <c r="L279" s="15" t="n">
        <v>277</v>
      </c>
      <c r="M279" s="15">
        <f>IF(L279&lt;$D$16,$D$13,IF(L279&lt;$E$16,$E$13,$F$13))</f>
        <v/>
      </c>
      <c r="N279" s="15">
        <f>M279-V279</f>
        <v/>
      </c>
      <c r="O279" s="15">
        <f>IF(MOD(L279,$B$11)=0,OFFSET(O279,-$B$11,0)+ $E$2*N279+$E$3*OFFSET(N279,-$B$11,0)+ $E$4*OFFSET(N279,-2* $B$11,0), O278)</f>
        <v/>
      </c>
      <c r="P279" s="15">
        <f>INT((2^$J$12-1)*O279/100)/(2^$J$12-1)*100</f>
        <v/>
      </c>
      <c r="Q279" s="15" t="n">
        <v>0</v>
      </c>
      <c r="R279" s="15">
        <f>P279+Q279</f>
        <v/>
      </c>
      <c r="S279" s="15">
        <f>$I$1*S278-$I$2*S277+$I$3*R258+$I$4*R257</f>
        <v/>
      </c>
      <c r="T279" s="15">
        <f>RAND()*$G$12</f>
        <v/>
      </c>
      <c r="U279" s="15">
        <f>S279+T279</f>
        <v/>
      </c>
      <c r="V279" s="15">
        <f>INT((2^$J$12-1)*U279/100)/(2^$J$12-1)*100</f>
        <v/>
      </c>
      <c r="X279" s="15">
        <f>M279 * 1.05</f>
        <v/>
      </c>
      <c r="Y279" s="15">
        <f>M279 * 0.95</f>
        <v/>
      </c>
      <c r="Z279" s="15">
        <f>IF(AND(V279 &lt;= X279, V279 &gt;= Y279), 1, 0)</f>
        <v/>
      </c>
    </row>
    <row r="280">
      <c r="L280" s="15" t="n">
        <v>278</v>
      </c>
      <c r="M280" s="15">
        <f>IF(L280&lt;$D$16,$D$13,IF(L280&lt;$E$16,$E$13,$F$13))</f>
        <v/>
      </c>
      <c r="N280" s="15">
        <f>M280-V280</f>
        <v/>
      </c>
      <c r="O280" s="15">
        <f>IF(MOD(L280,$B$11)=0,OFFSET(O280,-$B$11,0)+ $E$2*N280+$E$3*OFFSET(N280,-$B$11,0)+ $E$4*OFFSET(N280,-2* $B$11,0), O279)</f>
        <v/>
      </c>
      <c r="P280" s="15">
        <f>INT((2^$J$12-1)*O280/100)/(2^$J$12-1)*100</f>
        <v/>
      </c>
      <c r="Q280" s="15" t="n">
        <v>0</v>
      </c>
      <c r="R280" s="15">
        <f>P280+Q280</f>
        <v/>
      </c>
      <c r="S280" s="15">
        <f>$I$1*S279-$I$2*S278+$I$3*R259+$I$4*R258</f>
        <v/>
      </c>
      <c r="T280" s="15">
        <f>RAND()*$G$12</f>
        <v/>
      </c>
      <c r="U280" s="15">
        <f>S280+T280</f>
        <v/>
      </c>
      <c r="V280" s="15">
        <f>INT((2^$J$12-1)*U280/100)/(2^$J$12-1)*100</f>
        <v/>
      </c>
      <c r="X280" s="15">
        <f>M280 * 1.05</f>
        <v/>
      </c>
      <c r="Y280" s="15">
        <f>M280 * 0.95</f>
        <v/>
      </c>
      <c r="Z280" s="15">
        <f>IF(AND(V280 &lt;= X280, V280 &gt;= Y280), 1, 0)</f>
        <v/>
      </c>
    </row>
    <row r="281">
      <c r="L281" s="15" t="n">
        <v>279</v>
      </c>
      <c r="M281" s="15">
        <f>IF(L281&lt;$D$16,$D$13,IF(L281&lt;$E$16,$E$13,$F$13))</f>
        <v/>
      </c>
      <c r="N281" s="15">
        <f>M281-V281</f>
        <v/>
      </c>
      <c r="O281" s="15">
        <f>IF(MOD(L281,$B$11)=0,OFFSET(O281,-$B$11,0)+ $E$2*N281+$E$3*OFFSET(N281,-$B$11,0)+ $E$4*OFFSET(N281,-2* $B$11,0), O280)</f>
        <v/>
      </c>
      <c r="P281" s="15">
        <f>INT((2^$J$12-1)*O281/100)/(2^$J$12-1)*100</f>
        <v/>
      </c>
      <c r="Q281" s="15" t="n">
        <v>0</v>
      </c>
      <c r="R281" s="15">
        <f>P281+Q281</f>
        <v/>
      </c>
      <c r="S281" s="15">
        <f>$I$1*S280-$I$2*S279+$I$3*R260+$I$4*R259</f>
        <v/>
      </c>
      <c r="T281" s="15">
        <f>RAND()*$G$12</f>
        <v/>
      </c>
      <c r="U281" s="15">
        <f>S281+T281</f>
        <v/>
      </c>
      <c r="V281" s="15">
        <f>INT((2^$J$12-1)*U281/100)/(2^$J$12-1)*100</f>
        <v/>
      </c>
      <c r="X281" s="15">
        <f>M281 * 1.05</f>
        <v/>
      </c>
      <c r="Y281" s="15">
        <f>M281 * 0.95</f>
        <v/>
      </c>
      <c r="Z281" s="15">
        <f>IF(AND(V281 &lt;= X281, V281 &gt;= Y281), 1, 0)</f>
        <v/>
      </c>
    </row>
    <row r="282">
      <c r="L282" s="15" t="n">
        <v>280</v>
      </c>
      <c r="M282" s="15">
        <f>IF(L282&lt;$D$16,$D$13,IF(L282&lt;$E$16,$E$13,$F$13))</f>
        <v/>
      </c>
      <c r="N282" s="15">
        <f>M282-V282</f>
        <v/>
      </c>
      <c r="O282" s="15">
        <f>IF(MOD(L282,$B$11)=0,OFFSET(O282,-$B$11,0)+ $E$2*N282+$E$3*OFFSET(N282,-$B$11,0)+ $E$4*OFFSET(N282,-2* $B$11,0), O281)</f>
        <v/>
      </c>
      <c r="P282" s="15">
        <f>INT((2^$J$12-1)*O282/100)/(2^$J$12-1)*100</f>
        <v/>
      </c>
      <c r="Q282" s="15" t="n">
        <v>0</v>
      </c>
      <c r="R282" s="15">
        <f>P282+Q282</f>
        <v/>
      </c>
      <c r="S282" s="15">
        <f>$I$1*S281-$I$2*S280+$I$3*R261+$I$4*R260</f>
        <v/>
      </c>
      <c r="T282" s="15">
        <f>RAND()*$G$12</f>
        <v/>
      </c>
      <c r="U282" s="15">
        <f>S282+T282</f>
        <v/>
      </c>
      <c r="V282" s="15">
        <f>INT((2^$J$12-1)*U282/100)/(2^$J$12-1)*100</f>
        <v/>
      </c>
      <c r="X282" s="15">
        <f>M282 * 1.05</f>
        <v/>
      </c>
      <c r="Y282" s="15">
        <f>M282 * 0.95</f>
        <v/>
      </c>
      <c r="Z282" s="15">
        <f>IF(AND(V282 &lt;= X282, V282 &gt;= Y282), 1, 0)</f>
        <v/>
      </c>
    </row>
    <row r="283">
      <c r="L283" s="15" t="n">
        <v>281</v>
      </c>
      <c r="M283" s="15">
        <f>IF(L283&lt;$D$16,$D$13,IF(L283&lt;$E$16,$E$13,$F$13))</f>
        <v/>
      </c>
      <c r="N283" s="15">
        <f>M283-V283</f>
        <v/>
      </c>
      <c r="O283" s="15">
        <f>IF(MOD(L283,$B$11)=0,OFFSET(O283,-$B$11,0)+ $E$2*N283+$E$3*OFFSET(N283,-$B$11,0)+ $E$4*OFFSET(N283,-2* $B$11,0), O282)</f>
        <v/>
      </c>
      <c r="P283" s="15">
        <f>INT((2^$J$12-1)*O283/100)/(2^$J$12-1)*100</f>
        <v/>
      </c>
      <c r="Q283" s="15" t="n">
        <v>0</v>
      </c>
      <c r="R283" s="15">
        <f>P283+Q283</f>
        <v/>
      </c>
      <c r="S283" s="15">
        <f>$I$1*S282-$I$2*S281+$I$3*R262+$I$4*R261</f>
        <v/>
      </c>
      <c r="T283" s="15">
        <f>RAND()*$G$12</f>
        <v/>
      </c>
      <c r="U283" s="15">
        <f>S283+T283</f>
        <v/>
      </c>
      <c r="V283" s="15">
        <f>INT((2^$J$12-1)*U283/100)/(2^$J$12-1)*100</f>
        <v/>
      </c>
      <c r="X283" s="15">
        <f>M283 * 1.05</f>
        <v/>
      </c>
      <c r="Y283" s="15">
        <f>M283 * 0.95</f>
        <v/>
      </c>
      <c r="Z283" s="15">
        <f>IF(AND(V283 &lt;= X283, V283 &gt;= Y283), 1, 0)</f>
        <v/>
      </c>
    </row>
    <row r="284">
      <c r="L284" s="15" t="n">
        <v>282</v>
      </c>
      <c r="M284" s="15">
        <f>IF(L284&lt;$D$16,$D$13,IF(L284&lt;$E$16,$E$13,$F$13))</f>
        <v/>
      </c>
      <c r="N284" s="15">
        <f>M284-V284</f>
        <v/>
      </c>
      <c r="O284" s="15">
        <f>IF(MOD(L284,$B$11)=0,OFFSET(O284,-$B$11,0)+ $E$2*N284+$E$3*OFFSET(N284,-$B$11,0)+ $E$4*OFFSET(N284,-2* $B$11,0), O283)</f>
        <v/>
      </c>
      <c r="P284" s="15">
        <f>INT((2^$J$12-1)*O284/100)/(2^$J$12-1)*100</f>
        <v/>
      </c>
      <c r="Q284" s="15" t="n">
        <v>0</v>
      </c>
      <c r="R284" s="15">
        <f>P284+Q284</f>
        <v/>
      </c>
      <c r="S284" s="15">
        <f>$I$1*S283-$I$2*S282+$I$3*R263+$I$4*R262</f>
        <v/>
      </c>
      <c r="T284" s="15">
        <f>RAND()*$G$12</f>
        <v/>
      </c>
      <c r="U284" s="15">
        <f>S284+T284</f>
        <v/>
      </c>
      <c r="V284" s="15">
        <f>INT((2^$J$12-1)*U284/100)/(2^$J$12-1)*100</f>
        <v/>
      </c>
      <c r="X284" s="15">
        <f>M284 * 1.05</f>
        <v/>
      </c>
      <c r="Y284" s="15">
        <f>M284 * 0.95</f>
        <v/>
      </c>
      <c r="Z284" s="15">
        <f>IF(AND(V284 &lt;= X284, V284 &gt;= Y284), 1, 0)</f>
        <v/>
      </c>
    </row>
    <row r="285">
      <c r="L285" s="15" t="n">
        <v>283</v>
      </c>
      <c r="M285" s="15">
        <f>IF(L285&lt;$D$16,$D$13,IF(L285&lt;$E$16,$E$13,$F$13))</f>
        <v/>
      </c>
      <c r="N285" s="15">
        <f>M285-V285</f>
        <v/>
      </c>
      <c r="O285" s="15">
        <f>IF(MOD(L285,$B$11)=0,OFFSET(O285,-$B$11,0)+ $E$2*N285+$E$3*OFFSET(N285,-$B$11,0)+ $E$4*OFFSET(N285,-2* $B$11,0), O284)</f>
        <v/>
      </c>
      <c r="P285" s="15">
        <f>INT((2^$J$12-1)*O285/100)/(2^$J$12-1)*100</f>
        <v/>
      </c>
      <c r="Q285" s="15" t="n">
        <v>0</v>
      </c>
      <c r="R285" s="15">
        <f>P285+Q285</f>
        <v/>
      </c>
      <c r="S285" s="15">
        <f>$I$1*S284-$I$2*S283+$I$3*R264+$I$4*R263</f>
        <v/>
      </c>
      <c r="T285" s="15">
        <f>RAND()*$G$12</f>
        <v/>
      </c>
      <c r="U285" s="15">
        <f>S285+T285</f>
        <v/>
      </c>
      <c r="V285" s="15">
        <f>INT((2^$J$12-1)*U285/100)/(2^$J$12-1)*100</f>
        <v/>
      </c>
      <c r="X285" s="15">
        <f>M285 * 1.05</f>
        <v/>
      </c>
      <c r="Y285" s="15">
        <f>M285 * 0.95</f>
        <v/>
      </c>
      <c r="Z285" s="15">
        <f>IF(AND(V285 &lt;= X285, V285 &gt;= Y285), 1, 0)</f>
        <v/>
      </c>
    </row>
    <row r="286">
      <c r="L286" s="15" t="n">
        <v>284</v>
      </c>
      <c r="M286" s="15">
        <f>IF(L286&lt;$D$16,$D$13,IF(L286&lt;$E$16,$E$13,$F$13))</f>
        <v/>
      </c>
      <c r="N286" s="15">
        <f>M286-V286</f>
        <v/>
      </c>
      <c r="O286" s="15">
        <f>IF(MOD(L286,$B$11)=0,OFFSET(O286,-$B$11,0)+ $E$2*N286+$E$3*OFFSET(N286,-$B$11,0)+ $E$4*OFFSET(N286,-2* $B$11,0), O285)</f>
        <v/>
      </c>
      <c r="P286" s="15">
        <f>INT((2^$J$12-1)*O286/100)/(2^$J$12-1)*100</f>
        <v/>
      </c>
      <c r="Q286" s="15" t="n">
        <v>0</v>
      </c>
      <c r="R286" s="15">
        <f>P286+Q286</f>
        <v/>
      </c>
      <c r="S286" s="15">
        <f>$I$1*S285-$I$2*S284+$I$3*R265+$I$4*R264</f>
        <v/>
      </c>
      <c r="T286" s="15">
        <f>RAND()*$G$12</f>
        <v/>
      </c>
      <c r="U286" s="15">
        <f>S286+T286</f>
        <v/>
      </c>
      <c r="V286" s="15">
        <f>INT((2^$J$12-1)*U286/100)/(2^$J$12-1)*100</f>
        <v/>
      </c>
      <c r="X286" s="15">
        <f>M286 * 1.05</f>
        <v/>
      </c>
      <c r="Y286" s="15">
        <f>M286 * 0.95</f>
        <v/>
      </c>
      <c r="Z286" s="15">
        <f>IF(AND(V286 &lt;= X286, V286 &gt;= Y286), 1, 0)</f>
        <v/>
      </c>
    </row>
    <row r="287">
      <c r="L287" s="15" t="n">
        <v>285</v>
      </c>
      <c r="M287" s="15">
        <f>IF(L287&lt;$D$16,$D$13,IF(L287&lt;$E$16,$E$13,$F$13))</f>
        <v/>
      </c>
      <c r="N287" s="15">
        <f>M287-V287</f>
        <v/>
      </c>
      <c r="O287" s="15">
        <f>IF(MOD(L287,$B$11)=0,OFFSET(O287,-$B$11,0)+ $E$2*N287+$E$3*OFFSET(N287,-$B$11,0)+ $E$4*OFFSET(N287,-2* $B$11,0), O286)</f>
        <v/>
      </c>
      <c r="P287" s="15">
        <f>INT((2^$J$12-1)*O287/100)/(2^$J$12-1)*100</f>
        <v/>
      </c>
      <c r="Q287" s="15" t="n">
        <v>0</v>
      </c>
      <c r="R287" s="15">
        <f>P287+Q287</f>
        <v/>
      </c>
      <c r="S287" s="15">
        <f>$I$1*S286-$I$2*S285+$I$3*R266+$I$4*R265</f>
        <v/>
      </c>
      <c r="T287" s="15">
        <f>RAND()*$G$12</f>
        <v/>
      </c>
      <c r="U287" s="15">
        <f>S287+T287</f>
        <v/>
      </c>
      <c r="V287" s="15">
        <f>INT((2^$J$12-1)*U287/100)/(2^$J$12-1)*100</f>
        <v/>
      </c>
      <c r="X287" s="15">
        <f>M287 * 1.05</f>
        <v/>
      </c>
      <c r="Y287" s="15">
        <f>M287 * 0.95</f>
        <v/>
      </c>
      <c r="Z287" s="15">
        <f>IF(AND(V287 &lt;= X287, V287 &gt;= Y287), 1, 0)</f>
        <v/>
      </c>
    </row>
    <row r="288">
      <c r="L288" s="15" t="n">
        <v>286</v>
      </c>
      <c r="M288" s="15">
        <f>IF(L288&lt;$D$16,$D$13,IF(L288&lt;$E$16,$E$13,$F$13))</f>
        <v/>
      </c>
      <c r="N288" s="15">
        <f>M288-V288</f>
        <v/>
      </c>
      <c r="O288" s="15">
        <f>IF(MOD(L288,$B$11)=0,OFFSET(O288,-$B$11,0)+ $E$2*N288+$E$3*OFFSET(N288,-$B$11,0)+ $E$4*OFFSET(N288,-2* $B$11,0), O287)</f>
        <v/>
      </c>
      <c r="P288" s="15">
        <f>INT((2^$J$12-1)*O288/100)/(2^$J$12-1)*100</f>
        <v/>
      </c>
      <c r="Q288" s="15" t="n">
        <v>0</v>
      </c>
      <c r="R288" s="15">
        <f>P288+Q288</f>
        <v/>
      </c>
      <c r="S288" s="15">
        <f>$I$1*S287-$I$2*S286+$I$3*R267+$I$4*R266</f>
        <v/>
      </c>
      <c r="T288" s="15">
        <f>RAND()*$G$12</f>
        <v/>
      </c>
      <c r="U288" s="15">
        <f>S288+T288</f>
        <v/>
      </c>
      <c r="V288" s="15">
        <f>INT((2^$J$12-1)*U288/100)/(2^$J$12-1)*100</f>
        <v/>
      </c>
      <c r="X288" s="15">
        <f>M288 * 1.05</f>
        <v/>
      </c>
      <c r="Y288" s="15">
        <f>M288 * 0.95</f>
        <v/>
      </c>
      <c r="Z288" s="15">
        <f>IF(AND(V288 &lt;= X288, V288 &gt;= Y288), 1, 0)</f>
        <v/>
      </c>
    </row>
    <row r="289">
      <c r="L289" s="15" t="n">
        <v>287</v>
      </c>
      <c r="M289" s="15">
        <f>IF(L289&lt;$D$16,$D$13,IF(L289&lt;$E$16,$E$13,$F$13))</f>
        <v/>
      </c>
      <c r="N289" s="15">
        <f>M289-V289</f>
        <v/>
      </c>
      <c r="O289" s="15">
        <f>IF(MOD(L289,$B$11)=0,OFFSET(O289,-$B$11,0)+ $E$2*N289+$E$3*OFFSET(N289,-$B$11,0)+ $E$4*OFFSET(N289,-2* $B$11,0), O288)</f>
        <v/>
      </c>
      <c r="P289" s="15">
        <f>INT((2^$J$12-1)*O289/100)/(2^$J$12-1)*100</f>
        <v/>
      </c>
      <c r="Q289" s="15" t="n">
        <v>0</v>
      </c>
      <c r="R289" s="15">
        <f>P289+Q289</f>
        <v/>
      </c>
      <c r="S289" s="15">
        <f>$I$1*S288-$I$2*S287+$I$3*R268+$I$4*R267</f>
        <v/>
      </c>
      <c r="T289" s="15">
        <f>RAND()*$G$12</f>
        <v/>
      </c>
      <c r="U289" s="15">
        <f>S289+T289</f>
        <v/>
      </c>
      <c r="V289" s="15">
        <f>INT((2^$J$12-1)*U289/100)/(2^$J$12-1)*100</f>
        <v/>
      </c>
      <c r="X289" s="15">
        <f>M289 * 1.05</f>
        <v/>
      </c>
      <c r="Y289" s="15">
        <f>M289 * 0.95</f>
        <v/>
      </c>
      <c r="Z289" s="15">
        <f>IF(AND(V289 &lt;= X289, V289 &gt;= Y289), 1, 0)</f>
        <v/>
      </c>
    </row>
    <row r="290">
      <c r="L290" s="15" t="n">
        <v>288</v>
      </c>
      <c r="M290" s="15">
        <f>IF(L290&lt;$D$16,$D$13,IF(L290&lt;$E$16,$E$13,$F$13))</f>
        <v/>
      </c>
      <c r="N290" s="15">
        <f>M290-V290</f>
        <v/>
      </c>
      <c r="O290" s="15">
        <f>IF(MOD(L290,$B$11)=0,OFFSET(O290,-$B$11,0)+ $E$2*N290+$E$3*OFFSET(N290,-$B$11,0)+ $E$4*OFFSET(N290,-2* $B$11,0), O289)</f>
        <v/>
      </c>
      <c r="P290" s="15">
        <f>INT((2^$J$12-1)*O290/100)/(2^$J$12-1)*100</f>
        <v/>
      </c>
      <c r="Q290" s="15" t="n">
        <v>0</v>
      </c>
      <c r="R290" s="15">
        <f>P290+Q290</f>
        <v/>
      </c>
      <c r="S290" s="15">
        <f>$I$1*S289-$I$2*S288+$I$3*R269+$I$4*R268</f>
        <v/>
      </c>
      <c r="T290" s="15">
        <f>RAND()*$G$12</f>
        <v/>
      </c>
      <c r="U290" s="15">
        <f>S290+T290</f>
        <v/>
      </c>
      <c r="V290" s="15">
        <f>INT((2^$J$12-1)*U290/100)/(2^$J$12-1)*100</f>
        <v/>
      </c>
      <c r="X290" s="15">
        <f>M290 * 1.05</f>
        <v/>
      </c>
      <c r="Y290" s="15">
        <f>M290 * 0.95</f>
        <v/>
      </c>
      <c r="Z290" s="15">
        <f>IF(AND(V290 &lt;= X290, V290 &gt;= Y290), 1, 0)</f>
        <v/>
      </c>
    </row>
    <row r="291">
      <c r="L291" s="15" t="n">
        <v>289</v>
      </c>
      <c r="M291" s="15">
        <f>IF(L291&lt;$D$16,$D$13,IF(L291&lt;$E$16,$E$13,$F$13))</f>
        <v/>
      </c>
      <c r="N291" s="15">
        <f>M291-V291</f>
        <v/>
      </c>
      <c r="O291" s="15">
        <f>IF(MOD(L291,$B$11)=0,OFFSET(O291,-$B$11,0)+ $E$2*N291+$E$3*OFFSET(N291,-$B$11,0)+ $E$4*OFFSET(N291,-2* $B$11,0), O290)</f>
        <v/>
      </c>
      <c r="P291" s="15">
        <f>INT((2^$J$12-1)*O291/100)/(2^$J$12-1)*100</f>
        <v/>
      </c>
      <c r="Q291" s="15" t="n">
        <v>0</v>
      </c>
      <c r="R291" s="15">
        <f>P291+Q291</f>
        <v/>
      </c>
      <c r="S291" s="15">
        <f>$I$1*S290-$I$2*S289+$I$3*R270+$I$4*R269</f>
        <v/>
      </c>
      <c r="T291" s="15">
        <f>RAND()*$G$12</f>
        <v/>
      </c>
      <c r="U291" s="15">
        <f>S291+T291</f>
        <v/>
      </c>
      <c r="V291" s="15">
        <f>INT((2^$J$12-1)*U291/100)/(2^$J$12-1)*100</f>
        <v/>
      </c>
      <c r="X291" s="15">
        <f>M291 * 1.05</f>
        <v/>
      </c>
      <c r="Y291" s="15">
        <f>M291 * 0.95</f>
        <v/>
      </c>
      <c r="Z291" s="15">
        <f>IF(AND(V291 &lt;= X291, V291 &gt;= Y291), 1, 0)</f>
        <v/>
      </c>
    </row>
    <row r="292">
      <c r="L292" s="15" t="n">
        <v>290</v>
      </c>
      <c r="M292" s="15">
        <f>IF(L292&lt;$D$16,$D$13,IF(L292&lt;$E$16,$E$13,$F$13))</f>
        <v/>
      </c>
      <c r="N292" s="15">
        <f>M292-V292</f>
        <v/>
      </c>
      <c r="O292" s="15">
        <f>IF(MOD(L292,$B$11)=0,OFFSET(O292,-$B$11,0)+ $E$2*N292+$E$3*OFFSET(N292,-$B$11,0)+ $E$4*OFFSET(N292,-2* $B$11,0), O291)</f>
        <v/>
      </c>
      <c r="P292" s="15">
        <f>INT((2^$J$12-1)*O292/100)/(2^$J$12-1)*100</f>
        <v/>
      </c>
      <c r="Q292" s="15" t="n">
        <v>0</v>
      </c>
      <c r="R292" s="15">
        <f>P292+Q292</f>
        <v/>
      </c>
      <c r="S292" s="15">
        <f>$I$1*S291-$I$2*S290+$I$3*R271+$I$4*R270</f>
        <v/>
      </c>
      <c r="T292" s="15">
        <f>RAND()*$G$12</f>
        <v/>
      </c>
      <c r="U292" s="15">
        <f>S292+T292</f>
        <v/>
      </c>
      <c r="V292" s="15">
        <f>INT((2^$J$12-1)*U292/100)/(2^$J$12-1)*100</f>
        <v/>
      </c>
      <c r="X292" s="15">
        <f>M292 * 1.05</f>
        <v/>
      </c>
      <c r="Y292" s="15">
        <f>M292 * 0.95</f>
        <v/>
      </c>
      <c r="Z292" s="15">
        <f>IF(AND(V292 &lt;= X292, V292 &gt;= Y292), 1, 0)</f>
        <v/>
      </c>
    </row>
    <row r="293">
      <c r="L293" s="15" t="n">
        <v>291</v>
      </c>
      <c r="M293" s="15">
        <f>IF(L293&lt;$D$16,$D$13,IF(L293&lt;$E$16,$E$13,$F$13))</f>
        <v/>
      </c>
      <c r="N293" s="15">
        <f>M293-V293</f>
        <v/>
      </c>
      <c r="O293" s="15">
        <f>IF(MOD(L293,$B$11)=0,OFFSET(O293,-$B$11,0)+ $E$2*N293+$E$3*OFFSET(N293,-$B$11,0)+ $E$4*OFFSET(N293,-2* $B$11,0), O292)</f>
        <v/>
      </c>
      <c r="P293" s="15">
        <f>INT((2^$J$12-1)*O293/100)/(2^$J$12-1)*100</f>
        <v/>
      </c>
      <c r="Q293" s="15" t="n">
        <v>0</v>
      </c>
      <c r="R293" s="15">
        <f>P293+Q293</f>
        <v/>
      </c>
      <c r="S293" s="15">
        <f>$I$1*S292-$I$2*S291+$I$3*R272+$I$4*R271</f>
        <v/>
      </c>
      <c r="T293" s="15">
        <f>RAND()*$G$12</f>
        <v/>
      </c>
      <c r="U293" s="15">
        <f>S293+T293</f>
        <v/>
      </c>
      <c r="V293" s="15">
        <f>INT((2^$J$12-1)*U293/100)/(2^$J$12-1)*100</f>
        <v/>
      </c>
      <c r="X293" s="15">
        <f>M293 * 1.05</f>
        <v/>
      </c>
      <c r="Y293" s="15">
        <f>M293 * 0.95</f>
        <v/>
      </c>
      <c r="Z293" s="15">
        <f>IF(AND(V293 &lt;= X293, V293 &gt;= Y293), 1, 0)</f>
        <v/>
      </c>
    </row>
    <row r="294">
      <c r="L294" s="15" t="n">
        <v>292</v>
      </c>
      <c r="M294" s="15">
        <f>IF(L294&lt;$D$16,$D$13,IF(L294&lt;$E$16,$E$13,$F$13))</f>
        <v/>
      </c>
      <c r="N294" s="15">
        <f>M294-V294</f>
        <v/>
      </c>
      <c r="O294" s="15">
        <f>IF(MOD(L294,$B$11)=0,OFFSET(O294,-$B$11,0)+ $E$2*N294+$E$3*OFFSET(N294,-$B$11,0)+ $E$4*OFFSET(N294,-2* $B$11,0), O293)</f>
        <v/>
      </c>
      <c r="P294" s="15">
        <f>INT((2^$J$12-1)*O294/100)/(2^$J$12-1)*100</f>
        <v/>
      </c>
      <c r="Q294" s="15" t="n">
        <v>0</v>
      </c>
      <c r="R294" s="15">
        <f>P294+Q294</f>
        <v/>
      </c>
      <c r="S294" s="15">
        <f>$I$1*S293-$I$2*S292+$I$3*R273+$I$4*R272</f>
        <v/>
      </c>
      <c r="T294" s="15">
        <f>RAND()*$G$12</f>
        <v/>
      </c>
      <c r="U294" s="15">
        <f>S294+T294</f>
        <v/>
      </c>
      <c r="V294" s="15">
        <f>INT((2^$J$12-1)*U294/100)/(2^$J$12-1)*100</f>
        <v/>
      </c>
      <c r="X294" s="15">
        <f>M294 * 1.05</f>
        <v/>
      </c>
      <c r="Y294" s="15">
        <f>M294 * 0.95</f>
        <v/>
      </c>
      <c r="Z294" s="15">
        <f>IF(AND(V294 &lt;= X294, V294 &gt;= Y294), 1, 0)</f>
        <v/>
      </c>
    </row>
    <row r="295">
      <c r="L295" s="15" t="n">
        <v>293</v>
      </c>
      <c r="M295" s="15">
        <f>IF(L295&lt;$D$16,$D$13,IF(L295&lt;$E$16,$E$13,$F$13))</f>
        <v/>
      </c>
      <c r="N295" s="15">
        <f>M295-V295</f>
        <v/>
      </c>
      <c r="O295" s="15">
        <f>IF(MOD(L295,$B$11)=0,OFFSET(O295,-$B$11,0)+ $E$2*N295+$E$3*OFFSET(N295,-$B$11,0)+ $E$4*OFFSET(N295,-2* $B$11,0), O294)</f>
        <v/>
      </c>
      <c r="P295" s="15">
        <f>INT((2^$J$12-1)*O295/100)/(2^$J$12-1)*100</f>
        <v/>
      </c>
      <c r="Q295" s="15" t="n">
        <v>0</v>
      </c>
      <c r="R295" s="15">
        <f>P295+Q295</f>
        <v/>
      </c>
      <c r="S295" s="15">
        <f>$I$1*S294-$I$2*S293+$I$3*R274+$I$4*R273</f>
        <v/>
      </c>
      <c r="T295" s="15">
        <f>RAND()*$G$12</f>
        <v/>
      </c>
      <c r="U295" s="15">
        <f>S295+T295</f>
        <v/>
      </c>
      <c r="V295" s="15">
        <f>INT((2^$J$12-1)*U295/100)/(2^$J$12-1)*100</f>
        <v/>
      </c>
      <c r="X295" s="15">
        <f>M295 * 1.05</f>
        <v/>
      </c>
      <c r="Y295" s="15">
        <f>M295 * 0.95</f>
        <v/>
      </c>
      <c r="Z295" s="15">
        <f>IF(AND(V295 &lt;= X295, V295 &gt;= Y295), 1, 0)</f>
        <v/>
      </c>
    </row>
    <row r="296">
      <c r="L296" s="15" t="n">
        <v>294</v>
      </c>
      <c r="M296" s="15">
        <f>IF(L296&lt;$D$16,$D$13,IF(L296&lt;$E$16,$E$13,$F$13))</f>
        <v/>
      </c>
      <c r="N296" s="15">
        <f>M296-V296</f>
        <v/>
      </c>
      <c r="O296" s="15">
        <f>IF(MOD(L296,$B$11)=0,OFFSET(O296,-$B$11,0)+ $E$2*N296+$E$3*OFFSET(N296,-$B$11,0)+ $E$4*OFFSET(N296,-2* $B$11,0), O295)</f>
        <v/>
      </c>
      <c r="P296" s="15">
        <f>INT((2^$J$12-1)*O296/100)/(2^$J$12-1)*100</f>
        <v/>
      </c>
      <c r="Q296" s="15" t="n">
        <v>0</v>
      </c>
      <c r="R296" s="15">
        <f>P296+Q296</f>
        <v/>
      </c>
      <c r="S296" s="15">
        <f>$I$1*S295-$I$2*S294+$I$3*R275+$I$4*R274</f>
        <v/>
      </c>
      <c r="T296" s="15">
        <f>RAND()*$G$12</f>
        <v/>
      </c>
      <c r="U296" s="15">
        <f>S296+T296</f>
        <v/>
      </c>
      <c r="V296" s="15">
        <f>INT((2^$J$12-1)*U296/100)/(2^$J$12-1)*100</f>
        <v/>
      </c>
      <c r="X296" s="15">
        <f>M296 * 1.05</f>
        <v/>
      </c>
      <c r="Y296" s="15">
        <f>M296 * 0.95</f>
        <v/>
      </c>
      <c r="Z296" s="15">
        <f>IF(AND(V296 &lt;= X296, V296 &gt;= Y296), 1, 0)</f>
        <v/>
      </c>
    </row>
    <row r="297">
      <c r="L297" s="15" t="n">
        <v>295</v>
      </c>
      <c r="M297" s="15">
        <f>IF(L297&lt;$D$16,$D$13,IF(L297&lt;$E$16,$E$13,$F$13))</f>
        <v/>
      </c>
      <c r="N297" s="15">
        <f>M297-V297</f>
        <v/>
      </c>
      <c r="O297" s="15">
        <f>IF(MOD(L297,$B$11)=0,OFFSET(O297,-$B$11,0)+ $E$2*N297+$E$3*OFFSET(N297,-$B$11,0)+ $E$4*OFFSET(N297,-2* $B$11,0), O296)</f>
        <v/>
      </c>
      <c r="P297" s="15">
        <f>INT((2^$J$12-1)*O297/100)/(2^$J$12-1)*100</f>
        <v/>
      </c>
      <c r="Q297" s="15" t="n">
        <v>0</v>
      </c>
      <c r="R297" s="15">
        <f>P297+Q297</f>
        <v/>
      </c>
      <c r="S297" s="15">
        <f>$I$1*S296-$I$2*S295+$I$3*R276+$I$4*R275</f>
        <v/>
      </c>
      <c r="T297" s="15">
        <f>RAND()*$G$12</f>
        <v/>
      </c>
      <c r="U297" s="15">
        <f>S297+T297</f>
        <v/>
      </c>
      <c r="V297" s="15">
        <f>INT((2^$J$12-1)*U297/100)/(2^$J$12-1)*100</f>
        <v/>
      </c>
      <c r="X297" s="15">
        <f>M297 * 1.05</f>
        <v/>
      </c>
      <c r="Y297" s="15">
        <f>M297 * 0.95</f>
        <v/>
      </c>
      <c r="Z297" s="15">
        <f>IF(AND(V297 &lt;= X297, V297 &gt;= Y297), 1, 0)</f>
        <v/>
      </c>
    </row>
    <row r="298">
      <c r="L298" s="15" t="n">
        <v>296</v>
      </c>
      <c r="M298" s="15">
        <f>IF(L298&lt;$D$16,$D$13,IF(L298&lt;$E$16,$E$13,$F$13))</f>
        <v/>
      </c>
      <c r="N298" s="15">
        <f>M298-V298</f>
        <v/>
      </c>
      <c r="O298" s="15">
        <f>IF(MOD(L298,$B$11)=0,OFFSET(O298,-$B$11,0)+ $E$2*N298+$E$3*OFFSET(N298,-$B$11,0)+ $E$4*OFFSET(N298,-2* $B$11,0), O297)</f>
        <v/>
      </c>
      <c r="P298" s="15">
        <f>INT((2^$J$12-1)*O298/100)/(2^$J$12-1)*100</f>
        <v/>
      </c>
      <c r="Q298" s="15" t="n">
        <v>0</v>
      </c>
      <c r="R298" s="15">
        <f>P298+Q298</f>
        <v/>
      </c>
      <c r="S298" s="15">
        <f>$I$1*S297-$I$2*S296+$I$3*R277+$I$4*R276</f>
        <v/>
      </c>
      <c r="T298" s="15">
        <f>RAND()*$G$12</f>
        <v/>
      </c>
      <c r="U298" s="15">
        <f>S298+T298</f>
        <v/>
      </c>
      <c r="V298" s="15">
        <f>INT((2^$J$12-1)*U298/100)/(2^$J$12-1)*100</f>
        <v/>
      </c>
      <c r="X298" s="15">
        <f>M298 * 1.05</f>
        <v/>
      </c>
      <c r="Y298" s="15">
        <f>M298 * 0.95</f>
        <v/>
      </c>
      <c r="Z298" s="15">
        <f>IF(AND(V298 &lt;= X298, V298 &gt;= Y298), 1, 0)</f>
        <v/>
      </c>
    </row>
    <row r="299">
      <c r="L299" s="15" t="n">
        <v>297</v>
      </c>
      <c r="M299" s="15">
        <f>IF(L299&lt;$D$16,$D$13,IF(L299&lt;$E$16,$E$13,$F$13))</f>
        <v/>
      </c>
      <c r="N299" s="15">
        <f>M299-V299</f>
        <v/>
      </c>
      <c r="O299" s="15">
        <f>IF(MOD(L299,$B$11)=0,OFFSET(O299,-$B$11,0)+ $E$2*N299+$E$3*OFFSET(N299,-$B$11,0)+ $E$4*OFFSET(N299,-2* $B$11,0), O298)</f>
        <v/>
      </c>
      <c r="P299" s="15">
        <f>INT((2^$J$12-1)*O299/100)/(2^$J$12-1)*100</f>
        <v/>
      </c>
      <c r="Q299" s="15" t="n">
        <v>0</v>
      </c>
      <c r="R299" s="15">
        <f>P299+Q299</f>
        <v/>
      </c>
      <c r="S299" s="15">
        <f>$I$1*S298-$I$2*S297+$I$3*R278+$I$4*R277</f>
        <v/>
      </c>
      <c r="T299" s="15">
        <f>RAND()*$G$12</f>
        <v/>
      </c>
      <c r="U299" s="15">
        <f>S299+T299</f>
        <v/>
      </c>
      <c r="V299" s="15">
        <f>INT((2^$J$12-1)*U299/100)/(2^$J$12-1)*100</f>
        <v/>
      </c>
      <c r="X299" s="15">
        <f>M299 * 1.05</f>
        <v/>
      </c>
      <c r="Y299" s="15">
        <f>M299 * 0.95</f>
        <v/>
      </c>
      <c r="Z299" s="15">
        <f>IF(AND(V299 &lt;= X299, V299 &gt;= Y299), 1, 0)</f>
        <v/>
      </c>
    </row>
    <row r="300">
      <c r="L300" s="15" t="n">
        <v>298</v>
      </c>
      <c r="M300" s="15">
        <f>IF(L300&lt;$D$16,$D$13,IF(L300&lt;$E$16,$E$13,$F$13))</f>
        <v/>
      </c>
      <c r="N300" s="15">
        <f>M300-V300</f>
        <v/>
      </c>
      <c r="O300" s="15">
        <f>IF(MOD(L300,$B$11)=0,OFFSET(O300,-$B$11,0)+ $E$2*N300+$E$3*OFFSET(N300,-$B$11,0)+ $E$4*OFFSET(N300,-2* $B$11,0), O299)</f>
        <v/>
      </c>
      <c r="P300" s="15">
        <f>INT((2^$J$12-1)*O300/100)/(2^$J$12-1)*100</f>
        <v/>
      </c>
      <c r="Q300" s="15" t="n">
        <v>0</v>
      </c>
      <c r="R300" s="15">
        <f>P300+Q300</f>
        <v/>
      </c>
      <c r="S300" s="15">
        <f>$I$1*S299-$I$2*S298+$I$3*R279+$I$4*R278</f>
        <v/>
      </c>
      <c r="T300" s="15">
        <f>RAND()*$G$12</f>
        <v/>
      </c>
      <c r="U300" s="15">
        <f>S300+T300</f>
        <v/>
      </c>
      <c r="V300" s="15">
        <f>INT((2^$J$12-1)*U300/100)/(2^$J$12-1)*100</f>
        <v/>
      </c>
      <c r="X300" s="15">
        <f>M300 * 1.05</f>
        <v/>
      </c>
      <c r="Y300" s="15">
        <f>M300 * 0.95</f>
        <v/>
      </c>
      <c r="Z300" s="15">
        <f>IF(AND(V300 &lt;= X300, V300 &gt;= Y300), 1, 0)</f>
        <v/>
      </c>
    </row>
    <row r="301">
      <c r="L301" s="15" t="n">
        <v>299</v>
      </c>
      <c r="M301" s="15">
        <f>IF(L301&lt;$D$16,$D$13,IF(L301&lt;$E$16,$E$13,$F$13))</f>
        <v/>
      </c>
      <c r="N301" s="15">
        <f>M301-V301</f>
        <v/>
      </c>
      <c r="O301" s="15">
        <f>IF(MOD(L301,$B$11)=0,OFFSET(O301,-$B$11,0)+ $E$2*N301+$E$3*OFFSET(N301,-$B$11,0)+ $E$4*OFFSET(N301,-2* $B$11,0), O300)</f>
        <v/>
      </c>
      <c r="P301" s="15">
        <f>INT((2^$J$12-1)*O301/100)/(2^$J$12-1)*100</f>
        <v/>
      </c>
      <c r="Q301" s="15" t="n">
        <v>0</v>
      </c>
      <c r="R301" s="15">
        <f>P301+Q301</f>
        <v/>
      </c>
      <c r="S301" s="15">
        <f>$I$1*S300-$I$2*S299+$I$3*R280+$I$4*R279</f>
        <v/>
      </c>
      <c r="T301" s="15">
        <f>RAND()*$G$12</f>
        <v/>
      </c>
      <c r="U301" s="15">
        <f>S301+T301</f>
        <v/>
      </c>
      <c r="V301" s="15">
        <f>INT((2^$J$12-1)*U301/100)/(2^$J$12-1)*100</f>
        <v/>
      </c>
      <c r="X301" s="15">
        <f>M301 * 1.05</f>
        <v/>
      </c>
      <c r="Y301" s="15">
        <f>M301 * 0.95</f>
        <v/>
      </c>
      <c r="Z301" s="15">
        <f>IF(AND(V301 &lt;= X301, V301 &gt;= Y301), 1, 0)</f>
        <v/>
      </c>
    </row>
    <row r="302">
      <c r="L302" s="15" t="n">
        <v>300</v>
      </c>
      <c r="M302" s="15">
        <f>IF(L302&lt;$D$16,$D$13,IF(L302&lt;$E$16,$E$13,$F$13))</f>
        <v/>
      </c>
      <c r="N302" s="15">
        <f>M302-V302</f>
        <v/>
      </c>
      <c r="O302" s="15">
        <f>IF(MOD(L302,$B$11)=0,OFFSET(O302,-$B$11,0)+ $E$2*N302+$E$3*OFFSET(N302,-$B$11,0)+ $E$4*OFFSET(N302,-2* $B$11,0), O301)</f>
        <v/>
      </c>
      <c r="P302" s="15">
        <f>INT((2^$J$12-1)*O302/100)/(2^$J$12-1)*100</f>
        <v/>
      </c>
      <c r="Q302" s="15">
        <f>$H$12*M302</f>
        <v/>
      </c>
      <c r="R302" s="15">
        <f>P302+Q302</f>
        <v/>
      </c>
      <c r="S302" s="15">
        <f>$I$1*S301-$I$2*S300+$I$3*R281+$I$4*R280</f>
        <v/>
      </c>
      <c r="T302" s="15">
        <f>RAND()*$G$12</f>
        <v/>
      </c>
      <c r="U302" s="15">
        <f>S302+T302</f>
        <v/>
      </c>
      <c r="V302" s="15">
        <f>INT((2^$J$12-1)*U302/100)/(2^$J$12-1)*100</f>
        <v/>
      </c>
      <c r="X302" s="15">
        <f>M302 * 1.05</f>
        <v/>
      </c>
      <c r="Y302" s="15">
        <f>M302 * 0.95</f>
        <v/>
      </c>
      <c r="Z302" s="15">
        <f>IF(AND(V302 &lt;= X302, V302 &gt;= Y302), 1, 0)</f>
        <v/>
      </c>
    </row>
    <row r="303">
      <c r="L303" s="15" t="n">
        <v>301</v>
      </c>
      <c r="M303" s="15">
        <f>IF(L303&lt;$D$16,$D$13,IF(L303&lt;$E$16,$E$13,$F$13))</f>
        <v/>
      </c>
      <c r="N303" s="15">
        <f>M303-V303</f>
        <v/>
      </c>
      <c r="O303" s="15">
        <f>IF(MOD(L303,$B$11)=0,OFFSET(O303,-$B$11,0)+ $E$2*N303+$E$3*OFFSET(N303,-$B$11,0)+ $E$4*OFFSET(N303,-2* $B$11,0), O302)</f>
        <v/>
      </c>
      <c r="P303" s="15">
        <f>INT((2^$J$12-1)*O303/100)/(2^$J$12-1)*100</f>
        <v/>
      </c>
      <c r="Q303" s="15">
        <f>$H$12*M303</f>
        <v/>
      </c>
      <c r="R303" s="15">
        <f>P303+Q303</f>
        <v/>
      </c>
      <c r="S303" s="15">
        <f>$I$1*S302-$I$2*S301+$I$3*R282+$I$4*R281</f>
        <v/>
      </c>
      <c r="T303" s="15">
        <f>RAND()*$G$12</f>
        <v/>
      </c>
      <c r="U303" s="15">
        <f>S303+T303</f>
        <v/>
      </c>
      <c r="V303" s="15">
        <f>INT((2^$J$12-1)*U303/100)/(2^$J$12-1)*100</f>
        <v/>
      </c>
      <c r="X303" s="15">
        <f>M303 * 1.05</f>
        <v/>
      </c>
      <c r="Y303" s="15">
        <f>M303 * 0.95</f>
        <v/>
      </c>
      <c r="Z303" s="15">
        <f>IF(AND(V303 &lt;= X303, V303 &gt;= Y303), 1, 0)</f>
        <v/>
      </c>
    </row>
    <row r="304">
      <c r="L304" s="15" t="n">
        <v>302</v>
      </c>
      <c r="M304" s="15">
        <f>IF(L304&lt;$D$16,$D$13,IF(L304&lt;$E$16,$E$13,$F$13))</f>
        <v/>
      </c>
      <c r="N304" s="15">
        <f>M304-V304</f>
        <v/>
      </c>
      <c r="O304" s="15">
        <f>IF(MOD(L304,$B$11)=0,OFFSET(O304,-$B$11,0)+ $E$2*N304+$E$3*OFFSET(N304,-$B$11,0)+ $E$4*OFFSET(N304,-2* $B$11,0), O303)</f>
        <v/>
      </c>
      <c r="P304" s="15">
        <f>INT((2^$J$12-1)*O304/100)/(2^$J$12-1)*100</f>
        <v/>
      </c>
      <c r="Q304" s="15">
        <f>$H$12*M304</f>
        <v/>
      </c>
      <c r="R304" s="15">
        <f>P304+Q304</f>
        <v/>
      </c>
      <c r="S304" s="15">
        <f>$I$1*S303-$I$2*S302+$I$3*R283+$I$4*R282</f>
        <v/>
      </c>
      <c r="T304" s="15">
        <f>RAND()*$G$12</f>
        <v/>
      </c>
      <c r="U304" s="15">
        <f>S304+T304</f>
        <v/>
      </c>
      <c r="V304" s="15">
        <f>INT((2^$J$12-1)*U304/100)/(2^$J$12-1)*100</f>
        <v/>
      </c>
      <c r="X304" s="15">
        <f>M304 * 1.05</f>
        <v/>
      </c>
      <c r="Y304" s="15">
        <f>M304 * 0.95</f>
        <v/>
      </c>
      <c r="Z304" s="15">
        <f>IF(AND(V304 &lt;= X304, V304 &gt;= Y304), 1, 0)</f>
        <v/>
      </c>
    </row>
    <row r="305">
      <c r="L305" s="15" t="n">
        <v>303</v>
      </c>
      <c r="M305" s="15">
        <f>IF(L305&lt;$D$16,$D$13,IF(L305&lt;$E$16,$E$13,$F$13))</f>
        <v/>
      </c>
      <c r="N305" s="15">
        <f>M305-V305</f>
        <v/>
      </c>
      <c r="O305" s="15">
        <f>IF(MOD(L305,$B$11)=0,OFFSET(O305,-$B$11,0)+ $E$2*N305+$E$3*OFFSET(N305,-$B$11,0)+ $E$4*OFFSET(N305,-2* $B$11,0), O304)</f>
        <v/>
      </c>
      <c r="P305" s="15">
        <f>INT((2^$J$12-1)*O305/100)/(2^$J$12-1)*100</f>
        <v/>
      </c>
      <c r="Q305" s="15">
        <f>$H$12*M305</f>
        <v/>
      </c>
      <c r="R305" s="15">
        <f>P305+Q305</f>
        <v/>
      </c>
      <c r="S305" s="15">
        <f>$I$1*S304-$I$2*S303+$I$3*R284+$I$4*R283</f>
        <v/>
      </c>
      <c r="T305" s="15">
        <f>RAND()*$G$12</f>
        <v/>
      </c>
      <c r="U305" s="15">
        <f>S305+T305</f>
        <v/>
      </c>
      <c r="V305" s="15">
        <f>INT((2^$J$12-1)*U305/100)/(2^$J$12-1)*100</f>
        <v/>
      </c>
      <c r="X305" s="15">
        <f>M305 * 1.05</f>
        <v/>
      </c>
      <c r="Y305" s="15">
        <f>M305 * 0.95</f>
        <v/>
      </c>
      <c r="Z305" s="15">
        <f>IF(AND(V305 &lt;= X305, V305 &gt;= Y305), 1, 0)</f>
        <v/>
      </c>
    </row>
    <row r="306">
      <c r="L306" s="15" t="n">
        <v>304</v>
      </c>
      <c r="M306" s="15">
        <f>IF(L306&lt;$D$16,$D$13,IF(L306&lt;$E$16,$E$13,$F$13))</f>
        <v/>
      </c>
      <c r="N306" s="15">
        <f>M306-V306</f>
        <v/>
      </c>
      <c r="O306" s="15">
        <f>IF(MOD(L306,$B$11)=0,OFFSET(O306,-$B$11,0)+ $E$2*N306+$E$3*OFFSET(N306,-$B$11,0)+ $E$4*OFFSET(N306,-2* $B$11,0), O305)</f>
        <v/>
      </c>
      <c r="P306" s="15">
        <f>INT((2^$J$12-1)*O306/100)/(2^$J$12-1)*100</f>
        <v/>
      </c>
      <c r="Q306" s="15">
        <f>$H$12*M306</f>
        <v/>
      </c>
      <c r="R306" s="15">
        <f>P306+Q306</f>
        <v/>
      </c>
      <c r="S306" s="15">
        <f>$I$1*S305-$I$2*S304+$I$3*R285+$I$4*R284</f>
        <v/>
      </c>
      <c r="T306" s="15">
        <f>RAND()*$G$12</f>
        <v/>
      </c>
      <c r="U306" s="15">
        <f>S306+T306</f>
        <v/>
      </c>
      <c r="V306" s="15">
        <f>INT((2^$J$12-1)*U306/100)/(2^$J$12-1)*100</f>
        <v/>
      </c>
      <c r="X306" s="15">
        <f>M306 * 1.05</f>
        <v/>
      </c>
      <c r="Y306" s="15">
        <f>M306 * 0.95</f>
        <v/>
      </c>
      <c r="Z306" s="15">
        <f>IF(AND(V306 &lt;= X306, V306 &gt;= Y306), 1, 0)</f>
        <v/>
      </c>
    </row>
    <row r="307">
      <c r="L307" s="15" t="n">
        <v>305</v>
      </c>
      <c r="M307" s="15">
        <f>IF(L307&lt;$D$16,$D$13,IF(L307&lt;$E$16,$E$13,$F$13))</f>
        <v/>
      </c>
      <c r="N307" s="15">
        <f>M307-V307</f>
        <v/>
      </c>
      <c r="O307" s="15">
        <f>IF(MOD(L307,$B$11)=0,OFFSET(O307,-$B$11,0)+ $E$2*N307+$E$3*OFFSET(N307,-$B$11,0)+ $E$4*OFFSET(N307,-2* $B$11,0), O306)</f>
        <v/>
      </c>
      <c r="P307" s="15">
        <f>INT((2^$J$12-1)*O307/100)/(2^$J$12-1)*100</f>
        <v/>
      </c>
      <c r="Q307" s="15">
        <f>$H$12*M307</f>
        <v/>
      </c>
      <c r="R307" s="15">
        <f>P307+Q307</f>
        <v/>
      </c>
      <c r="S307" s="15">
        <f>$I$1*S306-$I$2*S305+$I$3*R286+$I$4*R285</f>
        <v/>
      </c>
      <c r="T307" s="15">
        <f>RAND()*$G$12</f>
        <v/>
      </c>
      <c r="U307" s="15">
        <f>S307+T307</f>
        <v/>
      </c>
      <c r="V307" s="15">
        <f>INT((2^$J$12-1)*U307/100)/(2^$J$12-1)*100</f>
        <v/>
      </c>
      <c r="X307" s="15">
        <f>M307 * 1.05</f>
        <v/>
      </c>
      <c r="Y307" s="15">
        <f>M307 * 0.95</f>
        <v/>
      </c>
      <c r="Z307" s="15">
        <f>IF(AND(V307 &lt;= X307, V307 &gt;= Y307), 1, 0)</f>
        <v/>
      </c>
    </row>
    <row r="308">
      <c r="L308" s="15" t="n">
        <v>306</v>
      </c>
      <c r="M308" s="15">
        <f>IF(L308&lt;$D$16,$D$13,IF(L308&lt;$E$16,$E$13,$F$13))</f>
        <v/>
      </c>
      <c r="N308" s="15">
        <f>M308-V308</f>
        <v/>
      </c>
      <c r="O308" s="15">
        <f>IF(MOD(L308,$B$11)=0,OFFSET(O308,-$B$11,0)+ $E$2*N308+$E$3*OFFSET(N308,-$B$11,0)+ $E$4*OFFSET(N308,-2* $B$11,0), O307)</f>
        <v/>
      </c>
      <c r="P308" s="15">
        <f>INT((2^$J$12-1)*O308/100)/(2^$J$12-1)*100</f>
        <v/>
      </c>
      <c r="Q308" s="15">
        <f>$H$12*M308</f>
        <v/>
      </c>
      <c r="R308" s="15">
        <f>P308+Q308</f>
        <v/>
      </c>
      <c r="S308" s="15">
        <f>$I$1*S307-$I$2*S306+$I$3*R287+$I$4*R286</f>
        <v/>
      </c>
      <c r="T308" s="15">
        <f>RAND()*$G$12</f>
        <v/>
      </c>
      <c r="U308" s="15">
        <f>S308+T308</f>
        <v/>
      </c>
      <c r="V308" s="15">
        <f>INT((2^$J$12-1)*U308/100)/(2^$J$12-1)*100</f>
        <v/>
      </c>
      <c r="X308" s="15">
        <f>M308 * 1.05</f>
        <v/>
      </c>
      <c r="Y308" s="15">
        <f>M308 * 0.95</f>
        <v/>
      </c>
      <c r="Z308" s="15">
        <f>IF(AND(V308 &lt;= X308, V308 &gt;= Y308), 1, 0)</f>
        <v/>
      </c>
    </row>
    <row r="309">
      <c r="L309" s="15" t="n">
        <v>307</v>
      </c>
      <c r="M309" s="15">
        <f>IF(L309&lt;$D$16,$D$13,IF(L309&lt;$E$16,$E$13,$F$13))</f>
        <v/>
      </c>
      <c r="N309" s="15">
        <f>M309-V309</f>
        <v/>
      </c>
      <c r="O309" s="15">
        <f>IF(MOD(L309,$B$11)=0,OFFSET(O309,-$B$11,0)+ $E$2*N309+$E$3*OFFSET(N309,-$B$11,0)+ $E$4*OFFSET(N309,-2* $B$11,0), O308)</f>
        <v/>
      </c>
      <c r="P309" s="15">
        <f>INT((2^$J$12-1)*O309/100)/(2^$J$12-1)*100</f>
        <v/>
      </c>
      <c r="Q309" s="15">
        <f>$H$12*M309</f>
        <v/>
      </c>
      <c r="R309" s="15">
        <f>P309+Q309</f>
        <v/>
      </c>
      <c r="S309" s="15">
        <f>$I$1*S308-$I$2*S307+$I$3*R288+$I$4*R287</f>
        <v/>
      </c>
      <c r="T309" s="15">
        <f>RAND()*$G$12</f>
        <v/>
      </c>
      <c r="U309" s="15">
        <f>S309+T309</f>
        <v/>
      </c>
      <c r="V309" s="15">
        <f>INT((2^$J$12-1)*U309/100)/(2^$J$12-1)*100</f>
        <v/>
      </c>
      <c r="X309" s="15">
        <f>M309 * 1.05</f>
        <v/>
      </c>
      <c r="Y309" s="15">
        <f>M309 * 0.95</f>
        <v/>
      </c>
      <c r="Z309" s="15">
        <f>IF(AND(V309 &lt;= X309, V309 &gt;= Y309), 1, 0)</f>
        <v/>
      </c>
    </row>
    <row r="310">
      <c r="L310" s="15" t="n">
        <v>308</v>
      </c>
      <c r="M310" s="15">
        <f>IF(L310&lt;$D$16,$D$13,IF(L310&lt;$E$16,$E$13,$F$13))</f>
        <v/>
      </c>
      <c r="N310" s="15">
        <f>M310-V310</f>
        <v/>
      </c>
      <c r="O310" s="15">
        <f>IF(MOD(L310,$B$11)=0,OFFSET(O310,-$B$11,0)+ $E$2*N310+$E$3*OFFSET(N310,-$B$11,0)+ $E$4*OFFSET(N310,-2* $B$11,0), O309)</f>
        <v/>
      </c>
      <c r="P310" s="15">
        <f>INT((2^$J$12-1)*O310/100)/(2^$J$12-1)*100</f>
        <v/>
      </c>
      <c r="Q310" s="15">
        <f>$H$12*M310</f>
        <v/>
      </c>
      <c r="R310" s="15">
        <f>P310+Q310</f>
        <v/>
      </c>
      <c r="S310" s="15">
        <f>$I$1*S309-$I$2*S308+$I$3*R289+$I$4*R288</f>
        <v/>
      </c>
      <c r="T310" s="15">
        <f>RAND()*$G$12</f>
        <v/>
      </c>
      <c r="U310" s="15">
        <f>S310+T310</f>
        <v/>
      </c>
      <c r="V310" s="15">
        <f>INT((2^$J$12-1)*U310/100)/(2^$J$12-1)*100</f>
        <v/>
      </c>
      <c r="X310" s="15">
        <f>M310 * 1.05</f>
        <v/>
      </c>
      <c r="Y310" s="15">
        <f>M310 * 0.95</f>
        <v/>
      </c>
      <c r="Z310" s="15">
        <f>IF(AND(V310 &lt;= X310, V310 &gt;= Y310), 1, 0)</f>
        <v/>
      </c>
    </row>
    <row r="311">
      <c r="L311" s="15" t="n">
        <v>309</v>
      </c>
      <c r="M311" s="15">
        <f>IF(L311&lt;$D$16,$D$13,IF(L311&lt;$E$16,$E$13,$F$13))</f>
        <v/>
      </c>
      <c r="N311" s="15">
        <f>M311-V311</f>
        <v/>
      </c>
      <c r="O311" s="15">
        <f>IF(MOD(L311,$B$11)=0,OFFSET(O311,-$B$11,0)+ $E$2*N311+$E$3*OFFSET(N311,-$B$11,0)+ $E$4*OFFSET(N311,-2* $B$11,0), O310)</f>
        <v/>
      </c>
      <c r="P311" s="15">
        <f>INT((2^$J$12-1)*O311/100)/(2^$J$12-1)*100</f>
        <v/>
      </c>
      <c r="Q311" s="15">
        <f>$H$12*M311</f>
        <v/>
      </c>
      <c r="R311" s="15">
        <f>P311+Q311</f>
        <v/>
      </c>
      <c r="S311" s="15">
        <f>$I$1*S310-$I$2*S309+$I$3*R290+$I$4*R289</f>
        <v/>
      </c>
      <c r="T311" s="15">
        <f>RAND()*$G$12</f>
        <v/>
      </c>
      <c r="U311" s="15">
        <f>S311+T311</f>
        <v/>
      </c>
      <c r="V311" s="15">
        <f>INT((2^$J$12-1)*U311/100)/(2^$J$12-1)*100</f>
        <v/>
      </c>
      <c r="X311" s="15">
        <f>M311 * 1.05</f>
        <v/>
      </c>
      <c r="Y311" s="15">
        <f>M311 * 0.95</f>
        <v/>
      </c>
      <c r="Z311" s="15">
        <f>IF(AND(V311 &lt;= X311, V311 &gt;= Y311), 1, 0)</f>
        <v/>
      </c>
    </row>
    <row r="312">
      <c r="L312" s="15" t="n">
        <v>310</v>
      </c>
      <c r="M312" s="15">
        <f>IF(L312&lt;$D$16,$D$13,IF(L312&lt;$E$16,$E$13,$F$13))</f>
        <v/>
      </c>
      <c r="N312" s="15">
        <f>M312-V312</f>
        <v/>
      </c>
      <c r="O312" s="15">
        <f>IF(MOD(L312,$B$11)=0,OFFSET(O312,-$B$11,0)+ $E$2*N312+$E$3*OFFSET(N312,-$B$11,0)+ $E$4*OFFSET(N312,-2* $B$11,0), O311)</f>
        <v/>
      </c>
      <c r="P312" s="15">
        <f>INT((2^$J$12-1)*O312/100)/(2^$J$12-1)*100</f>
        <v/>
      </c>
      <c r="Q312" s="15">
        <f>$H$12*M312</f>
        <v/>
      </c>
      <c r="R312" s="15">
        <f>P312+Q312</f>
        <v/>
      </c>
      <c r="S312" s="15">
        <f>$I$1*S311-$I$2*S310+$I$3*R291+$I$4*R290</f>
        <v/>
      </c>
      <c r="T312" s="15">
        <f>RAND()*$G$12</f>
        <v/>
      </c>
      <c r="U312" s="15">
        <f>S312+T312</f>
        <v/>
      </c>
      <c r="V312" s="15">
        <f>INT((2^$J$12-1)*U312/100)/(2^$J$12-1)*100</f>
        <v/>
      </c>
      <c r="X312" s="15">
        <f>M312 * 1.05</f>
        <v/>
      </c>
      <c r="Y312" s="15">
        <f>M312 * 0.95</f>
        <v/>
      </c>
      <c r="Z312" s="15">
        <f>IF(AND(V312 &lt;= X312, V312 &gt;= Y312), 1, 0)</f>
        <v/>
      </c>
    </row>
    <row r="313">
      <c r="L313" s="15" t="n">
        <v>311</v>
      </c>
      <c r="M313" s="15">
        <f>IF(L313&lt;$D$16,$D$13,IF(L313&lt;$E$16,$E$13,$F$13))</f>
        <v/>
      </c>
      <c r="N313" s="15">
        <f>M313-V313</f>
        <v/>
      </c>
      <c r="O313" s="15">
        <f>IF(MOD(L313,$B$11)=0,OFFSET(O313,-$B$11,0)+ $E$2*N313+$E$3*OFFSET(N313,-$B$11,0)+ $E$4*OFFSET(N313,-2* $B$11,0), O312)</f>
        <v/>
      </c>
      <c r="P313" s="15">
        <f>INT((2^$J$12-1)*O313/100)/(2^$J$12-1)*100</f>
        <v/>
      </c>
      <c r="Q313" s="15">
        <f>$H$12*M313</f>
        <v/>
      </c>
      <c r="R313" s="15">
        <f>P313+Q313</f>
        <v/>
      </c>
      <c r="S313" s="15">
        <f>$I$1*S312-$I$2*S311+$I$3*R292+$I$4*R291</f>
        <v/>
      </c>
      <c r="T313" s="15">
        <f>RAND()*$G$12</f>
        <v/>
      </c>
      <c r="U313" s="15">
        <f>S313+T313</f>
        <v/>
      </c>
      <c r="V313" s="15">
        <f>INT((2^$J$12-1)*U313/100)/(2^$J$12-1)*100</f>
        <v/>
      </c>
      <c r="X313" s="15">
        <f>M313 * 1.05</f>
        <v/>
      </c>
      <c r="Y313" s="15">
        <f>M313 * 0.95</f>
        <v/>
      </c>
      <c r="Z313" s="15">
        <f>IF(AND(V313 &lt;= X313, V313 &gt;= Y313), 1, 0)</f>
        <v/>
      </c>
    </row>
    <row r="314">
      <c r="L314" s="15" t="n">
        <v>312</v>
      </c>
      <c r="M314" s="15">
        <f>IF(L314&lt;$D$16,$D$13,IF(L314&lt;$E$16,$E$13,$F$13))</f>
        <v/>
      </c>
      <c r="N314" s="15">
        <f>M314-V314</f>
        <v/>
      </c>
      <c r="O314" s="15">
        <f>IF(MOD(L314,$B$11)=0,OFFSET(O314,-$B$11,0)+ $E$2*N314+$E$3*OFFSET(N314,-$B$11,0)+ $E$4*OFFSET(N314,-2* $B$11,0), O313)</f>
        <v/>
      </c>
      <c r="P314" s="15">
        <f>INT((2^$J$12-1)*O314/100)/(2^$J$12-1)*100</f>
        <v/>
      </c>
      <c r="Q314" s="15">
        <f>$H$12*M314</f>
        <v/>
      </c>
      <c r="R314" s="15">
        <f>P314+Q314</f>
        <v/>
      </c>
      <c r="S314" s="15">
        <f>$I$1*S313-$I$2*S312+$I$3*R293+$I$4*R292</f>
        <v/>
      </c>
      <c r="T314" s="15">
        <f>RAND()*$G$12</f>
        <v/>
      </c>
      <c r="U314" s="15">
        <f>S314+T314</f>
        <v/>
      </c>
      <c r="V314" s="15">
        <f>INT((2^$J$12-1)*U314/100)/(2^$J$12-1)*100</f>
        <v/>
      </c>
      <c r="X314" s="15">
        <f>M314 * 1.05</f>
        <v/>
      </c>
      <c r="Y314" s="15">
        <f>M314 * 0.95</f>
        <v/>
      </c>
      <c r="Z314" s="15">
        <f>IF(AND(V314 &lt;= X314, V314 &gt;= Y314), 1, 0)</f>
        <v/>
      </c>
    </row>
    <row r="315">
      <c r="L315" s="15" t="n">
        <v>313</v>
      </c>
      <c r="M315" s="15">
        <f>IF(L315&lt;$D$16,$D$13,IF(L315&lt;$E$16,$E$13,$F$13))</f>
        <v/>
      </c>
      <c r="N315" s="15">
        <f>M315-V315</f>
        <v/>
      </c>
      <c r="O315" s="15">
        <f>IF(MOD(L315,$B$11)=0,OFFSET(O315,-$B$11,0)+ $E$2*N315+$E$3*OFFSET(N315,-$B$11,0)+ $E$4*OFFSET(N315,-2* $B$11,0), O314)</f>
        <v/>
      </c>
      <c r="P315" s="15">
        <f>INT((2^$J$12-1)*O315/100)/(2^$J$12-1)*100</f>
        <v/>
      </c>
      <c r="Q315" s="15">
        <f>$H$12*M315</f>
        <v/>
      </c>
      <c r="R315" s="15">
        <f>P315+Q315</f>
        <v/>
      </c>
      <c r="S315" s="15">
        <f>$I$1*S314-$I$2*S313+$I$3*R294+$I$4*R293</f>
        <v/>
      </c>
      <c r="T315" s="15">
        <f>RAND()*$G$12</f>
        <v/>
      </c>
      <c r="U315" s="15">
        <f>S315+T315</f>
        <v/>
      </c>
      <c r="V315" s="15">
        <f>INT((2^$J$12-1)*U315/100)/(2^$J$12-1)*100</f>
        <v/>
      </c>
      <c r="X315" s="15">
        <f>M315 * 1.05</f>
        <v/>
      </c>
      <c r="Y315" s="15">
        <f>M315 * 0.95</f>
        <v/>
      </c>
      <c r="Z315" s="15">
        <f>IF(AND(V315 &lt;= X315, V315 &gt;= Y315), 1, 0)</f>
        <v/>
      </c>
    </row>
    <row r="316">
      <c r="L316" s="15" t="n">
        <v>314</v>
      </c>
      <c r="M316" s="15">
        <f>IF(L316&lt;$D$16,$D$13,IF(L316&lt;$E$16,$E$13,$F$13))</f>
        <v/>
      </c>
      <c r="N316" s="15">
        <f>M316-V316</f>
        <v/>
      </c>
      <c r="O316" s="15">
        <f>IF(MOD(L316,$B$11)=0,OFFSET(O316,-$B$11,0)+ $E$2*N316+$E$3*OFFSET(N316,-$B$11,0)+ $E$4*OFFSET(N316,-2* $B$11,0), O315)</f>
        <v/>
      </c>
      <c r="P316" s="15">
        <f>INT((2^$J$12-1)*O316/100)/(2^$J$12-1)*100</f>
        <v/>
      </c>
      <c r="Q316" s="15">
        <f>$H$12*M316</f>
        <v/>
      </c>
      <c r="R316" s="15">
        <f>P316+Q316</f>
        <v/>
      </c>
      <c r="S316" s="15">
        <f>$I$1*S315-$I$2*S314+$I$3*R295+$I$4*R294</f>
        <v/>
      </c>
      <c r="T316" s="15">
        <f>RAND()*$G$12</f>
        <v/>
      </c>
      <c r="U316" s="15">
        <f>S316+T316</f>
        <v/>
      </c>
      <c r="V316" s="15">
        <f>INT((2^$J$12-1)*U316/100)/(2^$J$12-1)*100</f>
        <v/>
      </c>
      <c r="X316" s="15">
        <f>M316 * 1.05</f>
        <v/>
      </c>
      <c r="Y316" s="15">
        <f>M316 * 0.95</f>
        <v/>
      </c>
      <c r="Z316" s="15">
        <f>IF(AND(V316 &lt;= X316, V316 &gt;= Y316), 1, 0)</f>
        <v/>
      </c>
    </row>
    <row r="317">
      <c r="L317" s="15" t="n">
        <v>315</v>
      </c>
      <c r="M317" s="15">
        <f>IF(L317&lt;$D$16,$D$13,IF(L317&lt;$E$16,$E$13,$F$13))</f>
        <v/>
      </c>
      <c r="N317" s="15">
        <f>M317-V317</f>
        <v/>
      </c>
      <c r="O317" s="15">
        <f>IF(MOD(L317,$B$11)=0,OFFSET(O317,-$B$11,0)+ $E$2*N317+$E$3*OFFSET(N317,-$B$11,0)+ $E$4*OFFSET(N317,-2* $B$11,0), O316)</f>
        <v/>
      </c>
      <c r="P317" s="15">
        <f>INT((2^$J$12-1)*O317/100)/(2^$J$12-1)*100</f>
        <v/>
      </c>
      <c r="Q317" s="15">
        <f>$H$12*M317</f>
        <v/>
      </c>
      <c r="R317" s="15">
        <f>P317+Q317</f>
        <v/>
      </c>
      <c r="S317" s="15">
        <f>$I$1*S316-$I$2*S315+$I$3*R296+$I$4*R295</f>
        <v/>
      </c>
      <c r="T317" s="15">
        <f>RAND()*$G$12</f>
        <v/>
      </c>
      <c r="U317" s="15">
        <f>S317+T317</f>
        <v/>
      </c>
      <c r="V317" s="15">
        <f>INT((2^$J$12-1)*U317/100)/(2^$J$12-1)*100</f>
        <v/>
      </c>
      <c r="X317" s="15">
        <f>M317 * 1.05</f>
        <v/>
      </c>
      <c r="Y317" s="15">
        <f>M317 * 0.95</f>
        <v/>
      </c>
      <c r="Z317" s="15">
        <f>IF(AND(V317 &lt;= X317, V317 &gt;= Y317), 1, 0)</f>
        <v/>
      </c>
    </row>
    <row r="318">
      <c r="L318" s="15" t="n">
        <v>316</v>
      </c>
      <c r="M318" s="15">
        <f>IF(L318&lt;$D$16,$D$13,IF(L318&lt;$E$16,$E$13,$F$13))</f>
        <v/>
      </c>
      <c r="N318" s="15">
        <f>M318-V318</f>
        <v/>
      </c>
      <c r="O318" s="15">
        <f>IF(MOD(L318,$B$11)=0,OFFSET(O318,-$B$11,0)+ $E$2*N318+$E$3*OFFSET(N318,-$B$11,0)+ $E$4*OFFSET(N318,-2* $B$11,0), O317)</f>
        <v/>
      </c>
      <c r="P318" s="15">
        <f>INT((2^$J$12-1)*O318/100)/(2^$J$12-1)*100</f>
        <v/>
      </c>
      <c r="Q318" s="15">
        <f>$H$12*M318</f>
        <v/>
      </c>
      <c r="R318" s="15">
        <f>P318+Q318</f>
        <v/>
      </c>
      <c r="S318" s="15">
        <f>$I$1*S317-$I$2*S316+$I$3*R297+$I$4*R296</f>
        <v/>
      </c>
      <c r="T318" s="15">
        <f>RAND()*$G$12</f>
        <v/>
      </c>
      <c r="U318" s="15">
        <f>S318+T318</f>
        <v/>
      </c>
      <c r="V318" s="15">
        <f>INT((2^$J$12-1)*U318/100)/(2^$J$12-1)*100</f>
        <v/>
      </c>
      <c r="X318" s="15">
        <f>M318 * 1.05</f>
        <v/>
      </c>
      <c r="Y318" s="15">
        <f>M318 * 0.95</f>
        <v/>
      </c>
      <c r="Z318" s="15">
        <f>IF(AND(V318 &lt;= X318, V318 &gt;= Y318), 1, 0)</f>
        <v/>
      </c>
    </row>
    <row r="319">
      <c r="L319" s="15" t="n">
        <v>317</v>
      </c>
      <c r="M319" s="15">
        <f>IF(L319&lt;$D$16,$D$13,IF(L319&lt;$E$16,$E$13,$F$13))</f>
        <v/>
      </c>
      <c r="N319" s="15">
        <f>M319-V319</f>
        <v/>
      </c>
      <c r="O319" s="15">
        <f>IF(MOD(L319,$B$11)=0,OFFSET(O319,-$B$11,0)+ $E$2*N319+$E$3*OFFSET(N319,-$B$11,0)+ $E$4*OFFSET(N319,-2* $B$11,0), O318)</f>
        <v/>
      </c>
      <c r="P319" s="15">
        <f>INT((2^$J$12-1)*O319/100)/(2^$J$12-1)*100</f>
        <v/>
      </c>
      <c r="Q319" s="15">
        <f>$H$12*M319</f>
        <v/>
      </c>
      <c r="R319" s="15">
        <f>P319+Q319</f>
        <v/>
      </c>
      <c r="S319" s="15">
        <f>$I$1*S318-$I$2*S317+$I$3*R298+$I$4*R297</f>
        <v/>
      </c>
      <c r="T319" s="15">
        <f>RAND()*$G$12</f>
        <v/>
      </c>
      <c r="U319" s="15">
        <f>S319+T319</f>
        <v/>
      </c>
      <c r="V319" s="15">
        <f>INT((2^$J$12-1)*U319/100)/(2^$J$12-1)*100</f>
        <v/>
      </c>
      <c r="X319" s="15">
        <f>M319 * 1.05</f>
        <v/>
      </c>
      <c r="Y319" s="15">
        <f>M319 * 0.95</f>
        <v/>
      </c>
      <c r="Z319" s="15">
        <f>IF(AND(V319 &lt;= X319, V319 &gt;= Y319), 1, 0)</f>
        <v/>
      </c>
    </row>
    <row r="320">
      <c r="L320" s="15" t="n">
        <v>318</v>
      </c>
      <c r="M320" s="15">
        <f>IF(L320&lt;$D$16,$D$13,IF(L320&lt;$E$16,$E$13,$F$13))</f>
        <v/>
      </c>
      <c r="N320" s="15">
        <f>M320-V320</f>
        <v/>
      </c>
      <c r="O320" s="15">
        <f>IF(MOD(L320,$B$11)=0,OFFSET(O320,-$B$11,0)+ $E$2*N320+$E$3*OFFSET(N320,-$B$11,0)+ $E$4*OFFSET(N320,-2* $B$11,0), O319)</f>
        <v/>
      </c>
      <c r="P320" s="15">
        <f>INT((2^$J$12-1)*O320/100)/(2^$J$12-1)*100</f>
        <v/>
      </c>
      <c r="Q320" s="15">
        <f>$H$12*M320</f>
        <v/>
      </c>
      <c r="R320" s="15">
        <f>P320+Q320</f>
        <v/>
      </c>
      <c r="S320" s="15">
        <f>$I$1*S319-$I$2*S318+$I$3*R299+$I$4*R298</f>
        <v/>
      </c>
      <c r="T320" s="15">
        <f>RAND()*$G$12</f>
        <v/>
      </c>
      <c r="U320" s="15">
        <f>S320+T320</f>
        <v/>
      </c>
      <c r="V320" s="15">
        <f>INT((2^$J$12-1)*U320/100)/(2^$J$12-1)*100</f>
        <v/>
      </c>
      <c r="X320" s="15">
        <f>M320 * 1.05</f>
        <v/>
      </c>
      <c r="Y320" s="15">
        <f>M320 * 0.95</f>
        <v/>
      </c>
      <c r="Z320" s="15">
        <f>IF(AND(V320 &lt;= X320, V320 &gt;= Y320), 1, 0)</f>
        <v/>
      </c>
    </row>
    <row r="321">
      <c r="L321" s="15" t="n">
        <v>319</v>
      </c>
      <c r="M321" s="15">
        <f>IF(L321&lt;$D$16,$D$13,IF(L321&lt;$E$16,$E$13,$F$13))</f>
        <v/>
      </c>
      <c r="N321" s="15">
        <f>M321-V321</f>
        <v/>
      </c>
      <c r="O321" s="15">
        <f>IF(MOD(L321,$B$11)=0,OFFSET(O321,-$B$11,0)+ $E$2*N321+$E$3*OFFSET(N321,-$B$11,0)+ $E$4*OFFSET(N321,-2* $B$11,0), O320)</f>
        <v/>
      </c>
      <c r="P321" s="15">
        <f>INT((2^$J$12-1)*O321/100)/(2^$J$12-1)*100</f>
        <v/>
      </c>
      <c r="Q321" s="15">
        <f>$H$12*M321</f>
        <v/>
      </c>
      <c r="R321" s="15">
        <f>P321+Q321</f>
        <v/>
      </c>
      <c r="S321" s="15">
        <f>$I$1*S320-$I$2*S319+$I$3*R300+$I$4*R299</f>
        <v/>
      </c>
      <c r="T321" s="15">
        <f>RAND()*$G$12</f>
        <v/>
      </c>
      <c r="U321" s="15">
        <f>S321+T321</f>
        <v/>
      </c>
      <c r="V321" s="15">
        <f>INT((2^$J$12-1)*U321/100)/(2^$J$12-1)*100</f>
        <v/>
      </c>
      <c r="X321" s="15">
        <f>M321 * 1.05</f>
        <v/>
      </c>
      <c r="Y321" s="15">
        <f>M321 * 0.95</f>
        <v/>
      </c>
      <c r="Z321" s="15">
        <f>IF(AND(V321 &lt;= X321, V321 &gt;= Y321), 1, 0)</f>
        <v/>
      </c>
    </row>
    <row r="322">
      <c r="L322" s="15" t="n">
        <v>320</v>
      </c>
      <c r="M322" s="15">
        <f>IF(L322&lt;$D$16,$D$13,IF(L322&lt;$E$16,$E$13,$F$13))</f>
        <v/>
      </c>
      <c r="N322" s="15">
        <f>M322-V322</f>
        <v/>
      </c>
      <c r="O322" s="15">
        <f>IF(MOD(L322,$B$11)=0,OFFSET(O322,-$B$11,0)+ $E$2*N322+$E$3*OFFSET(N322,-$B$11,0)+ $E$4*OFFSET(N322,-2* $B$11,0), O321)</f>
        <v/>
      </c>
      <c r="P322" s="15">
        <f>INT((2^$J$12-1)*O322/100)/(2^$J$12-1)*100</f>
        <v/>
      </c>
      <c r="Q322" s="15">
        <f>$H$12*M322</f>
        <v/>
      </c>
      <c r="R322" s="15">
        <f>P322+Q322</f>
        <v/>
      </c>
      <c r="S322" s="15">
        <f>$I$1*S321-$I$2*S320+$I$3*R301+$I$4*R300</f>
        <v/>
      </c>
      <c r="T322" s="15">
        <f>RAND()*$G$12</f>
        <v/>
      </c>
      <c r="U322" s="15">
        <f>S322+T322</f>
        <v/>
      </c>
      <c r="V322" s="15">
        <f>INT((2^$J$12-1)*U322/100)/(2^$J$12-1)*100</f>
        <v/>
      </c>
      <c r="X322" s="15">
        <f>M322 * 1.05</f>
        <v/>
      </c>
      <c r="Y322" s="15">
        <f>M322 * 0.95</f>
        <v/>
      </c>
      <c r="Z322" s="15">
        <f>IF(AND(V322 &lt;= X322, V322 &gt;= Y322), 1, 0)</f>
        <v/>
      </c>
    </row>
    <row r="323">
      <c r="L323" s="15" t="n">
        <v>321</v>
      </c>
      <c r="M323" s="15">
        <f>IF(L323&lt;$D$16,$D$13,IF(L323&lt;$E$16,$E$13,$F$13))</f>
        <v/>
      </c>
      <c r="N323" s="15">
        <f>M323-V323</f>
        <v/>
      </c>
      <c r="O323" s="15">
        <f>IF(MOD(L323,$B$11)=0,OFFSET(O323,-$B$11,0)+ $E$2*N323+$E$3*OFFSET(N323,-$B$11,0)+ $E$4*OFFSET(N323,-2* $B$11,0), O322)</f>
        <v/>
      </c>
      <c r="P323" s="15">
        <f>INT((2^$J$12-1)*O323/100)/(2^$J$12-1)*100</f>
        <v/>
      </c>
      <c r="Q323" s="15" t="n">
        <v>0</v>
      </c>
      <c r="R323" s="15">
        <f>P323+Q323</f>
        <v/>
      </c>
      <c r="S323" s="15">
        <f>$I$1*S322-$I$2*S321+$I$3*R302+$I$4*R301</f>
        <v/>
      </c>
      <c r="T323" s="15">
        <f>RAND()*$G$12</f>
        <v/>
      </c>
      <c r="U323" s="15">
        <f>S323+T323</f>
        <v/>
      </c>
      <c r="V323" s="15">
        <f>INT((2^$J$12-1)*U323/100)/(2^$J$12-1)*100</f>
        <v/>
      </c>
      <c r="X323" s="15">
        <f>M323 * 1.05</f>
        <v/>
      </c>
      <c r="Y323" s="15">
        <f>M323 * 0.95</f>
        <v/>
      </c>
      <c r="Z323" s="15">
        <f>IF(AND(V323 &lt;= X323, V323 &gt;= Y323), 1, 0)</f>
        <v/>
      </c>
    </row>
    <row r="324">
      <c r="L324" s="15" t="n">
        <v>322</v>
      </c>
      <c r="M324" s="15">
        <f>IF(L324&lt;$D$16,$D$13,IF(L324&lt;$E$16,$E$13,$F$13))</f>
        <v/>
      </c>
      <c r="N324" s="15">
        <f>M324-V324</f>
        <v/>
      </c>
      <c r="O324" s="15">
        <f>IF(MOD(L324,$B$11)=0,OFFSET(O324,-$B$11,0)+ $E$2*N324+$E$3*OFFSET(N324,-$B$11,0)+ $E$4*OFFSET(N324,-2* $B$11,0), O323)</f>
        <v/>
      </c>
      <c r="P324" s="15">
        <f>INT((2^$J$12-1)*O324/100)/(2^$J$12-1)*100</f>
        <v/>
      </c>
      <c r="Q324" s="15" t="n">
        <v>0</v>
      </c>
      <c r="R324" s="15">
        <f>P324+Q324</f>
        <v/>
      </c>
      <c r="S324" s="15">
        <f>$I$1*S323-$I$2*S322+$I$3*R303+$I$4*R302</f>
        <v/>
      </c>
      <c r="T324" s="15">
        <f>RAND()*$G$12</f>
        <v/>
      </c>
      <c r="U324" s="15">
        <f>S324+T324</f>
        <v/>
      </c>
      <c r="V324" s="15">
        <f>INT((2^$J$12-1)*U324/100)/(2^$J$12-1)*100</f>
        <v/>
      </c>
      <c r="X324" s="15">
        <f>M324 * 1.05</f>
        <v/>
      </c>
      <c r="Y324" s="15">
        <f>M324 * 0.95</f>
        <v/>
      </c>
      <c r="Z324" s="15">
        <f>IF(AND(V324 &lt;= X324, V324 &gt;= Y324), 1, 0)</f>
        <v/>
      </c>
    </row>
    <row r="325">
      <c r="L325" s="15" t="n">
        <v>323</v>
      </c>
      <c r="M325" s="15">
        <f>IF(L325&lt;$D$16,$D$13,IF(L325&lt;$E$16,$E$13,$F$13))</f>
        <v/>
      </c>
      <c r="N325" s="15">
        <f>M325-V325</f>
        <v/>
      </c>
      <c r="O325" s="15">
        <f>IF(MOD(L325,$B$11)=0,OFFSET(O325,-$B$11,0)+ $E$2*N325+$E$3*OFFSET(N325,-$B$11,0)+ $E$4*OFFSET(N325,-2* $B$11,0), O324)</f>
        <v/>
      </c>
      <c r="P325" s="15">
        <f>INT((2^$J$12-1)*O325/100)/(2^$J$12-1)*100</f>
        <v/>
      </c>
      <c r="Q325" s="15" t="n">
        <v>0</v>
      </c>
      <c r="R325" s="15">
        <f>P325+Q325</f>
        <v/>
      </c>
      <c r="S325" s="15">
        <f>$I$1*S324-$I$2*S323+$I$3*R304+$I$4*R303</f>
        <v/>
      </c>
      <c r="T325" s="15">
        <f>RAND()*$G$12</f>
        <v/>
      </c>
      <c r="U325" s="15">
        <f>S325+T325</f>
        <v/>
      </c>
      <c r="V325" s="15">
        <f>INT((2^$J$12-1)*U325/100)/(2^$J$12-1)*100</f>
        <v/>
      </c>
      <c r="X325" s="15">
        <f>M325 * 1.05</f>
        <v/>
      </c>
      <c r="Y325" s="15">
        <f>M325 * 0.95</f>
        <v/>
      </c>
      <c r="Z325" s="15">
        <f>IF(AND(V325 &lt;= X325, V325 &gt;= Y325), 1, 0)</f>
        <v/>
      </c>
    </row>
    <row r="326">
      <c r="L326" s="15" t="n">
        <v>324</v>
      </c>
      <c r="M326" s="15">
        <f>IF(L326&lt;$D$16,$D$13,IF(L326&lt;$E$16,$E$13,$F$13))</f>
        <v/>
      </c>
      <c r="N326" s="15">
        <f>M326-V326</f>
        <v/>
      </c>
      <c r="O326" s="15">
        <f>IF(MOD(L326,$B$11)=0,OFFSET(O326,-$B$11,0)+ $E$2*N326+$E$3*OFFSET(N326,-$B$11,0)+ $E$4*OFFSET(N326,-2* $B$11,0), O325)</f>
        <v/>
      </c>
      <c r="P326" s="15">
        <f>INT((2^$J$12-1)*O326/100)/(2^$J$12-1)*100</f>
        <v/>
      </c>
      <c r="Q326" s="15" t="n">
        <v>0</v>
      </c>
      <c r="R326" s="15">
        <f>P326+Q326</f>
        <v/>
      </c>
      <c r="S326" s="15">
        <f>$I$1*S325-$I$2*S324+$I$3*R305+$I$4*R304</f>
        <v/>
      </c>
      <c r="T326" s="15">
        <f>RAND()*$G$12</f>
        <v/>
      </c>
      <c r="U326" s="15">
        <f>S326+T326</f>
        <v/>
      </c>
      <c r="V326" s="15">
        <f>INT((2^$J$12-1)*U326/100)/(2^$J$12-1)*100</f>
        <v/>
      </c>
      <c r="X326" s="15">
        <f>M326 * 1.05</f>
        <v/>
      </c>
      <c r="Y326" s="15">
        <f>M326 * 0.95</f>
        <v/>
      </c>
      <c r="Z326" s="15">
        <f>IF(AND(V326 &lt;= X326, V326 &gt;= Y326), 1, 0)</f>
        <v/>
      </c>
    </row>
    <row r="327">
      <c r="L327" s="15" t="n">
        <v>325</v>
      </c>
      <c r="M327" s="15">
        <f>IF(L327&lt;$D$16,$D$13,IF(L327&lt;$E$16,$E$13,$F$13))</f>
        <v/>
      </c>
      <c r="N327" s="15">
        <f>M327-V327</f>
        <v/>
      </c>
      <c r="O327" s="15">
        <f>IF(MOD(L327,$B$11)=0,OFFSET(O327,-$B$11,0)+ $E$2*N327+$E$3*OFFSET(N327,-$B$11,0)+ $E$4*OFFSET(N327,-2* $B$11,0), O326)</f>
        <v/>
      </c>
      <c r="P327" s="15">
        <f>INT((2^$J$12-1)*O327/100)/(2^$J$12-1)*100</f>
        <v/>
      </c>
      <c r="Q327" s="15" t="n">
        <v>0</v>
      </c>
      <c r="R327" s="15">
        <f>P327+Q327</f>
        <v/>
      </c>
      <c r="S327" s="15">
        <f>$I$1*S326-$I$2*S325+$I$3*R306+$I$4*R305</f>
        <v/>
      </c>
      <c r="T327" s="15">
        <f>RAND()*$G$12</f>
        <v/>
      </c>
      <c r="U327" s="15">
        <f>S327+T327</f>
        <v/>
      </c>
      <c r="V327" s="15">
        <f>INT((2^$J$12-1)*U327/100)/(2^$J$12-1)*100</f>
        <v/>
      </c>
      <c r="X327" s="15">
        <f>M327 * 1.05</f>
        <v/>
      </c>
      <c r="Y327" s="15">
        <f>M327 * 0.95</f>
        <v/>
      </c>
      <c r="Z327" s="15">
        <f>IF(AND(V327 &lt;= X327, V327 &gt;= Y327), 1, 0)</f>
        <v/>
      </c>
    </row>
    <row r="328">
      <c r="L328" s="15" t="n">
        <v>326</v>
      </c>
      <c r="M328" s="15">
        <f>IF(L328&lt;$D$16,$D$13,IF(L328&lt;$E$16,$E$13,$F$13))</f>
        <v/>
      </c>
      <c r="N328" s="15">
        <f>M328-V328</f>
        <v/>
      </c>
      <c r="O328" s="15">
        <f>IF(MOD(L328,$B$11)=0,OFFSET(O328,-$B$11,0)+ $E$2*N328+$E$3*OFFSET(N328,-$B$11,0)+ $E$4*OFFSET(N328,-2* $B$11,0), O327)</f>
        <v/>
      </c>
      <c r="P328" s="15">
        <f>INT((2^$J$12-1)*O328/100)/(2^$J$12-1)*100</f>
        <v/>
      </c>
      <c r="Q328" s="15" t="n">
        <v>0</v>
      </c>
      <c r="R328" s="15">
        <f>P328+Q328</f>
        <v/>
      </c>
      <c r="S328" s="15">
        <f>$I$1*S327-$I$2*S326+$I$3*R307+$I$4*R306</f>
        <v/>
      </c>
      <c r="T328" s="15">
        <f>RAND()*$G$12</f>
        <v/>
      </c>
      <c r="U328" s="15">
        <f>S328+T328</f>
        <v/>
      </c>
      <c r="V328" s="15">
        <f>INT((2^$J$12-1)*U328/100)/(2^$J$12-1)*100</f>
        <v/>
      </c>
      <c r="X328" s="15">
        <f>M328 * 1.05</f>
        <v/>
      </c>
      <c r="Y328" s="15">
        <f>M328 * 0.95</f>
        <v/>
      </c>
      <c r="Z328" s="15">
        <f>IF(AND(V328 &lt;= X328, V328 &gt;= Y328), 1, 0)</f>
        <v/>
      </c>
    </row>
    <row r="329">
      <c r="L329" s="15" t="n">
        <v>327</v>
      </c>
      <c r="M329" s="15">
        <f>IF(L329&lt;$D$16,$D$13,IF(L329&lt;$E$16,$E$13,$F$13))</f>
        <v/>
      </c>
      <c r="N329" s="15">
        <f>M329-V329</f>
        <v/>
      </c>
      <c r="O329" s="15">
        <f>IF(MOD(L329,$B$11)=0,OFFSET(O329,-$B$11,0)+ $E$2*N329+$E$3*OFFSET(N329,-$B$11,0)+ $E$4*OFFSET(N329,-2* $B$11,0), O328)</f>
        <v/>
      </c>
      <c r="P329" s="15">
        <f>INT((2^$J$12-1)*O329/100)/(2^$J$12-1)*100</f>
        <v/>
      </c>
      <c r="Q329" s="15" t="n">
        <v>0</v>
      </c>
      <c r="R329" s="15">
        <f>P329+Q329</f>
        <v/>
      </c>
      <c r="S329" s="15">
        <f>$I$1*S328-$I$2*S327+$I$3*R308+$I$4*R307</f>
        <v/>
      </c>
      <c r="T329" s="15">
        <f>RAND()*$G$12</f>
        <v/>
      </c>
      <c r="U329" s="15">
        <f>S329+T329</f>
        <v/>
      </c>
      <c r="V329" s="15">
        <f>INT((2^$J$12-1)*U329/100)/(2^$J$12-1)*100</f>
        <v/>
      </c>
      <c r="X329" s="15">
        <f>M329 * 1.05</f>
        <v/>
      </c>
      <c r="Y329" s="15">
        <f>M329 * 0.95</f>
        <v/>
      </c>
      <c r="Z329" s="15">
        <f>IF(AND(V329 &lt;= X329, V329 &gt;= Y329), 1, 0)</f>
        <v/>
      </c>
    </row>
    <row r="330">
      <c r="L330" s="15" t="n">
        <v>328</v>
      </c>
      <c r="M330" s="15">
        <f>IF(L330&lt;$D$16,$D$13,IF(L330&lt;$E$16,$E$13,$F$13))</f>
        <v/>
      </c>
      <c r="N330" s="15">
        <f>M330-V330</f>
        <v/>
      </c>
      <c r="O330" s="15">
        <f>IF(MOD(L330,$B$11)=0,OFFSET(O330,-$B$11,0)+ $E$2*N330+$E$3*OFFSET(N330,-$B$11,0)+ $E$4*OFFSET(N330,-2* $B$11,0), O329)</f>
        <v/>
      </c>
      <c r="P330" s="15">
        <f>INT((2^$J$12-1)*O330/100)/(2^$J$12-1)*100</f>
        <v/>
      </c>
      <c r="Q330" s="15" t="n">
        <v>0</v>
      </c>
      <c r="R330" s="15">
        <f>P330+Q330</f>
        <v/>
      </c>
      <c r="S330" s="15">
        <f>$I$1*S329-$I$2*S328+$I$3*R309+$I$4*R308</f>
        <v/>
      </c>
      <c r="T330" s="15">
        <f>RAND()*$G$12</f>
        <v/>
      </c>
      <c r="U330" s="15">
        <f>S330+T330</f>
        <v/>
      </c>
      <c r="V330" s="15">
        <f>INT((2^$J$12-1)*U330/100)/(2^$J$12-1)*100</f>
        <v/>
      </c>
      <c r="X330" s="15">
        <f>M330 * 1.05</f>
        <v/>
      </c>
      <c r="Y330" s="15">
        <f>M330 * 0.95</f>
        <v/>
      </c>
      <c r="Z330" s="15">
        <f>IF(AND(V330 &lt;= X330, V330 &gt;= Y330), 1, 0)</f>
        <v/>
      </c>
    </row>
    <row r="331">
      <c r="L331" s="15" t="n">
        <v>329</v>
      </c>
      <c r="M331" s="15">
        <f>IF(L331&lt;$D$16,$D$13,IF(L331&lt;$E$16,$E$13,$F$13))</f>
        <v/>
      </c>
      <c r="N331" s="15">
        <f>M331-V331</f>
        <v/>
      </c>
      <c r="O331" s="15">
        <f>IF(MOD(L331,$B$11)=0,OFFSET(O331,-$B$11,0)+ $E$2*N331+$E$3*OFFSET(N331,-$B$11,0)+ $E$4*OFFSET(N331,-2* $B$11,0), O330)</f>
        <v/>
      </c>
      <c r="P331" s="15">
        <f>INT((2^$J$12-1)*O331/100)/(2^$J$12-1)*100</f>
        <v/>
      </c>
      <c r="Q331" s="15" t="n">
        <v>0</v>
      </c>
      <c r="R331" s="15">
        <f>P331+Q331</f>
        <v/>
      </c>
      <c r="S331" s="15">
        <f>$I$1*S330-$I$2*S329+$I$3*R310+$I$4*R309</f>
        <v/>
      </c>
      <c r="T331" s="15">
        <f>RAND()*$G$12</f>
        <v/>
      </c>
      <c r="U331" s="15">
        <f>S331+T331</f>
        <v/>
      </c>
      <c r="V331" s="15">
        <f>INT((2^$J$12-1)*U331/100)/(2^$J$12-1)*100</f>
        <v/>
      </c>
      <c r="X331" s="15">
        <f>M331 * 1.05</f>
        <v/>
      </c>
      <c r="Y331" s="15">
        <f>M331 * 0.95</f>
        <v/>
      </c>
      <c r="Z331" s="15">
        <f>IF(AND(V331 &lt;= X331, V331 &gt;= Y331), 1, 0)</f>
        <v/>
      </c>
    </row>
    <row r="332">
      <c r="L332" s="15" t="n">
        <v>330</v>
      </c>
      <c r="M332" s="15">
        <f>IF(L332&lt;$D$16,$D$13,IF(L332&lt;$E$16,$E$13,$F$13))</f>
        <v/>
      </c>
      <c r="N332" s="15">
        <f>M332-V332</f>
        <v/>
      </c>
      <c r="O332" s="15">
        <f>IF(MOD(L332,$B$11)=0,OFFSET(O332,-$B$11,0)+ $E$2*N332+$E$3*OFFSET(N332,-$B$11,0)+ $E$4*OFFSET(N332,-2* $B$11,0), O331)</f>
        <v/>
      </c>
      <c r="P332" s="15">
        <f>INT((2^$J$12-1)*O332/100)/(2^$J$12-1)*100</f>
        <v/>
      </c>
      <c r="Q332" s="15" t="n">
        <v>0</v>
      </c>
      <c r="R332" s="15">
        <f>P332+Q332</f>
        <v/>
      </c>
      <c r="S332" s="15">
        <f>$I$1*S331-$I$2*S330+$I$3*R311+$I$4*R310</f>
        <v/>
      </c>
      <c r="T332" s="15">
        <f>RAND()*$G$12</f>
        <v/>
      </c>
      <c r="U332" s="15">
        <f>S332+T332</f>
        <v/>
      </c>
      <c r="V332" s="15">
        <f>INT((2^$J$12-1)*U332/100)/(2^$J$12-1)*100</f>
        <v/>
      </c>
      <c r="X332" s="15">
        <f>M332 * 1.05</f>
        <v/>
      </c>
      <c r="Y332" s="15">
        <f>M332 * 0.95</f>
        <v/>
      </c>
      <c r="Z332" s="15">
        <f>IF(AND(V332 &lt;= X332, V332 &gt;= Y332), 1, 0)</f>
        <v/>
      </c>
    </row>
    <row r="333" ht="13.8" customHeight="1">
      <c r="L333" s="15" t="n">
        <v>331</v>
      </c>
      <c r="M333" s="15">
        <f>IF(L333&lt;$D$16,$D$13,IF(L333&lt;$E$16,$E$13,$F$13))</f>
        <v/>
      </c>
      <c r="N333" s="15">
        <f>M333-V333</f>
        <v/>
      </c>
      <c r="O333" s="15">
        <f>IF(MOD(L333,$B$11)=0,OFFSET(O333,-$B$11,0)+ $E$2*N333+$E$3*OFFSET(N333,-$B$11,0)+ $E$4*OFFSET(N333,-2* $B$11,0), O332)</f>
        <v/>
      </c>
      <c r="P333" s="15">
        <f>INT((2^$J$12-1)*O333/100)/(2^$J$12-1)*100</f>
        <v/>
      </c>
      <c r="Q333" s="15" t="n">
        <v>0</v>
      </c>
      <c r="R333" s="15">
        <f>P333+Q333</f>
        <v/>
      </c>
      <c r="S333" s="15">
        <f>$I$1*S332-$I$2*S331+$I$3*R312+$I$4*R311</f>
        <v/>
      </c>
      <c r="T333" s="15">
        <f>RAND()*$G$12</f>
        <v/>
      </c>
      <c r="U333" s="15">
        <f>S333+T333</f>
        <v/>
      </c>
      <c r="V333" s="15">
        <f>INT((2^$J$12-1)*U333/100)/(2^$J$12-1)*100</f>
        <v/>
      </c>
      <c r="X333" s="15">
        <f>M333 * 1.05</f>
        <v/>
      </c>
      <c r="Y333" s="15">
        <f>M333 * 0.95</f>
        <v/>
      </c>
      <c r="Z333" s="15">
        <f>IF(AND(V333 &lt;= X333, V333 &gt;= Y333), 1, 0)</f>
        <v/>
      </c>
    </row>
    <row r="334">
      <c r="L334" s="15" t="n">
        <v>332</v>
      </c>
      <c r="M334" s="15">
        <f>IF(L334&lt;$D$16,$D$13,IF(L334&lt;$E$16,$E$13,$F$13))</f>
        <v/>
      </c>
      <c r="N334" s="15">
        <f>M334-V334</f>
        <v/>
      </c>
      <c r="O334" s="15">
        <f>IF(MOD(L334,$B$11)=0,OFFSET(O334,-$B$11,0)+ $E$2*N334+$E$3*OFFSET(N334,-$B$11,0)+ $E$4*OFFSET(N334,-2* $B$11,0), O333)</f>
        <v/>
      </c>
      <c r="P334" s="15">
        <f>INT((2^$J$12-1)*O334/100)/(2^$J$12-1)*100</f>
        <v/>
      </c>
      <c r="Q334" s="15" t="n">
        <v>0</v>
      </c>
      <c r="R334" s="15">
        <f>P334+Q334</f>
        <v/>
      </c>
      <c r="S334" s="15">
        <f>$I$1*S333-$I$2*S332+$I$3*R313+$I$4*R312</f>
        <v/>
      </c>
      <c r="T334" s="15">
        <f>RAND()*$G$12</f>
        <v/>
      </c>
      <c r="U334" s="15">
        <f>S334+T334</f>
        <v/>
      </c>
      <c r="V334" s="15">
        <f>INT((2^$J$12-1)*U334/100)/(2^$J$12-1)*100</f>
        <v/>
      </c>
      <c r="X334" s="15">
        <f>M334 * 1.05</f>
        <v/>
      </c>
      <c r="Y334" s="15">
        <f>M334 * 0.95</f>
        <v/>
      </c>
      <c r="Z334" s="15">
        <f>IF(AND(V334 &lt;= X334, V334 &gt;= Y334), 1, 0)</f>
        <v/>
      </c>
    </row>
    <row r="335">
      <c r="L335" s="15" t="n">
        <v>333</v>
      </c>
      <c r="M335" s="15">
        <f>IF(L335&lt;$D$16,$D$13,IF(L335&lt;$E$16,$E$13,$F$13))</f>
        <v/>
      </c>
      <c r="N335" s="15">
        <f>M335-V335</f>
        <v/>
      </c>
      <c r="O335" s="15">
        <f>IF(MOD(L335,$B$11)=0,OFFSET(O335,-$B$11,0)+ $E$2*N335+$E$3*OFFSET(N335,-$B$11,0)+ $E$4*OFFSET(N335,-2* $B$11,0), O334)</f>
        <v/>
      </c>
      <c r="P335" s="15">
        <f>INT((2^$J$12-1)*O335/100)/(2^$J$12-1)*100</f>
        <v/>
      </c>
      <c r="Q335" s="15" t="n">
        <v>0</v>
      </c>
      <c r="R335" s="15">
        <f>P335+Q335</f>
        <v/>
      </c>
      <c r="S335" s="15">
        <f>$I$1*S334-$I$2*S333+$I$3*R314+$I$4*R313</f>
        <v/>
      </c>
      <c r="T335" s="15">
        <f>RAND()*$G$12</f>
        <v/>
      </c>
      <c r="U335" s="15">
        <f>S335+T335</f>
        <v/>
      </c>
      <c r="V335" s="15">
        <f>INT((2^$J$12-1)*U335/100)/(2^$J$12-1)*100</f>
        <v/>
      </c>
      <c r="X335" s="15">
        <f>M335 * 1.05</f>
        <v/>
      </c>
      <c r="Y335" s="15">
        <f>M335 * 0.95</f>
        <v/>
      </c>
      <c r="Z335" s="15">
        <f>IF(AND(V335 &lt;= X335, V335 &gt;= Y335), 1, 0)</f>
        <v/>
      </c>
    </row>
    <row r="336">
      <c r="L336" s="15" t="n">
        <v>334</v>
      </c>
      <c r="M336" s="15">
        <f>IF(L336&lt;$D$16,$D$13,IF(L336&lt;$E$16,$E$13,$F$13))</f>
        <v/>
      </c>
      <c r="N336" s="15">
        <f>M336-V336</f>
        <v/>
      </c>
      <c r="O336" s="15">
        <f>IF(MOD(L336,$B$11)=0,OFFSET(O336,-$B$11,0)+ $E$2*N336+$E$3*OFFSET(N336,-$B$11,0)+ $E$4*OFFSET(N336,-2* $B$11,0), O335)</f>
        <v/>
      </c>
      <c r="P336" s="15">
        <f>INT((2^$J$12-1)*O336/100)/(2^$J$12-1)*100</f>
        <v/>
      </c>
      <c r="Q336" s="15" t="n">
        <v>0</v>
      </c>
      <c r="R336" s="15">
        <f>P336+Q336</f>
        <v/>
      </c>
      <c r="S336" s="15">
        <f>$I$1*S335-$I$2*S334+$I$3*R315+$I$4*R314</f>
        <v/>
      </c>
      <c r="T336" s="15">
        <f>RAND()*$G$12</f>
        <v/>
      </c>
      <c r="U336" s="15">
        <f>S336+T336</f>
        <v/>
      </c>
      <c r="V336" s="15">
        <f>INT((2^$J$12-1)*U336/100)/(2^$J$12-1)*100</f>
        <v/>
      </c>
      <c r="X336" s="15">
        <f>M336 * 1.05</f>
        <v/>
      </c>
      <c r="Y336" s="15">
        <f>M336 * 0.95</f>
        <v/>
      </c>
      <c r="Z336" s="15">
        <f>IF(AND(V336 &lt;= X336, V336 &gt;= Y336), 1, 0)</f>
        <v/>
      </c>
    </row>
    <row r="337">
      <c r="L337" s="15" t="n">
        <v>335</v>
      </c>
      <c r="M337" s="15">
        <f>IF(L337&lt;$D$16,$D$13,IF(L337&lt;$E$16,$E$13,$F$13))</f>
        <v/>
      </c>
      <c r="N337" s="15">
        <f>M337-V337</f>
        <v/>
      </c>
      <c r="O337" s="15">
        <f>IF(MOD(L337,$B$11)=0,OFFSET(O337,-$B$11,0)+ $E$2*N337+$E$3*OFFSET(N337,-$B$11,0)+ $E$4*OFFSET(N337,-2* $B$11,0), O336)</f>
        <v/>
      </c>
      <c r="P337" s="15">
        <f>INT((2^$J$12-1)*O337/100)/(2^$J$12-1)*100</f>
        <v/>
      </c>
      <c r="Q337" s="15" t="n">
        <v>0</v>
      </c>
      <c r="R337" s="15">
        <f>P337+Q337</f>
        <v/>
      </c>
      <c r="S337" s="15">
        <f>$I$1*S336-$I$2*S335+$I$3*R316+$I$4*R315</f>
        <v/>
      </c>
      <c r="T337" s="15">
        <f>RAND()*$G$12</f>
        <v/>
      </c>
      <c r="U337" s="15">
        <f>S337+T337</f>
        <v/>
      </c>
      <c r="V337" s="15">
        <f>INT((2^$J$12-1)*U337/100)/(2^$J$12-1)*100</f>
        <v/>
      </c>
      <c r="X337" s="15">
        <f>M337 * 1.05</f>
        <v/>
      </c>
      <c r="Y337" s="15">
        <f>M337 * 0.95</f>
        <v/>
      </c>
      <c r="Z337" s="15">
        <f>IF(AND(V337 &lt;= X337, V337 &gt;= Y337), 1, 0)</f>
        <v/>
      </c>
    </row>
    <row r="338">
      <c r="L338" s="15" t="n">
        <v>336</v>
      </c>
      <c r="M338" s="15">
        <f>IF(L338&lt;$D$16,$D$13,IF(L338&lt;$E$16,$E$13,$F$13))</f>
        <v/>
      </c>
      <c r="N338" s="15">
        <f>M338-V338</f>
        <v/>
      </c>
      <c r="O338" s="15">
        <f>IF(MOD(L338,$B$11)=0,OFFSET(O338,-$B$11,0)+ $E$2*N338+$E$3*OFFSET(N338,-$B$11,0)+ $E$4*OFFSET(N338,-2* $B$11,0), O337)</f>
        <v/>
      </c>
      <c r="P338" s="15">
        <f>INT((2^$J$12-1)*O338/100)/(2^$J$12-1)*100</f>
        <v/>
      </c>
      <c r="Q338" s="15" t="n">
        <v>0</v>
      </c>
      <c r="R338" s="15">
        <f>P338+Q338</f>
        <v/>
      </c>
      <c r="S338" s="15">
        <f>$I$1*S337-$I$2*S336+$I$3*R317+$I$4*R316</f>
        <v/>
      </c>
      <c r="T338" s="15">
        <f>RAND()*$G$12</f>
        <v/>
      </c>
      <c r="U338" s="15">
        <f>S338+T338</f>
        <v/>
      </c>
      <c r="V338" s="15">
        <f>INT((2^$J$12-1)*U338/100)/(2^$J$12-1)*100</f>
        <v/>
      </c>
      <c r="X338" s="15">
        <f>M338 * 1.05</f>
        <v/>
      </c>
      <c r="Y338" s="15">
        <f>M338 * 0.95</f>
        <v/>
      </c>
      <c r="Z338" s="15">
        <f>IF(AND(V338 &lt;= X338, V338 &gt;= Y338), 1, 0)</f>
        <v/>
      </c>
    </row>
    <row r="339">
      <c r="L339" s="15" t="n">
        <v>337</v>
      </c>
      <c r="M339" s="15">
        <f>IF(L339&lt;$D$16,$D$13,IF(L339&lt;$E$16,$E$13,$F$13))</f>
        <v/>
      </c>
      <c r="N339" s="15">
        <f>M339-V339</f>
        <v/>
      </c>
      <c r="O339" s="15">
        <f>IF(MOD(L339,$B$11)=0,OFFSET(O339,-$B$11,0)+ $E$2*N339+$E$3*OFFSET(N339,-$B$11,0)+ $E$4*OFFSET(N339,-2* $B$11,0), O338)</f>
        <v/>
      </c>
      <c r="P339" s="15">
        <f>INT((2^$J$12-1)*O339/100)/(2^$J$12-1)*100</f>
        <v/>
      </c>
      <c r="Q339" s="15" t="n">
        <v>0</v>
      </c>
      <c r="R339" s="15">
        <f>P339+Q339</f>
        <v/>
      </c>
      <c r="S339" s="15">
        <f>$I$1*S338-$I$2*S337+$I$3*R318+$I$4*R317</f>
        <v/>
      </c>
      <c r="T339" s="15">
        <f>RAND()*$G$12</f>
        <v/>
      </c>
      <c r="U339" s="15">
        <f>S339+T339</f>
        <v/>
      </c>
      <c r="V339" s="15">
        <f>INT((2^$J$12-1)*U339/100)/(2^$J$12-1)*100</f>
        <v/>
      </c>
      <c r="X339" s="15">
        <f>M339 * 1.05</f>
        <v/>
      </c>
      <c r="Y339" s="15">
        <f>M339 * 0.95</f>
        <v/>
      </c>
      <c r="Z339" s="15">
        <f>IF(AND(V339 &lt;= X339, V339 &gt;= Y339), 1, 0)</f>
        <v/>
      </c>
    </row>
    <row r="340">
      <c r="L340" s="15" t="n">
        <v>338</v>
      </c>
      <c r="M340" s="15">
        <f>IF(L340&lt;$D$16,$D$13,IF(L340&lt;$E$16,$E$13,$F$13))</f>
        <v/>
      </c>
      <c r="N340" s="15">
        <f>M340-V340</f>
        <v/>
      </c>
      <c r="O340" s="15">
        <f>IF(MOD(L340,$B$11)=0,OFFSET(O340,-$B$11,0)+ $E$2*N340+$E$3*OFFSET(N340,-$B$11,0)+ $E$4*OFFSET(N340,-2* $B$11,0), O339)</f>
        <v/>
      </c>
      <c r="P340" s="15">
        <f>INT((2^$J$12-1)*O340/100)/(2^$J$12-1)*100</f>
        <v/>
      </c>
      <c r="Q340" s="15" t="n">
        <v>0</v>
      </c>
      <c r="R340" s="15">
        <f>P340+Q340</f>
        <v/>
      </c>
      <c r="S340" s="15">
        <f>$I$1*S339-$I$2*S338+$I$3*R319+$I$4*R318</f>
        <v/>
      </c>
      <c r="T340" s="15">
        <f>RAND()*$G$12</f>
        <v/>
      </c>
      <c r="U340" s="15">
        <f>S340+T340</f>
        <v/>
      </c>
      <c r="V340" s="15">
        <f>INT((2^$J$12-1)*U340/100)/(2^$J$12-1)*100</f>
        <v/>
      </c>
      <c r="X340" s="15">
        <f>M340 * 1.05</f>
        <v/>
      </c>
      <c r="Y340" s="15">
        <f>M340 * 0.95</f>
        <v/>
      </c>
      <c r="Z340" s="15">
        <f>IF(AND(V340 &lt;= X340, V340 &gt;= Y340), 1, 0)</f>
        <v/>
      </c>
    </row>
    <row r="341">
      <c r="L341" s="15" t="n">
        <v>339</v>
      </c>
      <c r="M341" s="15">
        <f>IF(L341&lt;$D$16,$D$13,IF(L341&lt;$E$16,$E$13,$F$13))</f>
        <v/>
      </c>
      <c r="N341" s="15">
        <f>M341-V341</f>
        <v/>
      </c>
      <c r="O341" s="15">
        <f>IF(MOD(L341,$B$11)=0,OFFSET(O341,-$B$11,0)+ $E$2*N341+$E$3*OFFSET(N341,-$B$11,0)+ $E$4*OFFSET(N341,-2* $B$11,0), O340)</f>
        <v/>
      </c>
      <c r="P341" s="15">
        <f>INT((2^$J$12-1)*O341/100)/(2^$J$12-1)*100</f>
        <v/>
      </c>
      <c r="Q341" s="15" t="n">
        <v>0</v>
      </c>
      <c r="R341" s="15">
        <f>P341+Q341</f>
        <v/>
      </c>
      <c r="S341" s="15">
        <f>$I$1*S340-$I$2*S339+$I$3*R320+$I$4*R319</f>
        <v/>
      </c>
      <c r="T341" s="15">
        <f>RAND()*$G$12</f>
        <v/>
      </c>
      <c r="U341" s="15">
        <f>S341+T341</f>
        <v/>
      </c>
      <c r="V341" s="15">
        <f>INT((2^$J$12-1)*U341/100)/(2^$J$12-1)*100</f>
        <v/>
      </c>
      <c r="X341" s="15">
        <f>M341 * 1.05</f>
        <v/>
      </c>
      <c r="Y341" s="15">
        <f>M341 * 0.95</f>
        <v/>
      </c>
      <c r="Z341" s="15">
        <f>IF(AND(V341 &lt;= X341, V341 &gt;= Y341), 1, 0)</f>
        <v/>
      </c>
    </row>
    <row r="342">
      <c r="L342" s="15" t="n">
        <v>340</v>
      </c>
      <c r="M342" s="15">
        <f>IF(L342&lt;$D$16,$D$13,IF(L342&lt;$E$16,$E$13,$F$13))</f>
        <v/>
      </c>
      <c r="N342" s="15">
        <f>M342-V342</f>
        <v/>
      </c>
      <c r="O342" s="15">
        <f>IF(MOD(L342,$B$11)=0,OFFSET(O342,-$B$11,0)+ $E$2*N342+$E$3*OFFSET(N342,-$B$11,0)+ $E$4*OFFSET(N342,-2* $B$11,0), O341)</f>
        <v/>
      </c>
      <c r="P342" s="15">
        <f>INT((2^$J$12-1)*O342/100)/(2^$J$12-1)*100</f>
        <v/>
      </c>
      <c r="Q342" s="15" t="n">
        <v>0</v>
      </c>
      <c r="R342" s="15">
        <f>P342+Q342</f>
        <v/>
      </c>
      <c r="S342" s="15">
        <f>$I$1*S341-$I$2*S340+$I$3*R321+$I$4*R320</f>
        <v/>
      </c>
      <c r="T342" s="15">
        <f>RAND()*$G$12</f>
        <v/>
      </c>
      <c r="U342" s="15">
        <f>S342+T342</f>
        <v/>
      </c>
      <c r="V342" s="15">
        <f>INT((2^$J$12-1)*U342/100)/(2^$J$12-1)*100</f>
        <v/>
      </c>
      <c r="X342" s="15">
        <f>M342 * 1.05</f>
        <v/>
      </c>
      <c r="Y342" s="15">
        <f>M342 * 0.95</f>
        <v/>
      </c>
      <c r="Z342" s="15">
        <f>IF(AND(V342 &lt;= X342, V342 &gt;= Y342), 1, 0)</f>
        <v/>
      </c>
    </row>
    <row r="343">
      <c r="L343" s="15" t="n">
        <v>341</v>
      </c>
      <c r="M343" s="15">
        <f>IF(L343&lt;$D$16,$D$13,IF(L343&lt;$E$16,$E$13,$F$13))</f>
        <v/>
      </c>
      <c r="N343" s="15">
        <f>M343-V343</f>
        <v/>
      </c>
      <c r="O343" s="15">
        <f>IF(MOD(L343,$B$11)=0,OFFSET(O343,-$B$11,0)+ $E$2*N343+$E$3*OFFSET(N343,-$B$11,0)+ $E$4*OFFSET(N343,-2* $B$11,0), O342)</f>
        <v/>
      </c>
      <c r="P343" s="15">
        <f>INT((2^$J$12-1)*O343/100)/(2^$J$12-1)*100</f>
        <v/>
      </c>
      <c r="Q343" s="15" t="n">
        <v>0</v>
      </c>
      <c r="R343" s="15">
        <f>P343+Q343</f>
        <v/>
      </c>
      <c r="S343" s="15">
        <f>$I$1*S342-$I$2*S341+$I$3*R322+$I$4*R321</f>
        <v/>
      </c>
      <c r="T343" s="15">
        <f>RAND()*$G$12</f>
        <v/>
      </c>
      <c r="U343" s="15">
        <f>S343+T343</f>
        <v/>
      </c>
      <c r="V343" s="15">
        <f>INT((2^$J$12-1)*U343/100)/(2^$J$12-1)*100</f>
        <v/>
      </c>
      <c r="X343" s="15">
        <f>M343 * 1.05</f>
        <v/>
      </c>
      <c r="Y343" s="15">
        <f>M343 * 0.95</f>
        <v/>
      </c>
      <c r="Z343" s="15">
        <f>IF(AND(V343 &lt;= X343, V343 &gt;= Y343), 1, 0)</f>
        <v/>
      </c>
    </row>
    <row r="344">
      <c r="L344" s="15" t="n">
        <v>342</v>
      </c>
      <c r="M344" s="15">
        <f>IF(L344&lt;$D$16,$D$13,IF(L344&lt;$E$16,$E$13,$F$13))</f>
        <v/>
      </c>
      <c r="N344" s="15">
        <f>M344-V344</f>
        <v/>
      </c>
      <c r="O344" s="15">
        <f>IF(MOD(L344,$B$11)=0,OFFSET(O344,-$B$11,0)+ $E$2*N344+$E$3*OFFSET(N344,-$B$11,0)+ $E$4*OFFSET(N344,-2* $B$11,0), O343)</f>
        <v/>
      </c>
      <c r="P344" s="15">
        <f>INT((2^$J$12-1)*O344/100)/(2^$J$12-1)*100</f>
        <v/>
      </c>
      <c r="Q344" s="15" t="n">
        <v>0</v>
      </c>
      <c r="R344" s="15">
        <f>P344+Q344</f>
        <v/>
      </c>
      <c r="S344" s="15">
        <f>$I$1*S343-$I$2*S342+$I$3*R323+$I$4*R322</f>
        <v/>
      </c>
      <c r="T344" s="15">
        <f>RAND()*$G$12</f>
        <v/>
      </c>
      <c r="U344" s="15">
        <f>S344+T344</f>
        <v/>
      </c>
      <c r="V344" s="15">
        <f>INT((2^$J$12-1)*U344/100)/(2^$J$12-1)*100</f>
        <v/>
      </c>
      <c r="X344" s="15">
        <f>M344 * 1.05</f>
        <v/>
      </c>
      <c r="Y344" s="15">
        <f>M344 * 0.95</f>
        <v/>
      </c>
      <c r="Z344" s="15">
        <f>IF(AND(V344 &lt;= X344, V344 &gt;= Y344), 1, 0)</f>
        <v/>
      </c>
    </row>
    <row r="345">
      <c r="L345" s="15" t="n">
        <v>343</v>
      </c>
      <c r="M345" s="15">
        <f>IF(L345&lt;$D$16,$D$13,IF(L345&lt;$E$16,$E$13,$F$13))</f>
        <v/>
      </c>
      <c r="N345" s="15">
        <f>M345-V345</f>
        <v/>
      </c>
      <c r="O345" s="15">
        <f>IF(MOD(L345,$B$11)=0,OFFSET(O345,-$B$11,0)+ $E$2*N345+$E$3*OFFSET(N345,-$B$11,0)+ $E$4*OFFSET(N345,-2* $B$11,0), O344)</f>
        <v/>
      </c>
      <c r="P345" s="15">
        <f>INT((2^$J$12-1)*O345/100)/(2^$J$12-1)*100</f>
        <v/>
      </c>
      <c r="Q345" s="15" t="n">
        <v>0</v>
      </c>
      <c r="R345" s="15">
        <f>P345+Q345</f>
        <v/>
      </c>
      <c r="S345" s="15">
        <f>$I$1*S344-$I$2*S343+$I$3*R324+$I$4*R323</f>
        <v/>
      </c>
      <c r="T345" s="15">
        <f>RAND()*$G$12</f>
        <v/>
      </c>
      <c r="U345" s="15">
        <f>S345+T345</f>
        <v/>
      </c>
      <c r="V345" s="15">
        <f>INT((2^$J$12-1)*U345/100)/(2^$J$12-1)*100</f>
        <v/>
      </c>
      <c r="X345" s="15">
        <f>M345 * 1.05</f>
        <v/>
      </c>
      <c r="Y345" s="15">
        <f>M345 * 0.95</f>
        <v/>
      </c>
      <c r="Z345" s="15">
        <f>IF(AND(V345 &lt;= X345, V345 &gt;= Y345), 1, 0)</f>
        <v/>
      </c>
    </row>
    <row r="346">
      <c r="L346" s="15" t="n">
        <v>344</v>
      </c>
      <c r="M346" s="15">
        <f>IF(L346&lt;$D$16,$D$13,IF(L346&lt;$E$16,$E$13,$F$13))</f>
        <v/>
      </c>
      <c r="N346" s="15">
        <f>M346-V346</f>
        <v/>
      </c>
      <c r="O346" s="15">
        <f>IF(MOD(L346,$B$11)=0,OFFSET(O346,-$B$11,0)+ $E$2*N346+$E$3*OFFSET(N346,-$B$11,0)+ $E$4*OFFSET(N346,-2* $B$11,0), O345)</f>
        <v/>
      </c>
      <c r="P346" s="15">
        <f>INT((2^$J$12-1)*O346/100)/(2^$J$12-1)*100</f>
        <v/>
      </c>
      <c r="Q346" s="15" t="n">
        <v>0</v>
      </c>
      <c r="R346" s="15">
        <f>P346+Q346</f>
        <v/>
      </c>
      <c r="S346" s="15">
        <f>$I$1*S345-$I$2*S344+$I$3*R325+$I$4*R324</f>
        <v/>
      </c>
      <c r="T346" s="15">
        <f>RAND()*$G$12</f>
        <v/>
      </c>
      <c r="U346" s="15">
        <f>S346+T346</f>
        <v/>
      </c>
      <c r="V346" s="15">
        <f>INT((2^$J$12-1)*U346/100)/(2^$J$12-1)*100</f>
        <v/>
      </c>
      <c r="X346" s="15">
        <f>M346 * 1.05</f>
        <v/>
      </c>
      <c r="Y346" s="15">
        <f>M346 * 0.95</f>
        <v/>
      </c>
      <c r="Z346" s="15">
        <f>IF(AND(V346 &lt;= X346, V346 &gt;= Y346), 1, 0)</f>
        <v/>
      </c>
    </row>
    <row r="347">
      <c r="L347" s="15" t="n">
        <v>345</v>
      </c>
      <c r="M347" s="15">
        <f>IF(L347&lt;$D$16,$D$13,IF(L347&lt;$E$16,$E$13,$F$13))</f>
        <v/>
      </c>
      <c r="N347" s="15">
        <f>M347-V347</f>
        <v/>
      </c>
      <c r="O347" s="15">
        <f>IF(MOD(L347,$B$11)=0,OFFSET(O347,-$B$11,0)+ $E$2*N347+$E$3*OFFSET(N347,-$B$11,0)+ $E$4*OFFSET(N347,-2* $B$11,0), O346)</f>
        <v/>
      </c>
      <c r="P347" s="15">
        <f>INT((2^$J$12-1)*O347/100)/(2^$J$12-1)*100</f>
        <v/>
      </c>
      <c r="Q347" s="15" t="n">
        <v>0</v>
      </c>
      <c r="R347" s="15">
        <f>P347+Q347</f>
        <v/>
      </c>
      <c r="S347" s="15">
        <f>$I$1*S346-$I$2*S345+$I$3*R326+$I$4*R325</f>
        <v/>
      </c>
      <c r="T347" s="15">
        <f>RAND()*$G$12</f>
        <v/>
      </c>
      <c r="U347" s="15">
        <f>S347+T347</f>
        <v/>
      </c>
      <c r="V347" s="15">
        <f>INT((2^$J$12-1)*U347/100)/(2^$J$12-1)*100</f>
        <v/>
      </c>
      <c r="X347" s="15">
        <f>M347 * 1.05</f>
        <v/>
      </c>
      <c r="Y347" s="15">
        <f>M347 * 0.95</f>
        <v/>
      </c>
      <c r="Z347" s="15">
        <f>IF(AND(V347 &lt;= X347, V347 &gt;= Y347), 1, 0)</f>
        <v/>
      </c>
    </row>
    <row r="348">
      <c r="L348" s="15" t="n">
        <v>346</v>
      </c>
      <c r="M348" s="15">
        <f>IF(L348&lt;$D$16,$D$13,IF(L348&lt;$E$16,$E$13,$F$13))</f>
        <v/>
      </c>
      <c r="N348" s="15">
        <f>M348-V348</f>
        <v/>
      </c>
      <c r="O348" s="15">
        <f>IF(MOD(L348,$B$11)=0,OFFSET(O348,-$B$11,0)+ $E$2*N348+$E$3*OFFSET(N348,-$B$11,0)+ $E$4*OFFSET(N348,-2* $B$11,0), O347)</f>
        <v/>
      </c>
      <c r="P348" s="15">
        <f>INT((2^$J$12-1)*O348/100)/(2^$J$12-1)*100</f>
        <v/>
      </c>
      <c r="Q348" s="15" t="n">
        <v>0</v>
      </c>
      <c r="R348" s="15">
        <f>P348+Q348</f>
        <v/>
      </c>
      <c r="S348" s="15">
        <f>$I$1*S347-$I$2*S346+$I$3*R327+$I$4*R326</f>
        <v/>
      </c>
      <c r="T348" s="15">
        <f>RAND()*$G$12</f>
        <v/>
      </c>
      <c r="U348" s="15">
        <f>S348+T348</f>
        <v/>
      </c>
      <c r="V348" s="15">
        <f>INT((2^$J$12-1)*U348/100)/(2^$J$12-1)*100</f>
        <v/>
      </c>
      <c r="X348" s="15">
        <f>M348 * 1.05</f>
        <v/>
      </c>
      <c r="Y348" s="15">
        <f>M348 * 0.95</f>
        <v/>
      </c>
      <c r="Z348" s="15">
        <f>IF(AND(V348 &lt;= X348, V348 &gt;= Y348), 1, 0)</f>
        <v/>
      </c>
    </row>
    <row r="349">
      <c r="L349" s="15" t="n">
        <v>347</v>
      </c>
      <c r="M349" s="15">
        <f>IF(L349&lt;$D$16,$D$13,IF(L349&lt;$E$16,$E$13,$F$13))</f>
        <v/>
      </c>
      <c r="N349" s="15">
        <f>M349-V349</f>
        <v/>
      </c>
      <c r="O349" s="15">
        <f>IF(MOD(L349,$B$11)=0,OFFSET(O349,-$B$11,0)+ $E$2*N349+$E$3*OFFSET(N349,-$B$11,0)+ $E$4*OFFSET(N349,-2* $B$11,0), O348)</f>
        <v/>
      </c>
      <c r="P349" s="15">
        <f>INT((2^$J$12-1)*O349/100)/(2^$J$12-1)*100</f>
        <v/>
      </c>
      <c r="Q349" s="15" t="n">
        <v>0</v>
      </c>
      <c r="R349" s="15">
        <f>P349+Q349</f>
        <v/>
      </c>
      <c r="S349" s="15">
        <f>$I$1*S348-$I$2*S347+$I$3*R328+$I$4*R327</f>
        <v/>
      </c>
      <c r="T349" s="15">
        <f>RAND()*$G$12</f>
        <v/>
      </c>
      <c r="U349" s="15">
        <f>S349+T349</f>
        <v/>
      </c>
      <c r="V349" s="15">
        <f>INT((2^$J$12-1)*U349/100)/(2^$J$12-1)*100</f>
        <v/>
      </c>
      <c r="X349" s="15">
        <f>M349 * 1.05</f>
        <v/>
      </c>
      <c r="Y349" s="15">
        <f>M349 * 0.95</f>
        <v/>
      </c>
      <c r="Z349" s="15">
        <f>IF(AND(V349 &lt;= X349, V349 &gt;= Y349), 1, 0)</f>
        <v/>
      </c>
    </row>
    <row r="350">
      <c r="L350" s="15" t="n">
        <v>348</v>
      </c>
      <c r="M350" s="15">
        <f>IF(L350&lt;$D$16,$D$13,IF(L350&lt;$E$16,$E$13,$F$13))</f>
        <v/>
      </c>
      <c r="N350" s="15">
        <f>M350-V350</f>
        <v/>
      </c>
      <c r="O350" s="15">
        <f>IF(MOD(L350,$B$11)=0,OFFSET(O350,-$B$11,0)+ $E$2*N350+$E$3*OFFSET(N350,-$B$11,0)+ $E$4*OFFSET(N350,-2* $B$11,0), O349)</f>
        <v/>
      </c>
      <c r="P350" s="15">
        <f>INT((2^$J$12-1)*O350/100)/(2^$J$12-1)*100</f>
        <v/>
      </c>
      <c r="Q350" s="15" t="n">
        <v>0</v>
      </c>
      <c r="R350" s="15">
        <f>P350+Q350</f>
        <v/>
      </c>
      <c r="S350" s="15">
        <f>$I$1*S349-$I$2*S348+$I$3*R329+$I$4*R328</f>
        <v/>
      </c>
      <c r="T350" s="15">
        <f>RAND()*$G$12</f>
        <v/>
      </c>
      <c r="U350" s="15">
        <f>S350+T350</f>
        <v/>
      </c>
      <c r="V350" s="15">
        <f>INT((2^$J$12-1)*U350/100)/(2^$J$12-1)*100</f>
        <v/>
      </c>
      <c r="X350" s="15">
        <f>M350 * 1.05</f>
        <v/>
      </c>
      <c r="Y350" s="15">
        <f>M350 * 0.95</f>
        <v/>
      </c>
      <c r="Z350" s="15">
        <f>IF(AND(V350 &lt;= X350, V350 &gt;= Y350), 1, 0)</f>
        <v/>
      </c>
    </row>
    <row r="351">
      <c r="L351" s="15" t="n">
        <v>349</v>
      </c>
      <c r="M351" s="15">
        <f>IF(L351&lt;$D$16,$D$13,IF(L351&lt;$E$16,$E$13,$F$13))</f>
        <v/>
      </c>
      <c r="N351" s="15">
        <f>M351-V351</f>
        <v/>
      </c>
      <c r="O351" s="15">
        <f>IF(MOD(L351,$B$11)=0,OFFSET(O351,-$B$11,0)+ $E$2*N351+$E$3*OFFSET(N351,-$B$11,0)+ $E$4*OFFSET(N351,-2* $B$11,0), O350)</f>
        <v/>
      </c>
      <c r="P351" s="15">
        <f>INT((2^$J$12-1)*O351/100)/(2^$J$12-1)*100</f>
        <v/>
      </c>
      <c r="Q351" s="15" t="n">
        <v>0</v>
      </c>
      <c r="R351" s="15">
        <f>P351+Q351</f>
        <v/>
      </c>
      <c r="S351" s="15">
        <f>$I$1*S350-$I$2*S349+$I$3*R330+$I$4*R329</f>
        <v/>
      </c>
      <c r="T351" s="15">
        <f>RAND()*$G$12</f>
        <v/>
      </c>
      <c r="U351" s="15">
        <f>S351+T351</f>
        <v/>
      </c>
      <c r="V351" s="15">
        <f>INT((2^$J$12-1)*U351/100)/(2^$J$12-1)*100</f>
        <v/>
      </c>
      <c r="X351" s="15">
        <f>M351 * 1.05</f>
        <v/>
      </c>
      <c r="Y351" s="15">
        <f>M351 * 0.95</f>
        <v/>
      </c>
      <c r="Z351" s="15">
        <f>IF(AND(V351 &lt;= X351, V351 &gt;= Y351), 1, 0)</f>
        <v/>
      </c>
    </row>
    <row r="352">
      <c r="L352" s="15" t="n">
        <v>350</v>
      </c>
      <c r="M352" s="15">
        <f>IF(L352&lt;$D$16,$D$13,IF(L352&lt;$E$16,$E$13,$F$13))</f>
        <v/>
      </c>
      <c r="N352" s="15">
        <f>M352-V352</f>
        <v/>
      </c>
      <c r="O352" s="15">
        <f>IF(MOD(L352,$B$11)=0,OFFSET(O352,-$B$11,0)+ $E$2*N352+$E$3*OFFSET(N352,-$B$11,0)+ $E$4*OFFSET(N352,-2* $B$11,0), O351)</f>
        <v/>
      </c>
      <c r="P352" s="15">
        <f>INT((2^$J$12-1)*O352/100)/(2^$J$12-1)*100</f>
        <v/>
      </c>
      <c r="Q352" s="15" t="n">
        <v>0</v>
      </c>
      <c r="R352" s="15">
        <f>P352+Q352</f>
        <v/>
      </c>
      <c r="S352" s="15">
        <f>$I$1*S351-$I$2*S350+$I$3*R331+$I$4*R330</f>
        <v/>
      </c>
      <c r="T352" s="15">
        <f>RAND()*$G$12</f>
        <v/>
      </c>
      <c r="U352" s="15">
        <f>S352+T352</f>
        <v/>
      </c>
      <c r="V352" s="15">
        <f>INT((2^$J$12-1)*U352/100)/(2^$J$12-1)*100</f>
        <v/>
      </c>
      <c r="X352" s="15">
        <f>M352 * 1.05</f>
        <v/>
      </c>
      <c r="Y352" s="15">
        <f>M352 * 0.95</f>
        <v/>
      </c>
      <c r="Z352" s="15">
        <f>IF(AND(V352 &lt;= X352, V352 &gt;= Y352), 1, 0)</f>
        <v/>
      </c>
    </row>
    <row r="353">
      <c r="L353" s="15" t="n">
        <v>351</v>
      </c>
      <c r="M353" s="15">
        <f>IF(L353&lt;$D$16,$D$13,IF(L353&lt;$E$16,$E$13,$F$13))</f>
        <v/>
      </c>
      <c r="N353" s="15">
        <f>M353-V353</f>
        <v/>
      </c>
      <c r="O353" s="15">
        <f>IF(MOD(L353,$B$11)=0,OFFSET(O353,-$B$11,0)+ $E$2*N353+$E$3*OFFSET(N353,-$B$11,0)+ $E$4*OFFSET(N353,-2* $B$11,0), O352)</f>
        <v/>
      </c>
      <c r="P353" s="15">
        <f>INT((2^$J$12-1)*O353/100)/(2^$J$12-1)*100</f>
        <v/>
      </c>
      <c r="Q353" s="15" t="n">
        <v>0</v>
      </c>
      <c r="R353" s="15">
        <f>P353+Q353</f>
        <v/>
      </c>
      <c r="S353" s="15">
        <f>$I$1*S352-$I$2*S351+$I$3*R332+$I$4*R331</f>
        <v/>
      </c>
      <c r="T353" s="15">
        <f>RAND()*$G$12</f>
        <v/>
      </c>
      <c r="U353" s="15">
        <f>S353+T353</f>
        <v/>
      </c>
      <c r="V353" s="15">
        <f>INT((2^$J$12-1)*U353/100)/(2^$J$12-1)*100</f>
        <v/>
      </c>
      <c r="X353" s="15">
        <f>M353 * 1.05</f>
        <v/>
      </c>
      <c r="Y353" s="15">
        <f>M353 * 0.95</f>
        <v/>
      </c>
      <c r="Z353" s="15">
        <f>IF(AND(V353 &lt;= X353, V353 &gt;= Y353), 1, 0)</f>
        <v/>
      </c>
    </row>
    <row r="354">
      <c r="L354" s="15" t="n">
        <v>352</v>
      </c>
      <c r="M354" s="15">
        <f>IF(L354&lt;$D$16,$D$13,IF(L354&lt;$E$16,$E$13,$F$13))</f>
        <v/>
      </c>
      <c r="N354" s="15">
        <f>M354-V354</f>
        <v/>
      </c>
      <c r="O354" s="15">
        <f>IF(MOD(L354,$B$11)=0,OFFSET(O354,-$B$11,0)+ $E$2*N354+$E$3*OFFSET(N354,-$B$11,0)+ $E$4*OFFSET(N354,-2* $B$11,0), O353)</f>
        <v/>
      </c>
      <c r="P354" s="15">
        <f>INT((2^$J$12-1)*O354/100)/(2^$J$12-1)*100</f>
        <v/>
      </c>
      <c r="Q354" s="15" t="n">
        <v>0</v>
      </c>
      <c r="R354" s="15">
        <f>P354+Q354</f>
        <v/>
      </c>
      <c r="S354" s="15">
        <f>$I$1*S353-$I$2*S352+$I$3*R333+$I$4*R332</f>
        <v/>
      </c>
      <c r="T354" s="15">
        <f>RAND()*$G$12</f>
        <v/>
      </c>
      <c r="U354" s="15">
        <f>S354+T354</f>
        <v/>
      </c>
      <c r="V354" s="15">
        <f>INT((2^$J$12-1)*U354/100)/(2^$J$12-1)*100</f>
        <v/>
      </c>
      <c r="X354" s="15">
        <f>M354 * 1.05</f>
        <v/>
      </c>
      <c r="Y354" s="15">
        <f>M354 * 0.95</f>
        <v/>
      </c>
      <c r="Z354" s="15">
        <f>IF(AND(V354 &lt;= X354, V354 &gt;= Y354), 1, 0)</f>
        <v/>
      </c>
    </row>
    <row r="355">
      <c r="L355" s="15" t="n">
        <v>353</v>
      </c>
      <c r="M355" s="15">
        <f>IF(L355&lt;$D$16,$D$13,IF(L355&lt;$E$16,$E$13,$F$13))</f>
        <v/>
      </c>
      <c r="N355" s="15">
        <f>M355-V355</f>
        <v/>
      </c>
      <c r="O355" s="15">
        <f>IF(MOD(L355,$B$11)=0,OFFSET(O355,-$B$11,0)+ $E$2*N355+$E$3*OFFSET(N355,-$B$11,0)+ $E$4*OFFSET(N355,-2* $B$11,0), O354)</f>
        <v/>
      </c>
      <c r="P355" s="15">
        <f>INT((2^$J$12-1)*O355/100)/(2^$J$12-1)*100</f>
        <v/>
      </c>
      <c r="Q355" s="15" t="n">
        <v>0</v>
      </c>
      <c r="R355" s="15">
        <f>P355+Q355</f>
        <v/>
      </c>
      <c r="S355" s="15">
        <f>$I$1*S354-$I$2*S353+$I$3*R334+$I$4*R333</f>
        <v/>
      </c>
      <c r="T355" s="15">
        <f>RAND()*$G$12</f>
        <v/>
      </c>
      <c r="U355" s="15">
        <f>S355+T355</f>
        <v/>
      </c>
      <c r="V355" s="15">
        <f>INT((2^$J$12-1)*U355/100)/(2^$J$12-1)*100</f>
        <v/>
      </c>
      <c r="X355" s="15">
        <f>M355 * 1.05</f>
        <v/>
      </c>
      <c r="Y355" s="15">
        <f>M355 * 0.95</f>
        <v/>
      </c>
      <c r="Z355" s="15">
        <f>IF(AND(V355 &lt;= X355, V355 &gt;= Y355), 1, 0)</f>
        <v/>
      </c>
    </row>
    <row r="356">
      <c r="L356" s="15" t="n">
        <v>354</v>
      </c>
      <c r="M356" s="15">
        <f>IF(L356&lt;$D$16,$D$13,IF(L356&lt;$E$16,$E$13,$F$13))</f>
        <v/>
      </c>
      <c r="N356" s="15">
        <f>M356-V356</f>
        <v/>
      </c>
      <c r="O356" s="15">
        <f>IF(MOD(L356,$B$11)=0,OFFSET(O356,-$B$11,0)+ $E$2*N356+$E$3*OFFSET(N356,-$B$11,0)+ $E$4*OFFSET(N356,-2* $B$11,0), O355)</f>
        <v/>
      </c>
      <c r="P356" s="15">
        <f>INT((2^$J$12-1)*O356/100)/(2^$J$12-1)*100</f>
        <v/>
      </c>
      <c r="Q356" s="15" t="n">
        <v>0</v>
      </c>
      <c r="R356" s="15">
        <f>P356+Q356</f>
        <v/>
      </c>
      <c r="S356" s="15">
        <f>$I$1*S355-$I$2*S354+$I$3*R335+$I$4*R334</f>
        <v/>
      </c>
      <c r="T356" s="15">
        <f>RAND()*$G$12</f>
        <v/>
      </c>
      <c r="U356" s="15">
        <f>S356+T356</f>
        <v/>
      </c>
      <c r="V356" s="15">
        <f>INT((2^$J$12-1)*U356/100)/(2^$J$12-1)*100</f>
        <v/>
      </c>
      <c r="X356" s="15">
        <f>M356 * 1.05</f>
        <v/>
      </c>
      <c r="Y356" s="15">
        <f>M356 * 0.95</f>
        <v/>
      </c>
      <c r="Z356" s="15">
        <f>IF(AND(V356 &lt;= X356, V356 &gt;= Y356), 1, 0)</f>
        <v/>
      </c>
    </row>
    <row r="357">
      <c r="L357" s="15" t="n">
        <v>355</v>
      </c>
      <c r="M357" s="15">
        <f>IF(L357&lt;$D$16,$D$13,IF(L357&lt;$E$16,$E$13,$F$13))</f>
        <v/>
      </c>
      <c r="N357" s="15">
        <f>M357-V357</f>
        <v/>
      </c>
      <c r="O357" s="15">
        <f>IF(MOD(L357,$B$11)=0,OFFSET(O357,-$B$11,0)+ $E$2*N357+$E$3*OFFSET(N357,-$B$11,0)+ $E$4*OFFSET(N357,-2* $B$11,0), O356)</f>
        <v/>
      </c>
      <c r="P357" s="15">
        <f>INT((2^$J$12-1)*O357/100)/(2^$J$12-1)*100</f>
        <v/>
      </c>
      <c r="Q357" s="15" t="n">
        <v>0</v>
      </c>
      <c r="R357" s="15">
        <f>P357+Q357</f>
        <v/>
      </c>
      <c r="S357" s="15">
        <f>$I$1*S356-$I$2*S355+$I$3*R336+$I$4*R335</f>
        <v/>
      </c>
      <c r="T357" s="15">
        <f>RAND()*$G$12</f>
        <v/>
      </c>
      <c r="U357" s="15">
        <f>S357+T357</f>
        <v/>
      </c>
      <c r="V357" s="15">
        <f>INT((2^$J$12-1)*U357/100)/(2^$J$12-1)*100</f>
        <v/>
      </c>
      <c r="X357" s="15">
        <f>M357 * 1.05</f>
        <v/>
      </c>
      <c r="Y357" s="15">
        <f>M357 * 0.95</f>
        <v/>
      </c>
      <c r="Z357" s="15">
        <f>IF(AND(V357 &lt;= X357, V357 &gt;= Y357), 1, 0)</f>
        <v/>
      </c>
    </row>
    <row r="358">
      <c r="L358" s="15" t="n">
        <v>356</v>
      </c>
      <c r="M358" s="15">
        <f>IF(L358&lt;$D$16,$D$13,IF(L358&lt;$E$16,$E$13,$F$13))</f>
        <v/>
      </c>
      <c r="N358" s="15">
        <f>M358-V358</f>
        <v/>
      </c>
      <c r="O358" s="15">
        <f>IF(MOD(L358,$B$11)=0,OFFSET(O358,-$B$11,0)+ $E$2*N358+$E$3*OFFSET(N358,-$B$11,0)+ $E$4*OFFSET(N358,-2* $B$11,0), O357)</f>
        <v/>
      </c>
      <c r="P358" s="15">
        <f>INT((2^$J$12-1)*O358/100)/(2^$J$12-1)*100</f>
        <v/>
      </c>
      <c r="Q358" s="15" t="n">
        <v>0</v>
      </c>
      <c r="R358" s="15">
        <f>P358+Q358</f>
        <v/>
      </c>
      <c r="S358" s="15">
        <f>$I$1*S357-$I$2*S356+$I$3*R337+$I$4*R336</f>
        <v/>
      </c>
      <c r="T358" s="15">
        <f>RAND()*$G$12</f>
        <v/>
      </c>
      <c r="U358" s="15">
        <f>S358+T358</f>
        <v/>
      </c>
      <c r="V358" s="15">
        <f>INT((2^$J$12-1)*U358/100)/(2^$J$12-1)*100</f>
        <v/>
      </c>
      <c r="X358" s="15">
        <f>M358 * 1.05</f>
        <v/>
      </c>
      <c r="Y358" s="15">
        <f>M358 * 0.95</f>
        <v/>
      </c>
      <c r="Z358" s="15">
        <f>IF(AND(V358 &lt;= X358, V358 &gt;= Y358), 1, 0)</f>
        <v/>
      </c>
    </row>
    <row r="359">
      <c r="L359" s="15" t="n">
        <v>357</v>
      </c>
      <c r="M359" s="15">
        <f>IF(L359&lt;$D$16,$D$13,IF(L359&lt;$E$16,$E$13,$F$13))</f>
        <v/>
      </c>
      <c r="N359" s="15">
        <f>M359-V359</f>
        <v/>
      </c>
      <c r="O359" s="15">
        <f>IF(MOD(L359,$B$11)=0,OFFSET(O359,-$B$11,0)+ $E$2*N359+$E$3*OFFSET(N359,-$B$11,0)+ $E$4*OFFSET(N359,-2* $B$11,0), O358)</f>
        <v/>
      </c>
      <c r="P359" s="15">
        <f>INT((2^$J$12-1)*O359/100)/(2^$J$12-1)*100</f>
        <v/>
      </c>
      <c r="Q359" s="15" t="n">
        <v>0</v>
      </c>
      <c r="R359" s="15">
        <f>P359+Q359</f>
        <v/>
      </c>
      <c r="S359" s="15">
        <f>$I$1*S358-$I$2*S357+$I$3*R338+$I$4*R337</f>
        <v/>
      </c>
      <c r="T359" s="15">
        <f>RAND()*$G$12</f>
        <v/>
      </c>
      <c r="U359" s="15">
        <f>S359+T359</f>
        <v/>
      </c>
      <c r="V359" s="15">
        <f>INT((2^$J$12-1)*U359/100)/(2^$J$12-1)*100</f>
        <v/>
      </c>
      <c r="X359" s="15">
        <f>M359 * 1.05</f>
        <v/>
      </c>
      <c r="Y359" s="15">
        <f>M359 * 0.95</f>
        <v/>
      </c>
      <c r="Z359" s="15">
        <f>IF(AND(V359 &lt;= X359, V359 &gt;= Y359), 1, 0)</f>
        <v/>
      </c>
    </row>
    <row r="360">
      <c r="L360" s="15" t="n">
        <v>358</v>
      </c>
      <c r="M360" s="15">
        <f>IF(L360&lt;$D$16,$D$13,IF(L360&lt;$E$16,$E$13,$F$13))</f>
        <v/>
      </c>
      <c r="N360" s="15">
        <f>M360-V360</f>
        <v/>
      </c>
      <c r="O360" s="15">
        <f>IF(MOD(L360,$B$11)=0,OFFSET(O360,-$B$11,0)+ $E$2*N360+$E$3*OFFSET(N360,-$B$11,0)+ $E$4*OFFSET(N360,-2* $B$11,0), O359)</f>
        <v/>
      </c>
      <c r="P360" s="15">
        <f>INT((2^$J$12-1)*O360/100)/(2^$J$12-1)*100</f>
        <v/>
      </c>
      <c r="Q360" s="15" t="n">
        <v>0</v>
      </c>
      <c r="R360" s="15">
        <f>P360+Q360</f>
        <v/>
      </c>
      <c r="S360" s="15">
        <f>$I$1*S359-$I$2*S358+$I$3*R339+$I$4*R338</f>
        <v/>
      </c>
      <c r="T360" s="15">
        <f>RAND()*$G$12</f>
        <v/>
      </c>
      <c r="U360" s="15">
        <f>S360+T360</f>
        <v/>
      </c>
      <c r="V360" s="15">
        <f>INT((2^$J$12-1)*U360/100)/(2^$J$12-1)*100</f>
        <v/>
      </c>
      <c r="X360" s="15">
        <f>M360 * 1.05</f>
        <v/>
      </c>
      <c r="Y360" s="15">
        <f>M360 * 0.95</f>
        <v/>
      </c>
      <c r="Z360" s="15">
        <f>IF(AND(V360 &lt;= X360, V360 &gt;= Y360), 1, 0)</f>
        <v/>
      </c>
    </row>
    <row r="361">
      <c r="L361" s="15" t="n">
        <v>359</v>
      </c>
      <c r="M361" s="15">
        <f>IF(L361&lt;$D$16,$D$13,IF(L361&lt;$E$16,$E$13,$F$13))</f>
        <v/>
      </c>
      <c r="N361" s="15">
        <f>M361-V361</f>
        <v/>
      </c>
      <c r="O361" s="15">
        <f>IF(MOD(L361,$B$11)=0,OFFSET(O361,-$B$11,0)+ $E$2*N361+$E$3*OFFSET(N361,-$B$11,0)+ $E$4*OFFSET(N361,-2* $B$11,0), O360)</f>
        <v/>
      </c>
      <c r="P361" s="15">
        <f>INT((2^$J$12-1)*O361/100)/(2^$J$12-1)*100</f>
        <v/>
      </c>
      <c r="Q361" s="15" t="n">
        <v>0</v>
      </c>
      <c r="R361" s="15">
        <f>P361+Q361</f>
        <v/>
      </c>
      <c r="S361" s="15">
        <f>$I$1*S360-$I$2*S359+$I$3*R340+$I$4*R339</f>
        <v/>
      </c>
      <c r="T361" s="15">
        <f>RAND()*$G$12</f>
        <v/>
      </c>
      <c r="U361" s="15">
        <f>S361+T361</f>
        <v/>
      </c>
      <c r="V361" s="15">
        <f>INT((2^$J$12-1)*U361/100)/(2^$J$12-1)*100</f>
        <v/>
      </c>
      <c r="X361" s="15">
        <f>M361 * 1.05</f>
        <v/>
      </c>
      <c r="Y361" s="15">
        <f>M361 * 0.95</f>
        <v/>
      </c>
      <c r="Z361" s="15">
        <f>IF(AND(V361 &lt;= X361, V361 &gt;= Y361), 1, 0)</f>
        <v/>
      </c>
    </row>
    <row r="362">
      <c r="L362" s="15" t="n">
        <v>360</v>
      </c>
      <c r="M362" s="15">
        <f>IF(L362&lt;$D$16,$D$13,IF(L362&lt;$E$16,$E$13,$F$13))</f>
        <v/>
      </c>
      <c r="N362" s="15">
        <f>M362-V362</f>
        <v/>
      </c>
      <c r="O362" s="15">
        <f>IF(MOD(L362,$B$11)=0,OFFSET(O362,-$B$11,0)+ $E$2*N362+$E$3*OFFSET(N362,-$B$11,0)+ $E$4*OFFSET(N362,-2* $B$11,0), O361)</f>
        <v/>
      </c>
      <c r="P362" s="15">
        <f>INT((2^$J$12-1)*O362/100)/(2^$J$12-1)*100</f>
        <v/>
      </c>
      <c r="Q362" s="15" t="n">
        <v>0</v>
      </c>
      <c r="R362" s="15">
        <f>P362+Q362</f>
        <v/>
      </c>
      <c r="S362" s="15">
        <f>$I$1*S361-$I$2*S360+$I$3*R341+$I$4*R340</f>
        <v/>
      </c>
      <c r="T362" s="15">
        <f>RAND()*$G$12</f>
        <v/>
      </c>
      <c r="U362" s="15">
        <f>S362+T362</f>
        <v/>
      </c>
      <c r="V362" s="15">
        <f>INT((2^$J$12-1)*U362/100)/(2^$J$12-1)*100</f>
        <v/>
      </c>
      <c r="X362" s="15">
        <f>M362 * 1.05</f>
        <v/>
      </c>
      <c r="Y362" s="15">
        <f>M362 * 0.95</f>
        <v/>
      </c>
      <c r="Z362" s="15">
        <f>IF(AND(V362 &lt;= X362, V362 &gt;= Y362), 1, 0)</f>
        <v/>
      </c>
    </row>
    <row r="363">
      <c r="L363" s="15" t="n">
        <v>361</v>
      </c>
      <c r="M363" s="15">
        <f>IF(L363&lt;$D$16,$D$13,IF(L363&lt;$E$16,$E$13,$F$13))</f>
        <v/>
      </c>
      <c r="N363" s="15">
        <f>M363-V363</f>
        <v/>
      </c>
      <c r="O363" s="15">
        <f>IF(MOD(L363,$B$11)=0,OFFSET(O363,-$B$11,0)+ $E$2*N363+$E$3*OFFSET(N363,-$B$11,0)+ $E$4*OFFSET(N363,-2* $B$11,0), O362)</f>
        <v/>
      </c>
      <c r="P363" s="15">
        <f>INT((2^$J$12-1)*O363/100)/(2^$J$12-1)*100</f>
        <v/>
      </c>
      <c r="Q363" s="15" t="n">
        <v>0</v>
      </c>
      <c r="R363" s="15">
        <f>P363+Q363</f>
        <v/>
      </c>
      <c r="S363" s="15">
        <f>$I$1*S362-$I$2*S361+$I$3*R342+$I$4*R341</f>
        <v/>
      </c>
      <c r="T363" s="15">
        <f>RAND()*$G$12</f>
        <v/>
      </c>
      <c r="U363" s="15">
        <f>S363+T363</f>
        <v/>
      </c>
      <c r="V363" s="15">
        <f>INT((2^$J$12-1)*U363/100)/(2^$J$12-1)*100</f>
        <v/>
      </c>
      <c r="X363" s="15">
        <f>M363 * 1.05</f>
        <v/>
      </c>
      <c r="Y363" s="15">
        <f>M363 * 0.95</f>
        <v/>
      </c>
      <c r="Z363" s="15">
        <f>IF(AND(V363 &lt;= X363, V363 &gt;= Y363), 1, 0)</f>
        <v/>
      </c>
    </row>
    <row r="364">
      <c r="L364" s="15" t="n">
        <v>362</v>
      </c>
      <c r="M364" s="15">
        <f>IF(L364&lt;$D$16,$D$13,IF(L364&lt;$E$16,$E$13,$F$13))</f>
        <v/>
      </c>
      <c r="N364" s="15">
        <f>M364-V364</f>
        <v/>
      </c>
      <c r="O364" s="15">
        <f>IF(MOD(L364,$B$11)=0,OFFSET(O364,-$B$11,0)+ $E$2*N364+$E$3*OFFSET(N364,-$B$11,0)+ $E$4*OFFSET(N364,-2* $B$11,0), O363)</f>
        <v/>
      </c>
      <c r="P364" s="15">
        <f>INT((2^$J$12-1)*O364/100)/(2^$J$12-1)*100</f>
        <v/>
      </c>
      <c r="Q364" s="15" t="n">
        <v>0</v>
      </c>
      <c r="R364" s="15">
        <f>P364+Q364</f>
        <v/>
      </c>
      <c r="S364" s="15">
        <f>$I$1*S363-$I$2*S362+$I$3*R343+$I$4*R342</f>
        <v/>
      </c>
      <c r="T364" s="15">
        <f>RAND()*$G$12</f>
        <v/>
      </c>
      <c r="U364" s="15">
        <f>S364+T364</f>
        <v/>
      </c>
      <c r="V364" s="15">
        <f>INT((2^$J$12-1)*U364/100)/(2^$J$12-1)*100</f>
        <v/>
      </c>
      <c r="X364" s="15">
        <f>M364 * 1.05</f>
        <v/>
      </c>
      <c r="Y364" s="15">
        <f>M364 * 0.95</f>
        <v/>
      </c>
      <c r="Z364" s="15">
        <f>IF(AND(V364 &lt;= X364, V364 &gt;= Y364), 1, 0)</f>
        <v/>
      </c>
    </row>
    <row r="365">
      <c r="L365" s="15" t="n">
        <v>363</v>
      </c>
      <c r="M365" s="15">
        <f>IF(L365&lt;$D$16,$D$13,IF(L365&lt;$E$16,$E$13,$F$13))</f>
        <v/>
      </c>
      <c r="N365" s="15">
        <f>M365-V365</f>
        <v/>
      </c>
      <c r="O365" s="15">
        <f>IF(MOD(L365,$B$11)=0,OFFSET(O365,-$B$11,0)+ $E$2*N365+$E$3*OFFSET(N365,-$B$11,0)+ $E$4*OFFSET(N365,-2* $B$11,0), O364)</f>
        <v/>
      </c>
      <c r="P365" s="15">
        <f>INT((2^$J$12-1)*O365/100)/(2^$J$12-1)*100</f>
        <v/>
      </c>
      <c r="Q365" s="15" t="n">
        <v>0</v>
      </c>
      <c r="R365" s="15">
        <f>P365+Q365</f>
        <v/>
      </c>
      <c r="S365" s="15">
        <f>$I$1*S364-$I$2*S363+$I$3*R344+$I$4*R343</f>
        <v/>
      </c>
      <c r="T365" s="15">
        <f>RAND()*$G$12</f>
        <v/>
      </c>
      <c r="U365" s="15">
        <f>S365+T365</f>
        <v/>
      </c>
      <c r="V365" s="15">
        <f>INT((2^$J$12-1)*U365/100)/(2^$J$12-1)*100</f>
        <v/>
      </c>
      <c r="X365" s="15">
        <f>M365 * 1.05</f>
        <v/>
      </c>
      <c r="Y365" s="15">
        <f>M365 * 0.95</f>
        <v/>
      </c>
      <c r="Z365" s="15">
        <f>IF(AND(V365 &lt;= X365, V365 &gt;= Y365), 1, 0)</f>
        <v/>
      </c>
    </row>
    <row r="366">
      <c r="L366" s="15" t="n">
        <v>364</v>
      </c>
      <c r="M366" s="15">
        <f>IF(L366&lt;$D$16,$D$13,IF(L366&lt;$E$16,$E$13,$F$13))</f>
        <v/>
      </c>
      <c r="N366" s="15">
        <f>M366-V366</f>
        <v/>
      </c>
      <c r="O366" s="15">
        <f>IF(MOD(L366,$B$11)=0,OFFSET(O366,-$B$11,0)+ $E$2*N366+$E$3*OFFSET(N366,-$B$11,0)+ $E$4*OFFSET(N366,-2* $B$11,0), O365)</f>
        <v/>
      </c>
      <c r="P366" s="15">
        <f>INT((2^$J$12-1)*O366/100)/(2^$J$12-1)*100</f>
        <v/>
      </c>
      <c r="Q366" s="15" t="n">
        <v>0</v>
      </c>
      <c r="R366" s="15">
        <f>P366+Q366</f>
        <v/>
      </c>
      <c r="S366" s="15">
        <f>$I$1*S365-$I$2*S364+$I$3*R345+$I$4*R344</f>
        <v/>
      </c>
      <c r="T366" s="15">
        <f>RAND()*$G$12</f>
        <v/>
      </c>
      <c r="U366" s="15">
        <f>S366+T366</f>
        <v/>
      </c>
      <c r="V366" s="15">
        <f>INT((2^$J$12-1)*U366/100)/(2^$J$12-1)*100</f>
        <v/>
      </c>
      <c r="X366" s="15">
        <f>M366 * 1.05</f>
        <v/>
      </c>
      <c r="Y366" s="15">
        <f>M366 * 0.95</f>
        <v/>
      </c>
      <c r="Z366" s="15">
        <f>IF(AND(V366 &lt;= X366, V366 &gt;= Y366), 1, 0)</f>
        <v/>
      </c>
    </row>
    <row r="367">
      <c r="L367" s="15" t="n">
        <v>365</v>
      </c>
      <c r="M367" s="15">
        <f>IF(L367&lt;$D$16,$D$13,IF(L367&lt;$E$16,$E$13,$F$13))</f>
        <v/>
      </c>
      <c r="N367" s="15">
        <f>M367-V367</f>
        <v/>
      </c>
      <c r="O367" s="15">
        <f>IF(MOD(L367,$B$11)=0,OFFSET(O367,-$B$11,0)+ $E$2*N367+$E$3*OFFSET(N367,-$B$11,0)+ $E$4*OFFSET(N367,-2* $B$11,0), O366)</f>
        <v/>
      </c>
      <c r="P367" s="15">
        <f>INT((2^$J$12-1)*O367/100)/(2^$J$12-1)*100</f>
        <v/>
      </c>
      <c r="Q367" s="15" t="n">
        <v>0</v>
      </c>
      <c r="R367" s="15">
        <f>P367+Q367</f>
        <v/>
      </c>
      <c r="S367" s="15">
        <f>$I$1*S366-$I$2*S365+$I$3*R346+$I$4*R345</f>
        <v/>
      </c>
      <c r="T367" s="15">
        <f>RAND()*$G$12</f>
        <v/>
      </c>
      <c r="U367" s="15">
        <f>S367+T367</f>
        <v/>
      </c>
      <c r="V367" s="15">
        <f>INT((2^$J$12-1)*U367/100)/(2^$J$12-1)*100</f>
        <v/>
      </c>
      <c r="X367" s="15">
        <f>M367 * 1.05</f>
        <v/>
      </c>
      <c r="Y367" s="15">
        <f>M367 * 0.95</f>
        <v/>
      </c>
      <c r="Z367" s="15">
        <f>IF(AND(V367 &lt;= X367, V367 &gt;= Y367), 1, 0)</f>
        <v/>
      </c>
    </row>
    <row r="368">
      <c r="L368" s="15" t="n">
        <v>366</v>
      </c>
      <c r="M368" s="15">
        <f>IF(L368&lt;$D$16,$D$13,IF(L368&lt;$E$16,$E$13,$F$13))</f>
        <v/>
      </c>
      <c r="N368" s="15">
        <f>M368-V368</f>
        <v/>
      </c>
      <c r="O368" s="15">
        <f>IF(MOD(L368,$B$11)=0,OFFSET(O368,-$B$11,0)+ $E$2*N368+$E$3*OFFSET(N368,-$B$11,0)+ $E$4*OFFSET(N368,-2* $B$11,0), O367)</f>
        <v/>
      </c>
      <c r="P368" s="15">
        <f>INT((2^$J$12-1)*O368/100)/(2^$J$12-1)*100</f>
        <v/>
      </c>
      <c r="Q368" s="15" t="n">
        <v>0</v>
      </c>
      <c r="R368" s="15">
        <f>P368+Q368</f>
        <v/>
      </c>
      <c r="S368" s="15">
        <f>$I$1*S367-$I$2*S366+$I$3*R347+$I$4*R346</f>
        <v/>
      </c>
      <c r="T368" s="15">
        <f>RAND()*$G$12</f>
        <v/>
      </c>
      <c r="U368" s="15">
        <f>S368+T368</f>
        <v/>
      </c>
      <c r="V368" s="15">
        <f>INT((2^$J$12-1)*U368/100)/(2^$J$12-1)*100</f>
        <v/>
      </c>
      <c r="X368" s="15">
        <f>M368 * 1.05</f>
        <v/>
      </c>
      <c r="Y368" s="15">
        <f>M368 * 0.95</f>
        <v/>
      </c>
      <c r="Z368" s="15">
        <f>IF(AND(V368 &lt;= X368, V368 &gt;= Y368), 1, 0)</f>
        <v/>
      </c>
    </row>
    <row r="369">
      <c r="L369" s="15" t="n">
        <v>367</v>
      </c>
      <c r="M369" s="15">
        <f>IF(L369&lt;$D$16,$D$13,IF(L369&lt;$E$16,$E$13,$F$13))</f>
        <v/>
      </c>
      <c r="N369" s="15">
        <f>M369-V369</f>
        <v/>
      </c>
      <c r="O369" s="15">
        <f>IF(MOD(L369,$B$11)=0,OFFSET(O369,-$B$11,0)+ $E$2*N369+$E$3*OFFSET(N369,-$B$11,0)+ $E$4*OFFSET(N369,-2* $B$11,0), O368)</f>
        <v/>
      </c>
      <c r="P369" s="15">
        <f>INT((2^$J$12-1)*O369/100)/(2^$J$12-1)*100</f>
        <v/>
      </c>
      <c r="Q369" s="15" t="n">
        <v>0</v>
      </c>
      <c r="R369" s="15">
        <f>P369+Q369</f>
        <v/>
      </c>
      <c r="S369" s="15">
        <f>$I$1*S368-$I$2*S367+$I$3*R348+$I$4*R347</f>
        <v/>
      </c>
      <c r="T369" s="15">
        <f>RAND()*$G$12</f>
        <v/>
      </c>
      <c r="U369" s="15">
        <f>S369+T369</f>
        <v/>
      </c>
      <c r="V369" s="15">
        <f>INT((2^$J$12-1)*U369/100)/(2^$J$12-1)*100</f>
        <v/>
      </c>
      <c r="X369" s="15">
        <f>M369 * 1.05</f>
        <v/>
      </c>
      <c r="Y369" s="15">
        <f>M369 * 0.95</f>
        <v/>
      </c>
      <c r="Z369" s="15">
        <f>IF(AND(V369 &lt;= X369, V369 &gt;= Y369), 1, 0)</f>
        <v/>
      </c>
    </row>
    <row r="370">
      <c r="L370" s="15" t="n">
        <v>368</v>
      </c>
      <c r="M370" s="15">
        <f>IF(L370&lt;$D$16,$D$13,IF(L370&lt;$E$16,$E$13,$F$13))</f>
        <v/>
      </c>
      <c r="N370" s="15">
        <f>M370-V370</f>
        <v/>
      </c>
      <c r="O370" s="15">
        <f>IF(MOD(L370,$B$11)=0,OFFSET(O370,-$B$11,0)+ $E$2*N370+$E$3*OFFSET(N370,-$B$11,0)+ $E$4*OFFSET(N370,-2* $B$11,0), O369)</f>
        <v/>
      </c>
      <c r="P370" s="15">
        <f>INT((2^$J$12-1)*O370/100)/(2^$J$12-1)*100</f>
        <v/>
      </c>
      <c r="Q370" s="15" t="n">
        <v>0</v>
      </c>
      <c r="R370" s="15">
        <f>P370+Q370</f>
        <v/>
      </c>
      <c r="S370" s="15">
        <f>$I$1*S369-$I$2*S368+$I$3*R349+$I$4*R348</f>
        <v/>
      </c>
      <c r="T370" s="15">
        <f>RAND()*$G$12</f>
        <v/>
      </c>
      <c r="U370" s="15">
        <f>S370+T370</f>
        <v/>
      </c>
      <c r="V370" s="15">
        <f>INT((2^$J$12-1)*U370/100)/(2^$J$12-1)*100</f>
        <v/>
      </c>
      <c r="X370" s="15">
        <f>M370 * 1.05</f>
        <v/>
      </c>
      <c r="Y370" s="15">
        <f>M370 * 0.95</f>
        <v/>
      </c>
      <c r="Z370" s="15">
        <f>IF(AND(V370 &lt;= X370, V370 &gt;= Y370), 1, 0)</f>
        <v/>
      </c>
    </row>
    <row r="371">
      <c r="L371" s="15" t="n">
        <v>369</v>
      </c>
      <c r="M371" s="15">
        <f>IF(L371&lt;$D$16,$D$13,IF(L371&lt;$E$16,$E$13,$F$13))</f>
        <v/>
      </c>
      <c r="N371" s="15">
        <f>M371-V371</f>
        <v/>
      </c>
      <c r="O371" s="15">
        <f>IF(MOD(L371,$B$11)=0,OFFSET(O371,-$B$11,0)+ $E$2*N371+$E$3*OFFSET(N371,-$B$11,0)+ $E$4*OFFSET(N371,-2* $B$11,0), O370)</f>
        <v/>
      </c>
      <c r="P371" s="15">
        <f>INT((2^$J$12-1)*O371/100)/(2^$J$12-1)*100</f>
        <v/>
      </c>
      <c r="Q371" s="15" t="n">
        <v>0</v>
      </c>
      <c r="R371" s="15">
        <f>P371+Q371</f>
        <v/>
      </c>
      <c r="S371" s="15">
        <f>$I$1*S370-$I$2*S369+$I$3*R350+$I$4*R349</f>
        <v/>
      </c>
      <c r="T371" s="15">
        <f>RAND()*$G$12</f>
        <v/>
      </c>
      <c r="U371" s="15">
        <f>S371+T371</f>
        <v/>
      </c>
      <c r="V371" s="15">
        <f>INT((2^$J$12-1)*U371/100)/(2^$J$12-1)*100</f>
        <v/>
      </c>
      <c r="X371" s="15">
        <f>M371 * 1.05</f>
        <v/>
      </c>
      <c r="Y371" s="15">
        <f>M371 * 0.95</f>
        <v/>
      </c>
      <c r="Z371" s="15">
        <f>IF(AND(V371 &lt;= X371, V371 &gt;= Y371), 1, 0)</f>
        <v/>
      </c>
    </row>
    <row r="372">
      <c r="L372" s="15" t="n">
        <v>370</v>
      </c>
      <c r="M372" s="15">
        <f>IF(L372&lt;$D$16,$D$13,IF(L372&lt;$E$16,$E$13,$F$13))</f>
        <v/>
      </c>
      <c r="N372" s="15">
        <f>M372-V372</f>
        <v/>
      </c>
      <c r="O372" s="15">
        <f>IF(MOD(L372,$B$11)=0,OFFSET(O372,-$B$11,0)+ $E$2*N372+$E$3*OFFSET(N372,-$B$11,0)+ $E$4*OFFSET(N372,-2* $B$11,0), O371)</f>
        <v/>
      </c>
      <c r="P372" s="15">
        <f>INT((2^$J$12-1)*O372/100)/(2^$J$12-1)*100</f>
        <v/>
      </c>
      <c r="Q372" s="15" t="n">
        <v>0</v>
      </c>
      <c r="R372" s="15">
        <f>P372+Q372</f>
        <v/>
      </c>
      <c r="S372" s="15">
        <f>$I$1*S371-$I$2*S370+$I$3*R351+$I$4*R350</f>
        <v/>
      </c>
      <c r="T372" s="15">
        <f>RAND()*$G$12</f>
        <v/>
      </c>
      <c r="U372" s="15">
        <f>S372+T372</f>
        <v/>
      </c>
      <c r="V372" s="15">
        <f>INT((2^$J$12-1)*U372/100)/(2^$J$12-1)*100</f>
        <v/>
      </c>
      <c r="X372" s="15">
        <f>M372 * 1.05</f>
        <v/>
      </c>
      <c r="Y372" s="15">
        <f>M372 * 0.95</f>
        <v/>
      </c>
      <c r="Z372" s="15">
        <f>IF(AND(V372 &lt;= X372, V372 &gt;= Y372), 1, 0)</f>
        <v/>
      </c>
    </row>
    <row r="373">
      <c r="L373" s="15" t="n">
        <v>371</v>
      </c>
      <c r="M373" s="15">
        <f>IF(L373&lt;$D$16,$D$13,IF(L373&lt;$E$16,$E$13,$F$13))</f>
        <v/>
      </c>
      <c r="N373" s="15">
        <f>M373-V373</f>
        <v/>
      </c>
      <c r="O373" s="15">
        <f>IF(MOD(L373,$B$11)=0,OFFSET(O373,-$B$11,0)+ $E$2*N373+$E$3*OFFSET(N373,-$B$11,0)+ $E$4*OFFSET(N373,-2* $B$11,0), O372)</f>
        <v/>
      </c>
      <c r="P373" s="15">
        <f>INT((2^$J$12-1)*O373/100)/(2^$J$12-1)*100</f>
        <v/>
      </c>
      <c r="Q373" s="15" t="n">
        <v>0</v>
      </c>
      <c r="R373" s="15">
        <f>P373+Q373</f>
        <v/>
      </c>
      <c r="S373" s="15">
        <f>$I$1*S372-$I$2*S371+$I$3*R352+$I$4*R351</f>
        <v/>
      </c>
      <c r="T373" s="15">
        <f>RAND()*$G$12</f>
        <v/>
      </c>
      <c r="U373" s="15">
        <f>S373+T373</f>
        <v/>
      </c>
      <c r="V373" s="15">
        <f>INT((2^$J$12-1)*U373/100)/(2^$J$12-1)*100</f>
        <v/>
      </c>
      <c r="X373" s="15">
        <f>M373 * 1.05</f>
        <v/>
      </c>
      <c r="Y373" s="15">
        <f>M373 * 0.95</f>
        <v/>
      </c>
      <c r="Z373" s="15">
        <f>IF(AND(V373 &lt;= X373, V373 &gt;= Y373), 1, 0)</f>
        <v/>
      </c>
    </row>
    <row r="374">
      <c r="L374" s="15" t="n">
        <v>372</v>
      </c>
      <c r="M374" s="15">
        <f>IF(L374&lt;$D$16,$D$13,IF(L374&lt;$E$16,$E$13,$F$13))</f>
        <v/>
      </c>
      <c r="N374" s="15">
        <f>M374-V374</f>
        <v/>
      </c>
      <c r="O374" s="15">
        <f>IF(MOD(L374,$B$11)=0,OFFSET(O374,-$B$11,0)+ $E$2*N374+$E$3*OFFSET(N374,-$B$11,0)+ $E$4*OFFSET(N374,-2* $B$11,0), O373)</f>
        <v/>
      </c>
      <c r="P374" s="15">
        <f>INT((2^$J$12-1)*O374/100)/(2^$J$12-1)*100</f>
        <v/>
      </c>
      <c r="Q374" s="15" t="n">
        <v>0</v>
      </c>
      <c r="R374" s="15">
        <f>P374+Q374</f>
        <v/>
      </c>
      <c r="S374" s="15">
        <f>$I$1*S373-$I$2*S372+$I$3*R353+$I$4*R352</f>
        <v/>
      </c>
      <c r="T374" s="15">
        <f>RAND()*$G$12</f>
        <v/>
      </c>
      <c r="U374" s="15">
        <f>S374+T374</f>
        <v/>
      </c>
      <c r="V374" s="15">
        <f>INT((2^$J$12-1)*U374/100)/(2^$J$12-1)*100</f>
        <v/>
      </c>
      <c r="X374" s="15">
        <f>M374 * 1.05</f>
        <v/>
      </c>
      <c r="Y374" s="15">
        <f>M374 * 0.95</f>
        <v/>
      </c>
      <c r="Z374" s="15">
        <f>IF(AND(V374 &lt;= X374, V374 &gt;= Y374), 1, 0)</f>
        <v/>
      </c>
    </row>
    <row r="375">
      <c r="L375" s="15" t="n">
        <v>373</v>
      </c>
      <c r="M375" s="15">
        <f>IF(L375&lt;$D$16,$D$13,IF(L375&lt;$E$16,$E$13,$F$13))</f>
        <v/>
      </c>
      <c r="N375" s="15">
        <f>M375-V375</f>
        <v/>
      </c>
      <c r="O375" s="15">
        <f>IF(MOD(L375,$B$11)=0,OFFSET(O375,-$B$11,0)+ $E$2*N375+$E$3*OFFSET(N375,-$B$11,0)+ $E$4*OFFSET(N375,-2* $B$11,0), O374)</f>
        <v/>
      </c>
      <c r="P375" s="15">
        <f>INT((2^$J$12-1)*O375/100)/(2^$J$12-1)*100</f>
        <v/>
      </c>
      <c r="Q375" s="15" t="n">
        <v>0</v>
      </c>
      <c r="R375" s="15">
        <f>P375+Q375</f>
        <v/>
      </c>
      <c r="S375" s="15">
        <f>$I$1*S374-$I$2*S373+$I$3*R354+$I$4*R353</f>
        <v/>
      </c>
      <c r="T375" s="15">
        <f>RAND()*$G$12</f>
        <v/>
      </c>
      <c r="U375" s="15">
        <f>S375+T375</f>
        <v/>
      </c>
      <c r="V375" s="15">
        <f>INT((2^$J$12-1)*U375/100)/(2^$J$12-1)*100</f>
        <v/>
      </c>
      <c r="X375" s="15">
        <f>M375 * 1.05</f>
        <v/>
      </c>
      <c r="Y375" s="15">
        <f>M375 * 0.95</f>
        <v/>
      </c>
      <c r="Z375" s="15">
        <f>IF(AND(V375 &lt;= X375, V375 &gt;= Y375), 1, 0)</f>
        <v/>
      </c>
    </row>
    <row r="376">
      <c r="L376" s="15" t="n">
        <v>374</v>
      </c>
      <c r="M376" s="15">
        <f>IF(L376&lt;$D$16,$D$13,IF(L376&lt;$E$16,$E$13,$F$13))</f>
        <v/>
      </c>
      <c r="N376" s="15">
        <f>M376-V376</f>
        <v/>
      </c>
      <c r="O376" s="15">
        <f>IF(MOD(L376,$B$11)=0,OFFSET(O376,-$B$11,0)+ $E$2*N376+$E$3*OFFSET(N376,-$B$11,0)+ $E$4*OFFSET(N376,-2* $B$11,0), O375)</f>
        <v/>
      </c>
      <c r="P376" s="15">
        <f>INT((2^$J$12-1)*O376/100)/(2^$J$12-1)*100</f>
        <v/>
      </c>
      <c r="Q376" s="15" t="n">
        <v>0</v>
      </c>
      <c r="R376" s="15">
        <f>P376+Q376</f>
        <v/>
      </c>
      <c r="S376" s="15">
        <f>$I$1*S375-$I$2*S374+$I$3*R355+$I$4*R354</f>
        <v/>
      </c>
      <c r="T376" s="15">
        <f>RAND()*$G$12</f>
        <v/>
      </c>
      <c r="U376" s="15">
        <f>S376+T376</f>
        <v/>
      </c>
      <c r="V376" s="15">
        <f>INT((2^$J$12-1)*U376/100)/(2^$J$12-1)*100</f>
        <v/>
      </c>
      <c r="X376" s="15">
        <f>M376 * 1.05</f>
        <v/>
      </c>
      <c r="Y376" s="15">
        <f>M376 * 0.95</f>
        <v/>
      </c>
      <c r="Z376" s="15">
        <f>IF(AND(V376 &lt;= X376, V376 &gt;= Y376), 1, 0)</f>
        <v/>
      </c>
    </row>
    <row r="377">
      <c r="L377" s="15" t="n">
        <v>375</v>
      </c>
      <c r="M377" s="15">
        <f>IF(L377&lt;$D$16,$D$13,IF(L377&lt;$E$16,$E$13,$F$13))</f>
        <v/>
      </c>
      <c r="N377" s="15">
        <f>M377-V377</f>
        <v/>
      </c>
      <c r="O377" s="15">
        <f>IF(MOD(L377,$B$11)=0,OFFSET(O377,-$B$11,0)+ $E$2*N377+$E$3*OFFSET(N377,-$B$11,0)+ $E$4*OFFSET(N377,-2* $B$11,0), O376)</f>
        <v/>
      </c>
      <c r="P377" s="15">
        <f>INT((2^$J$12-1)*O377/100)/(2^$J$12-1)*100</f>
        <v/>
      </c>
      <c r="Q377" s="15" t="n">
        <v>0</v>
      </c>
      <c r="R377" s="15">
        <f>P377+Q377</f>
        <v/>
      </c>
      <c r="S377" s="15">
        <f>$I$1*S376-$I$2*S375+$I$3*R356+$I$4*R355</f>
        <v/>
      </c>
      <c r="T377" s="15">
        <f>RAND()*$G$12</f>
        <v/>
      </c>
      <c r="U377" s="15">
        <f>S377+T377</f>
        <v/>
      </c>
      <c r="V377" s="15">
        <f>INT((2^$J$12-1)*U377/100)/(2^$J$12-1)*100</f>
        <v/>
      </c>
      <c r="X377" s="15">
        <f>M377 * 1.05</f>
        <v/>
      </c>
      <c r="Y377" s="15">
        <f>M377 * 0.95</f>
        <v/>
      </c>
      <c r="Z377" s="15">
        <f>IF(AND(V377 &lt;= X377, V377 &gt;= Y377), 1, 0)</f>
        <v/>
      </c>
    </row>
    <row r="378">
      <c r="L378" s="15" t="n">
        <v>376</v>
      </c>
      <c r="M378" s="15">
        <f>IF(L378&lt;$D$16,$D$13,IF(L378&lt;$E$16,$E$13,$F$13))</f>
        <v/>
      </c>
      <c r="N378" s="15">
        <f>M378-V378</f>
        <v/>
      </c>
      <c r="O378" s="15">
        <f>IF(MOD(L378,$B$11)=0,OFFSET(O378,-$B$11,0)+ $E$2*N378+$E$3*OFFSET(N378,-$B$11,0)+ $E$4*OFFSET(N378,-2* $B$11,0), O377)</f>
        <v/>
      </c>
      <c r="P378" s="15">
        <f>INT((2^$J$12-1)*O378/100)/(2^$J$12-1)*100</f>
        <v/>
      </c>
      <c r="Q378" s="15" t="n">
        <v>0</v>
      </c>
      <c r="R378" s="15">
        <f>P378+Q378</f>
        <v/>
      </c>
      <c r="S378" s="15">
        <f>$I$1*S377-$I$2*S376+$I$3*R357+$I$4*R356</f>
        <v/>
      </c>
      <c r="T378" s="15">
        <f>RAND()*$G$12</f>
        <v/>
      </c>
      <c r="U378" s="15">
        <f>S378+T378</f>
        <v/>
      </c>
      <c r="V378" s="15">
        <f>INT((2^$J$12-1)*U378/100)/(2^$J$12-1)*100</f>
        <v/>
      </c>
      <c r="X378" s="15">
        <f>M378 * 1.05</f>
        <v/>
      </c>
      <c r="Y378" s="15">
        <f>M378 * 0.95</f>
        <v/>
      </c>
      <c r="Z378" s="15">
        <f>IF(AND(V378 &lt;= X378, V378 &gt;= Y378), 1, 0)</f>
        <v/>
      </c>
    </row>
    <row r="379">
      <c r="L379" s="15" t="n">
        <v>377</v>
      </c>
      <c r="M379" s="15">
        <f>IF(L379&lt;$D$16,$D$13,IF(L379&lt;$E$16,$E$13,$F$13))</f>
        <v/>
      </c>
      <c r="N379" s="15">
        <f>M379-V379</f>
        <v/>
      </c>
      <c r="O379" s="15">
        <f>IF(MOD(L379,$B$11)=0,OFFSET(O379,-$B$11,0)+ $E$2*N379+$E$3*OFFSET(N379,-$B$11,0)+ $E$4*OFFSET(N379,-2* $B$11,0), O378)</f>
        <v/>
      </c>
      <c r="P379" s="15">
        <f>INT((2^$J$12-1)*O379/100)/(2^$J$12-1)*100</f>
        <v/>
      </c>
      <c r="Q379" s="15" t="n">
        <v>0</v>
      </c>
      <c r="R379" s="15">
        <f>P379+Q379</f>
        <v/>
      </c>
      <c r="S379" s="15">
        <f>$I$1*S378-$I$2*S377+$I$3*R358+$I$4*R357</f>
        <v/>
      </c>
      <c r="T379" s="15">
        <f>RAND()*$G$12</f>
        <v/>
      </c>
      <c r="U379" s="15">
        <f>S379+T379</f>
        <v/>
      </c>
      <c r="V379" s="15">
        <f>INT((2^$J$12-1)*U379/100)/(2^$J$12-1)*100</f>
        <v/>
      </c>
      <c r="X379" s="15">
        <f>M379 * 1.05</f>
        <v/>
      </c>
      <c r="Y379" s="15">
        <f>M379 * 0.95</f>
        <v/>
      </c>
      <c r="Z379" s="15">
        <f>IF(AND(V379 &lt;= X379, V379 &gt;= Y379), 1, 0)</f>
        <v/>
      </c>
    </row>
    <row r="380">
      <c r="L380" s="15" t="n">
        <v>378</v>
      </c>
      <c r="M380" s="15">
        <f>IF(L380&lt;$D$16,$D$13,IF(L380&lt;$E$16,$E$13,$F$13))</f>
        <v/>
      </c>
      <c r="N380" s="15">
        <f>M380-V380</f>
        <v/>
      </c>
      <c r="O380" s="15">
        <f>IF(MOD(L380,$B$11)=0,OFFSET(O380,-$B$11,0)+ $E$2*N380+$E$3*OFFSET(N380,-$B$11,0)+ $E$4*OFFSET(N380,-2* $B$11,0), O379)</f>
        <v/>
      </c>
      <c r="P380" s="15">
        <f>INT((2^$J$12-1)*O380/100)/(2^$J$12-1)*100</f>
        <v/>
      </c>
      <c r="Q380" s="15" t="n">
        <v>0</v>
      </c>
      <c r="R380" s="15">
        <f>P380+Q380</f>
        <v/>
      </c>
      <c r="S380" s="15">
        <f>$I$1*S379-$I$2*S378+$I$3*R359+$I$4*R358</f>
        <v/>
      </c>
      <c r="T380" s="15">
        <f>RAND()*$G$12</f>
        <v/>
      </c>
      <c r="U380" s="15">
        <f>S380+T380</f>
        <v/>
      </c>
      <c r="V380" s="15">
        <f>INT((2^$J$12-1)*U380/100)/(2^$J$12-1)*100</f>
        <v/>
      </c>
      <c r="X380" s="15">
        <f>M380 * 1.05</f>
        <v/>
      </c>
      <c r="Y380" s="15">
        <f>M380 * 0.95</f>
        <v/>
      </c>
      <c r="Z380" s="15">
        <f>IF(AND(V380 &lt;= X380, V380 &gt;= Y380), 1, 0)</f>
        <v/>
      </c>
    </row>
    <row r="381">
      <c r="L381" s="15" t="n">
        <v>379</v>
      </c>
      <c r="M381" s="15">
        <f>IF(L381&lt;$D$16,$D$13,IF(L381&lt;$E$16,$E$13,$F$13))</f>
        <v/>
      </c>
      <c r="N381" s="15">
        <f>M381-V381</f>
        <v/>
      </c>
      <c r="O381" s="15">
        <f>IF(MOD(L381,$B$11)=0,OFFSET(O381,-$B$11,0)+ $E$2*N381+$E$3*OFFSET(N381,-$B$11,0)+ $E$4*OFFSET(N381,-2* $B$11,0), O380)</f>
        <v/>
      </c>
      <c r="P381" s="15">
        <f>INT((2^$J$12-1)*O381/100)/(2^$J$12-1)*100</f>
        <v/>
      </c>
      <c r="Q381" s="15" t="n">
        <v>0</v>
      </c>
      <c r="R381" s="15">
        <f>P381+Q381</f>
        <v/>
      </c>
      <c r="S381" s="15">
        <f>$I$1*S380-$I$2*S379+$I$3*R360+$I$4*R359</f>
        <v/>
      </c>
      <c r="T381" s="15">
        <f>RAND()*$G$12</f>
        <v/>
      </c>
      <c r="U381" s="15">
        <f>S381+T381</f>
        <v/>
      </c>
      <c r="V381" s="15">
        <f>INT((2^$J$12-1)*U381/100)/(2^$J$12-1)*100</f>
        <v/>
      </c>
      <c r="X381" s="15">
        <f>M381 * 1.05</f>
        <v/>
      </c>
      <c r="Y381" s="15">
        <f>M381 * 0.95</f>
        <v/>
      </c>
      <c r="Z381" s="15">
        <f>IF(AND(V381 &lt;= X381, V381 &gt;= Y381), 1, 0)</f>
        <v/>
      </c>
    </row>
    <row r="382">
      <c r="L382" s="15" t="n">
        <v>380</v>
      </c>
      <c r="M382" s="15">
        <f>IF(L382&lt;$D$16,$D$13,IF(L382&lt;$E$16,$E$13,$F$13))</f>
        <v/>
      </c>
      <c r="N382" s="15">
        <f>M382-V382</f>
        <v/>
      </c>
      <c r="O382" s="15">
        <f>IF(MOD(L382,$B$11)=0,OFFSET(O382,-$B$11,0)+ $E$2*N382+$E$3*OFFSET(N382,-$B$11,0)+ $E$4*OFFSET(N382,-2* $B$11,0), O381)</f>
        <v/>
      </c>
      <c r="P382" s="15">
        <f>INT((2^$J$12-1)*O382/100)/(2^$J$12-1)*100</f>
        <v/>
      </c>
      <c r="Q382" s="15" t="n">
        <v>0</v>
      </c>
      <c r="R382" s="15">
        <f>P382+Q382</f>
        <v/>
      </c>
      <c r="S382" s="15">
        <f>$I$1*S381-$I$2*S380+$I$3*R361+$I$4*R360</f>
        <v/>
      </c>
      <c r="T382" s="15">
        <f>RAND()*$G$12</f>
        <v/>
      </c>
      <c r="U382" s="15">
        <f>S382+T382</f>
        <v/>
      </c>
      <c r="V382" s="15">
        <f>INT((2^$J$12-1)*U382/100)/(2^$J$12-1)*100</f>
        <v/>
      </c>
      <c r="X382" s="15">
        <f>M382 * 1.05</f>
        <v/>
      </c>
      <c r="Y382" s="15">
        <f>M382 * 0.95</f>
        <v/>
      </c>
      <c r="Z382" s="15">
        <f>IF(AND(V382 &lt;= X382, V382 &gt;= Y382), 1, 0)</f>
        <v/>
      </c>
    </row>
    <row r="383">
      <c r="L383" s="15" t="n">
        <v>381</v>
      </c>
      <c r="M383" s="15">
        <f>IF(L383&lt;$D$16,$D$13,IF(L383&lt;$E$16,$E$13,$F$13))</f>
        <v/>
      </c>
      <c r="N383" s="15">
        <f>M383-V383</f>
        <v/>
      </c>
      <c r="O383" s="15">
        <f>IF(MOD(L383,$B$11)=0,OFFSET(O383,-$B$11,0)+ $E$2*N383+$E$3*OFFSET(N383,-$B$11,0)+ $E$4*OFFSET(N383,-2* $B$11,0), O382)</f>
        <v/>
      </c>
      <c r="P383" s="15">
        <f>INT((2^$J$12-1)*O383/100)/(2^$J$12-1)*100</f>
        <v/>
      </c>
      <c r="Q383" s="15" t="n">
        <v>0</v>
      </c>
      <c r="R383" s="15">
        <f>P383+Q383</f>
        <v/>
      </c>
      <c r="S383" s="15">
        <f>$I$1*S382-$I$2*S381+$I$3*R362+$I$4*R361</f>
        <v/>
      </c>
      <c r="T383" s="15">
        <f>RAND()*$G$12</f>
        <v/>
      </c>
      <c r="U383" s="15">
        <f>S383+T383</f>
        <v/>
      </c>
      <c r="V383" s="15">
        <f>INT((2^$J$12-1)*U383/100)/(2^$J$12-1)*100</f>
        <v/>
      </c>
      <c r="X383" s="15">
        <f>M383 * 1.05</f>
        <v/>
      </c>
      <c r="Y383" s="15">
        <f>M383 * 0.95</f>
        <v/>
      </c>
      <c r="Z383" s="15">
        <f>IF(AND(V383 &lt;= X383, V383 &gt;= Y383), 1, 0)</f>
        <v/>
      </c>
    </row>
    <row r="384">
      <c r="L384" s="15" t="n">
        <v>382</v>
      </c>
      <c r="M384" s="15">
        <f>IF(L384&lt;$D$16,$D$13,IF(L384&lt;$E$16,$E$13,$F$13))</f>
        <v/>
      </c>
      <c r="N384" s="15">
        <f>M384-V384</f>
        <v/>
      </c>
      <c r="O384" s="15">
        <f>IF(MOD(L384,$B$11)=0,OFFSET(O384,-$B$11,0)+ $E$2*N384+$E$3*OFFSET(N384,-$B$11,0)+ $E$4*OFFSET(N384,-2* $B$11,0), O383)</f>
        <v/>
      </c>
      <c r="P384" s="15">
        <f>INT((2^$J$12-1)*O384/100)/(2^$J$12-1)*100</f>
        <v/>
      </c>
      <c r="Q384" s="15" t="n">
        <v>0</v>
      </c>
      <c r="R384" s="15">
        <f>P384+Q384</f>
        <v/>
      </c>
      <c r="S384" s="15">
        <f>$I$1*S383-$I$2*S382+$I$3*R363+$I$4*R362</f>
        <v/>
      </c>
      <c r="T384" s="15">
        <f>RAND()*$G$12</f>
        <v/>
      </c>
      <c r="U384" s="15">
        <f>S384+T384</f>
        <v/>
      </c>
      <c r="V384" s="15">
        <f>INT((2^$J$12-1)*U384/100)/(2^$J$12-1)*100</f>
        <v/>
      </c>
      <c r="X384" s="15">
        <f>M384 * 1.05</f>
        <v/>
      </c>
      <c r="Y384" s="15">
        <f>M384 * 0.95</f>
        <v/>
      </c>
      <c r="Z384" s="15">
        <f>IF(AND(V384 &lt;= X384, V384 &gt;= Y384), 1, 0)</f>
        <v/>
      </c>
    </row>
    <row r="385">
      <c r="L385" s="15" t="n">
        <v>383</v>
      </c>
      <c r="M385" s="15">
        <f>IF(L385&lt;$D$16,$D$13,IF(L385&lt;$E$16,$E$13,$F$13))</f>
        <v/>
      </c>
      <c r="N385" s="15">
        <f>M385-V385</f>
        <v/>
      </c>
      <c r="O385" s="15">
        <f>IF(MOD(L385,$B$11)=0,OFFSET(O385,-$B$11,0)+ $E$2*N385+$E$3*OFFSET(N385,-$B$11,0)+ $E$4*OFFSET(N385,-2* $B$11,0), O384)</f>
        <v/>
      </c>
      <c r="P385" s="15">
        <f>INT((2^$J$12-1)*O385/100)/(2^$J$12-1)*100</f>
        <v/>
      </c>
      <c r="Q385" s="15" t="n">
        <v>0</v>
      </c>
      <c r="R385" s="15">
        <f>P385+Q385</f>
        <v/>
      </c>
      <c r="S385" s="15">
        <f>$I$1*S384-$I$2*S383+$I$3*R364+$I$4*R363</f>
        <v/>
      </c>
      <c r="T385" s="15">
        <f>RAND()*$G$12</f>
        <v/>
      </c>
      <c r="U385" s="15">
        <f>S385+T385</f>
        <v/>
      </c>
      <c r="V385" s="15">
        <f>INT((2^$J$12-1)*U385/100)/(2^$J$12-1)*100</f>
        <v/>
      </c>
      <c r="X385" s="15">
        <f>M385 * 1.05</f>
        <v/>
      </c>
      <c r="Y385" s="15">
        <f>M385 * 0.95</f>
        <v/>
      </c>
      <c r="Z385" s="15">
        <f>IF(AND(V385 &lt;= X385, V385 &gt;= Y385), 1, 0)</f>
        <v/>
      </c>
    </row>
    <row r="386">
      <c r="L386" s="15" t="n">
        <v>384</v>
      </c>
      <c r="M386" s="15">
        <f>IF(L386&lt;$D$16,$D$13,IF(L386&lt;$E$16,$E$13,$F$13))</f>
        <v/>
      </c>
      <c r="N386" s="15">
        <f>M386-V386</f>
        <v/>
      </c>
      <c r="O386" s="15">
        <f>IF(MOD(L386,$B$11)=0,OFFSET(O386,-$B$11,0)+ $E$2*N386+$E$3*OFFSET(N386,-$B$11,0)+ $E$4*OFFSET(N386,-2* $B$11,0), O385)</f>
        <v/>
      </c>
      <c r="P386" s="15">
        <f>INT((2^$J$12-1)*O386/100)/(2^$J$12-1)*100</f>
        <v/>
      </c>
      <c r="Q386" s="15" t="n">
        <v>0</v>
      </c>
      <c r="R386" s="15">
        <f>P386+Q386</f>
        <v/>
      </c>
      <c r="S386" s="15">
        <f>$I$1*S385-$I$2*S384+$I$3*R365+$I$4*R364</f>
        <v/>
      </c>
      <c r="T386" s="15">
        <f>RAND()*$G$12</f>
        <v/>
      </c>
      <c r="U386" s="15">
        <f>S386+T386</f>
        <v/>
      </c>
      <c r="V386" s="15">
        <f>INT((2^$J$12-1)*U386/100)/(2^$J$12-1)*100</f>
        <v/>
      </c>
      <c r="X386" s="15">
        <f>M386 * 1.05</f>
        <v/>
      </c>
      <c r="Y386" s="15">
        <f>M386 * 0.95</f>
        <v/>
      </c>
      <c r="Z386" s="15">
        <f>IF(AND(V386 &lt;= X386, V386 &gt;= Y386), 1, 0)</f>
        <v/>
      </c>
    </row>
    <row r="387">
      <c r="L387" s="15" t="n">
        <v>385</v>
      </c>
      <c r="M387" s="15">
        <f>IF(L387&lt;$D$16,$D$13,IF(L387&lt;$E$16,$E$13,$F$13))</f>
        <v/>
      </c>
      <c r="N387" s="15">
        <f>M387-V387</f>
        <v/>
      </c>
      <c r="O387" s="15">
        <f>IF(MOD(L387,$B$11)=0,OFFSET(O387,-$B$11,0)+ $E$2*N387+$E$3*OFFSET(N387,-$B$11,0)+ $E$4*OFFSET(N387,-2* $B$11,0), O386)</f>
        <v/>
      </c>
      <c r="P387" s="15">
        <f>INT((2^$J$12-1)*O387/100)/(2^$J$12-1)*100</f>
        <v/>
      </c>
      <c r="Q387" s="15" t="n">
        <v>0</v>
      </c>
      <c r="R387" s="15">
        <f>P387+Q387</f>
        <v/>
      </c>
      <c r="S387" s="15">
        <f>$I$1*S386-$I$2*S385+$I$3*R366+$I$4*R365</f>
        <v/>
      </c>
      <c r="T387" s="15">
        <f>RAND()*$G$12</f>
        <v/>
      </c>
      <c r="U387" s="15">
        <f>S387+T387</f>
        <v/>
      </c>
      <c r="V387" s="15">
        <f>INT((2^$J$12-1)*U387/100)/(2^$J$12-1)*100</f>
        <v/>
      </c>
      <c r="X387" s="15">
        <f>M387 * 1.05</f>
        <v/>
      </c>
      <c r="Y387" s="15">
        <f>M387 * 0.95</f>
        <v/>
      </c>
      <c r="Z387" s="15">
        <f>IF(AND(V387 &lt;= X387, V387 &gt;= Y387), 1, 0)</f>
        <v/>
      </c>
    </row>
    <row r="388">
      <c r="L388" s="15" t="n">
        <v>386</v>
      </c>
      <c r="M388" s="15">
        <f>IF(L388&lt;$D$16,$D$13,IF(L388&lt;$E$16,$E$13,$F$13))</f>
        <v/>
      </c>
      <c r="N388" s="15">
        <f>M388-V388</f>
        <v/>
      </c>
      <c r="O388" s="15">
        <f>IF(MOD(L388,$B$11)=0,OFFSET(O388,-$B$11,0)+ $E$2*N388+$E$3*OFFSET(N388,-$B$11,0)+ $E$4*OFFSET(N388,-2* $B$11,0), O387)</f>
        <v/>
      </c>
      <c r="P388" s="15">
        <f>INT((2^$J$12-1)*O388/100)/(2^$J$12-1)*100</f>
        <v/>
      </c>
      <c r="Q388" s="15" t="n">
        <v>0</v>
      </c>
      <c r="R388" s="15">
        <f>P388+Q388</f>
        <v/>
      </c>
      <c r="S388" s="15">
        <f>$I$1*S387-$I$2*S386+$I$3*R367+$I$4*R366</f>
        <v/>
      </c>
      <c r="T388" s="15">
        <f>RAND()*$G$12</f>
        <v/>
      </c>
      <c r="U388" s="15">
        <f>S388+T388</f>
        <v/>
      </c>
      <c r="V388" s="15">
        <f>INT((2^$J$12-1)*U388/100)/(2^$J$12-1)*100</f>
        <v/>
      </c>
      <c r="X388" s="15">
        <f>M388 * 1.05</f>
        <v/>
      </c>
      <c r="Y388" s="15">
        <f>M388 * 0.95</f>
        <v/>
      </c>
      <c r="Z388" s="15">
        <f>IF(AND(V388 &lt;= X388, V388 &gt;= Y388), 1, 0)</f>
        <v/>
      </c>
    </row>
    <row r="389">
      <c r="L389" s="15" t="n">
        <v>387</v>
      </c>
      <c r="M389" s="15">
        <f>IF(L389&lt;$D$16,$D$13,IF(L389&lt;$E$16,$E$13,$F$13))</f>
        <v/>
      </c>
      <c r="N389" s="15">
        <f>M389-V389</f>
        <v/>
      </c>
      <c r="O389" s="15">
        <f>IF(MOD(L389,$B$11)=0,OFFSET(O389,-$B$11,0)+ $E$2*N389+$E$3*OFFSET(N389,-$B$11,0)+ $E$4*OFFSET(N389,-2* $B$11,0), O388)</f>
        <v/>
      </c>
      <c r="P389" s="15">
        <f>INT((2^$J$12-1)*O389/100)/(2^$J$12-1)*100</f>
        <v/>
      </c>
      <c r="Q389" s="15" t="n">
        <v>0</v>
      </c>
      <c r="R389" s="15">
        <f>P389+Q389</f>
        <v/>
      </c>
      <c r="S389" s="15">
        <f>$I$1*S388-$I$2*S387+$I$3*R368+$I$4*R367</f>
        <v/>
      </c>
      <c r="T389" s="15">
        <f>RAND()*$G$12</f>
        <v/>
      </c>
      <c r="U389" s="15">
        <f>S389+T389</f>
        <v/>
      </c>
      <c r="V389" s="15">
        <f>INT((2^$J$12-1)*U389/100)/(2^$J$12-1)*100</f>
        <v/>
      </c>
      <c r="X389" s="15">
        <f>M389 * 1.05</f>
        <v/>
      </c>
      <c r="Y389" s="15">
        <f>M389 * 0.95</f>
        <v/>
      </c>
      <c r="Z389" s="15">
        <f>IF(AND(V389 &lt;= X389, V389 &gt;= Y389), 1, 0)</f>
        <v/>
      </c>
    </row>
    <row r="390">
      <c r="L390" s="15" t="n">
        <v>388</v>
      </c>
      <c r="M390" s="15">
        <f>IF(L390&lt;$D$16,$D$13,IF(L390&lt;$E$16,$E$13,$F$13))</f>
        <v/>
      </c>
      <c r="N390" s="15">
        <f>M390-V390</f>
        <v/>
      </c>
      <c r="O390" s="15">
        <f>IF(MOD(L390,$B$11)=0,OFFSET(O390,-$B$11,0)+ $E$2*N390+$E$3*OFFSET(N390,-$B$11,0)+ $E$4*OFFSET(N390,-2* $B$11,0), O389)</f>
        <v/>
      </c>
      <c r="P390" s="15">
        <f>INT((2^$J$12-1)*O390/100)/(2^$J$12-1)*100</f>
        <v/>
      </c>
      <c r="Q390" s="15" t="n">
        <v>0</v>
      </c>
      <c r="R390" s="15">
        <f>P390+Q390</f>
        <v/>
      </c>
      <c r="S390" s="15">
        <f>$I$1*S389-$I$2*S388+$I$3*R369+$I$4*R368</f>
        <v/>
      </c>
      <c r="T390" s="15">
        <f>RAND()*$G$12</f>
        <v/>
      </c>
      <c r="U390" s="15">
        <f>S390+T390</f>
        <v/>
      </c>
      <c r="V390" s="15">
        <f>INT((2^$J$12-1)*U390/100)/(2^$J$12-1)*100</f>
        <v/>
      </c>
      <c r="X390" s="15">
        <f>M390 * 1.05</f>
        <v/>
      </c>
      <c r="Y390" s="15">
        <f>M390 * 0.95</f>
        <v/>
      </c>
      <c r="Z390" s="15">
        <f>IF(AND(V390 &lt;= X390, V390 &gt;= Y390), 1, 0)</f>
        <v/>
      </c>
    </row>
    <row r="391">
      <c r="L391" s="15" t="n">
        <v>389</v>
      </c>
      <c r="M391" s="15">
        <f>IF(L391&lt;$D$16,$D$13,IF(L391&lt;$E$16,$E$13,$F$13))</f>
        <v/>
      </c>
      <c r="N391" s="15">
        <f>M391-V391</f>
        <v/>
      </c>
      <c r="O391" s="15">
        <f>IF(MOD(L391,$B$11)=0,OFFSET(O391,-$B$11,0)+ $E$2*N391+$E$3*OFFSET(N391,-$B$11,0)+ $E$4*OFFSET(N391,-2* $B$11,0), O390)</f>
        <v/>
      </c>
      <c r="P391" s="15">
        <f>INT((2^$J$12-1)*O391/100)/(2^$J$12-1)*100</f>
        <v/>
      </c>
      <c r="Q391" s="15" t="n">
        <v>0</v>
      </c>
      <c r="R391" s="15">
        <f>P391+Q391</f>
        <v/>
      </c>
      <c r="S391" s="15">
        <f>$I$1*S390-$I$2*S389+$I$3*R370+$I$4*R369</f>
        <v/>
      </c>
      <c r="T391" s="15">
        <f>RAND()*$G$12</f>
        <v/>
      </c>
      <c r="U391" s="15">
        <f>S391+T391</f>
        <v/>
      </c>
      <c r="V391" s="15">
        <f>INT((2^$J$12-1)*U391/100)/(2^$J$12-1)*100</f>
        <v/>
      </c>
      <c r="X391" s="15">
        <f>M391 * 1.05</f>
        <v/>
      </c>
      <c r="Y391" s="15">
        <f>M391 * 0.95</f>
        <v/>
      </c>
      <c r="Z391" s="15">
        <f>IF(AND(V391 &lt;= X391, V391 &gt;= Y391), 1, 0)</f>
        <v/>
      </c>
    </row>
    <row r="392">
      <c r="L392" s="15" t="n">
        <v>390</v>
      </c>
      <c r="M392" s="15">
        <f>IF(L392&lt;$D$16,$D$13,IF(L392&lt;$E$16,$E$13,$F$13))</f>
        <v/>
      </c>
      <c r="N392" s="15">
        <f>M392-V392</f>
        <v/>
      </c>
      <c r="O392" s="15">
        <f>IF(MOD(L392,$B$11)=0,OFFSET(O392,-$B$11,0)+ $E$2*N392+$E$3*OFFSET(N392,-$B$11,0)+ $E$4*OFFSET(N392,-2* $B$11,0), O391)</f>
        <v/>
      </c>
      <c r="P392" s="15">
        <f>INT((2^$J$12-1)*O392/100)/(2^$J$12-1)*100</f>
        <v/>
      </c>
      <c r="Q392" s="15" t="n">
        <v>0</v>
      </c>
      <c r="R392" s="15">
        <f>P392+Q392</f>
        <v/>
      </c>
      <c r="S392" s="15">
        <f>$I$1*S391-$I$2*S390+$I$3*R371+$I$4*R370</f>
        <v/>
      </c>
      <c r="T392" s="15">
        <f>RAND()*$G$12</f>
        <v/>
      </c>
      <c r="U392" s="15">
        <f>S392+T392</f>
        <v/>
      </c>
      <c r="V392" s="15">
        <f>INT((2^$J$12-1)*U392/100)/(2^$J$12-1)*100</f>
        <v/>
      </c>
      <c r="X392" s="15">
        <f>M392 * 1.05</f>
        <v/>
      </c>
      <c r="Y392" s="15">
        <f>M392 * 0.95</f>
        <v/>
      </c>
      <c r="Z392" s="15">
        <f>IF(AND(V392 &lt;= X392, V392 &gt;= Y392), 1, 0)</f>
        <v/>
      </c>
    </row>
    <row r="393">
      <c r="L393" s="15" t="n">
        <v>391</v>
      </c>
      <c r="M393" s="15">
        <f>IF(L393&lt;$D$16,$D$13,IF(L393&lt;$E$16,$E$13,$F$13))</f>
        <v/>
      </c>
      <c r="N393" s="15">
        <f>M393-V393</f>
        <v/>
      </c>
      <c r="O393" s="15">
        <f>IF(MOD(L393,$B$11)=0,OFFSET(O393,-$B$11,0)+ $E$2*N393+$E$3*OFFSET(N393,-$B$11,0)+ $E$4*OFFSET(N393,-2* $B$11,0), O392)</f>
        <v/>
      </c>
      <c r="P393" s="15">
        <f>INT((2^$J$12-1)*O393/100)/(2^$J$12-1)*100</f>
        <v/>
      </c>
      <c r="Q393" s="15" t="n">
        <v>0</v>
      </c>
      <c r="R393" s="15">
        <f>P393+Q393</f>
        <v/>
      </c>
      <c r="S393" s="15">
        <f>$I$1*S392-$I$2*S391+$I$3*R372+$I$4*R371</f>
        <v/>
      </c>
      <c r="T393" s="15">
        <f>RAND()*$G$12</f>
        <v/>
      </c>
      <c r="U393" s="15">
        <f>S393+T393</f>
        <v/>
      </c>
      <c r="V393" s="15">
        <f>INT((2^$J$12-1)*U393/100)/(2^$J$12-1)*100</f>
        <v/>
      </c>
      <c r="X393" s="15">
        <f>M393 * 1.05</f>
        <v/>
      </c>
      <c r="Y393" s="15">
        <f>M393 * 0.95</f>
        <v/>
      </c>
      <c r="Z393" s="15">
        <f>IF(AND(V393 &lt;= X393, V393 &gt;= Y393), 1, 0)</f>
        <v/>
      </c>
    </row>
    <row r="394">
      <c r="L394" s="15" t="n">
        <v>392</v>
      </c>
      <c r="M394" s="15">
        <f>IF(L394&lt;$D$16,$D$13,IF(L394&lt;$E$16,$E$13,$F$13))</f>
        <v/>
      </c>
      <c r="N394" s="15">
        <f>M394-V394</f>
        <v/>
      </c>
      <c r="O394" s="15">
        <f>IF(MOD(L394,$B$11)=0,OFFSET(O394,-$B$11,0)+ $E$2*N394+$E$3*OFFSET(N394,-$B$11,0)+ $E$4*OFFSET(N394,-2* $B$11,0), O393)</f>
        <v/>
      </c>
      <c r="P394" s="15">
        <f>INT((2^$J$12-1)*O394/100)/(2^$J$12-1)*100</f>
        <v/>
      </c>
      <c r="Q394" s="15" t="n">
        <v>0</v>
      </c>
      <c r="R394" s="15">
        <f>P394+Q394</f>
        <v/>
      </c>
      <c r="S394" s="15">
        <f>$I$1*S393-$I$2*S392+$I$3*R373+$I$4*R372</f>
        <v/>
      </c>
      <c r="T394" s="15">
        <f>RAND()*$G$12</f>
        <v/>
      </c>
      <c r="U394" s="15">
        <f>S394+T394</f>
        <v/>
      </c>
      <c r="V394" s="15">
        <f>INT((2^$J$12-1)*U394/100)/(2^$J$12-1)*100</f>
        <v/>
      </c>
      <c r="X394" s="15">
        <f>M394 * 1.05</f>
        <v/>
      </c>
      <c r="Y394" s="15">
        <f>M394 * 0.95</f>
        <v/>
      </c>
      <c r="Z394" s="15">
        <f>IF(AND(V394 &lt;= X394, V394 &gt;= Y394), 1, 0)</f>
        <v/>
      </c>
    </row>
    <row r="395">
      <c r="L395" s="15" t="n">
        <v>393</v>
      </c>
      <c r="M395" s="15">
        <f>IF(L395&lt;$D$16,$D$13,IF(L395&lt;$E$16,$E$13,$F$13))</f>
        <v/>
      </c>
      <c r="N395" s="15">
        <f>M395-V395</f>
        <v/>
      </c>
      <c r="O395" s="15">
        <f>IF(MOD(L395,$B$11)=0,OFFSET(O395,-$B$11,0)+ $E$2*N395+$E$3*OFFSET(N395,-$B$11,0)+ $E$4*OFFSET(N395,-2* $B$11,0), O394)</f>
        <v/>
      </c>
      <c r="P395" s="15">
        <f>INT((2^$J$12-1)*O395/100)/(2^$J$12-1)*100</f>
        <v/>
      </c>
      <c r="Q395" s="15" t="n">
        <v>0</v>
      </c>
      <c r="R395" s="15">
        <f>P395+Q395</f>
        <v/>
      </c>
      <c r="S395" s="15">
        <f>$I$1*S394-$I$2*S393+$I$3*R374+$I$4*R373</f>
        <v/>
      </c>
      <c r="T395" s="15">
        <f>RAND()*$G$12</f>
        <v/>
      </c>
      <c r="U395" s="15">
        <f>S395+T395</f>
        <v/>
      </c>
      <c r="V395" s="15">
        <f>INT((2^$J$12-1)*U395/100)/(2^$J$12-1)*100</f>
        <v/>
      </c>
      <c r="X395" s="15">
        <f>M395 * 1.05</f>
        <v/>
      </c>
      <c r="Y395" s="15">
        <f>M395 * 0.95</f>
        <v/>
      </c>
      <c r="Z395" s="15">
        <f>IF(AND(V395 &lt;= X395, V395 &gt;= Y395), 1, 0)</f>
        <v/>
      </c>
    </row>
    <row r="396">
      <c r="L396" s="15" t="n">
        <v>394</v>
      </c>
      <c r="M396" s="15">
        <f>IF(L396&lt;$D$16,$D$13,IF(L396&lt;$E$16,$E$13,$F$13))</f>
        <v/>
      </c>
      <c r="N396" s="15">
        <f>M396-V396</f>
        <v/>
      </c>
      <c r="O396" s="15">
        <f>IF(MOD(L396,$B$11)=0,OFFSET(O396,-$B$11,0)+ $E$2*N396+$E$3*OFFSET(N396,-$B$11,0)+ $E$4*OFFSET(N396,-2* $B$11,0), O395)</f>
        <v/>
      </c>
      <c r="P396" s="15">
        <f>INT((2^$J$12-1)*O396/100)/(2^$J$12-1)*100</f>
        <v/>
      </c>
      <c r="Q396" s="15" t="n">
        <v>0</v>
      </c>
      <c r="R396" s="15">
        <f>P396+Q396</f>
        <v/>
      </c>
      <c r="S396" s="15">
        <f>$I$1*S395-$I$2*S394+$I$3*R375+$I$4*R374</f>
        <v/>
      </c>
      <c r="T396" s="15">
        <f>RAND()*$G$12</f>
        <v/>
      </c>
      <c r="U396" s="15">
        <f>S396+T396</f>
        <v/>
      </c>
      <c r="V396" s="15">
        <f>INT((2^$J$12-1)*U396/100)/(2^$J$12-1)*100</f>
        <v/>
      </c>
      <c r="X396" s="15">
        <f>M396 * 1.05</f>
        <v/>
      </c>
      <c r="Y396" s="15">
        <f>M396 * 0.95</f>
        <v/>
      </c>
      <c r="Z396" s="15">
        <f>IF(AND(V396 &lt;= X396, V396 &gt;= Y396), 1, 0)</f>
        <v/>
      </c>
    </row>
    <row r="397">
      <c r="L397" s="15" t="n">
        <v>395</v>
      </c>
      <c r="M397" s="15">
        <f>IF(L397&lt;$D$16,$D$13,IF(L397&lt;$E$16,$E$13,$F$13))</f>
        <v/>
      </c>
      <c r="N397" s="15">
        <f>M397-V397</f>
        <v/>
      </c>
      <c r="O397" s="15">
        <f>IF(MOD(L397,$B$11)=0,OFFSET(O397,-$B$11,0)+ $E$2*N397+$E$3*OFFSET(N397,-$B$11,0)+ $E$4*OFFSET(N397,-2* $B$11,0), O396)</f>
        <v/>
      </c>
      <c r="P397" s="15">
        <f>INT((2^$J$12-1)*O397/100)/(2^$J$12-1)*100</f>
        <v/>
      </c>
      <c r="Q397" s="15" t="n">
        <v>0</v>
      </c>
      <c r="R397" s="15">
        <f>P397+Q397</f>
        <v/>
      </c>
      <c r="S397" s="15">
        <f>$I$1*S396-$I$2*S395+$I$3*R376+$I$4*R375</f>
        <v/>
      </c>
      <c r="T397" s="15">
        <f>RAND()*$G$12</f>
        <v/>
      </c>
      <c r="U397" s="15">
        <f>S397+T397</f>
        <v/>
      </c>
      <c r="V397" s="15">
        <f>INT((2^$J$12-1)*U397/100)/(2^$J$12-1)*100</f>
        <v/>
      </c>
      <c r="X397" s="15">
        <f>M397 * 1.05</f>
        <v/>
      </c>
      <c r="Y397" s="15">
        <f>M397 * 0.95</f>
        <v/>
      </c>
      <c r="Z397" s="15">
        <f>IF(AND(V397 &lt;= X397, V397 &gt;= Y397), 1, 0)</f>
        <v/>
      </c>
    </row>
    <row r="398">
      <c r="L398" s="15" t="n">
        <v>396</v>
      </c>
      <c r="M398" s="15">
        <f>IF(L398&lt;$D$16,$D$13,IF(L398&lt;$E$16,$E$13,$F$13))</f>
        <v/>
      </c>
      <c r="N398" s="15">
        <f>M398-V398</f>
        <v/>
      </c>
      <c r="O398" s="15">
        <f>IF(MOD(L398,$B$11)=0,OFFSET(O398,-$B$11,0)+ $E$2*N398+$E$3*OFFSET(N398,-$B$11,0)+ $E$4*OFFSET(N398,-2* $B$11,0), O397)</f>
        <v/>
      </c>
      <c r="P398" s="15">
        <f>INT((2^$J$12-1)*O398/100)/(2^$J$12-1)*100</f>
        <v/>
      </c>
      <c r="Q398" s="15" t="n">
        <v>0</v>
      </c>
      <c r="R398" s="15">
        <f>P398+Q398</f>
        <v/>
      </c>
      <c r="S398" s="15">
        <f>$I$1*S397-$I$2*S396+$I$3*R377+$I$4*R376</f>
        <v/>
      </c>
      <c r="T398" s="15">
        <f>RAND()*$G$12</f>
        <v/>
      </c>
      <c r="U398" s="15">
        <f>S398+T398</f>
        <v/>
      </c>
      <c r="V398" s="15">
        <f>INT((2^$J$12-1)*U398/100)/(2^$J$12-1)*100</f>
        <v/>
      </c>
      <c r="X398" s="15">
        <f>M398 * 1.05</f>
        <v/>
      </c>
      <c r="Y398" s="15">
        <f>M398 * 0.95</f>
        <v/>
      </c>
      <c r="Z398" s="15">
        <f>IF(AND(V398 &lt;= X398, V398 &gt;= Y398), 1, 0)</f>
        <v/>
      </c>
    </row>
    <row r="399">
      <c r="L399" s="15" t="n">
        <v>397</v>
      </c>
      <c r="M399" s="15">
        <f>IF(L399&lt;$D$16,$D$13,IF(L399&lt;$E$16,$E$13,$F$13))</f>
        <v/>
      </c>
      <c r="N399" s="15">
        <f>M399-V399</f>
        <v/>
      </c>
      <c r="O399" s="15">
        <f>IF(MOD(L399,$B$11)=0,OFFSET(O399,-$B$11,0)+ $E$2*N399+$E$3*OFFSET(N399,-$B$11,0)+ $E$4*OFFSET(N399,-2* $B$11,0), O398)</f>
        <v/>
      </c>
      <c r="P399" s="15">
        <f>INT((2^$J$12-1)*O399/100)/(2^$J$12-1)*100</f>
        <v/>
      </c>
      <c r="Q399" s="15" t="n">
        <v>0</v>
      </c>
      <c r="R399" s="15">
        <f>P399+Q399</f>
        <v/>
      </c>
      <c r="S399" s="15">
        <f>$I$1*S398-$I$2*S397+$I$3*R378+$I$4*R377</f>
        <v/>
      </c>
      <c r="T399" s="15">
        <f>RAND()*$G$12</f>
        <v/>
      </c>
      <c r="U399" s="15">
        <f>S399+T399</f>
        <v/>
      </c>
      <c r="V399" s="15">
        <f>INT((2^$J$12-1)*U399/100)/(2^$J$12-1)*100</f>
        <v/>
      </c>
      <c r="X399" s="15">
        <f>M399 * 1.05</f>
        <v/>
      </c>
      <c r="Y399" s="15">
        <f>M399 * 0.95</f>
        <v/>
      </c>
      <c r="Z399" s="15">
        <f>IF(AND(V399 &lt;= X399, V399 &gt;= Y399), 1, 0)</f>
        <v/>
      </c>
    </row>
    <row r="400">
      <c r="L400" s="15" t="n">
        <v>398</v>
      </c>
      <c r="M400" s="15">
        <f>IF(L400&lt;$D$16,$D$13,IF(L400&lt;$E$16,$E$13,$F$13))</f>
        <v/>
      </c>
      <c r="N400" s="15">
        <f>M400-V400</f>
        <v/>
      </c>
      <c r="O400" s="15">
        <f>IF(MOD(L400,$B$11)=0,OFFSET(O400,-$B$11,0)+ $E$2*N400+$E$3*OFFSET(N400,-$B$11,0)+ $E$4*OFFSET(N400,-2* $B$11,0), O399)</f>
        <v/>
      </c>
      <c r="P400" s="15">
        <f>INT((2^$J$12-1)*O400/100)/(2^$J$12-1)*100</f>
        <v/>
      </c>
      <c r="Q400" s="15" t="n">
        <v>0</v>
      </c>
      <c r="R400" s="15">
        <f>P400+Q400</f>
        <v/>
      </c>
      <c r="S400" s="15">
        <f>$I$1*S399-$I$2*S398+$I$3*R379+$I$4*R378</f>
        <v/>
      </c>
      <c r="T400" s="15">
        <f>RAND()*$G$12</f>
        <v/>
      </c>
      <c r="U400" s="15">
        <f>S400+T400</f>
        <v/>
      </c>
      <c r="V400" s="15">
        <f>INT((2^$J$12-1)*U400/100)/(2^$J$12-1)*100</f>
        <v/>
      </c>
      <c r="X400" s="15">
        <f>M400 * 1.05</f>
        <v/>
      </c>
      <c r="Y400" s="15">
        <f>M400 * 0.95</f>
        <v/>
      </c>
      <c r="Z400" s="15">
        <f>IF(AND(V400 &lt;= X400, V400 &gt;= Y400), 1, 0)</f>
        <v/>
      </c>
    </row>
    <row r="401">
      <c r="L401" s="15" t="n">
        <v>399</v>
      </c>
      <c r="M401" s="15">
        <f>IF(L401&lt;$D$16,$D$13,IF(L401&lt;$E$16,$E$13,$F$13))</f>
        <v/>
      </c>
      <c r="N401" s="15">
        <f>M401-V401</f>
        <v/>
      </c>
      <c r="O401" s="15">
        <f>IF(MOD(L401,$B$11)=0,OFFSET(O401,-$B$11,0)+ $E$2*N401+$E$3*OFFSET(N401,-$B$11,0)+ $E$4*OFFSET(N401,-2* $B$11,0), O400)</f>
        <v/>
      </c>
      <c r="P401" s="15">
        <f>INT((2^$J$12-1)*O401/100)/(2^$J$12-1)*100</f>
        <v/>
      </c>
      <c r="Q401" s="15" t="n">
        <v>0</v>
      </c>
      <c r="R401" s="15">
        <f>P401+Q401</f>
        <v/>
      </c>
      <c r="S401" s="15">
        <f>$I$1*S400-$I$2*S399+$I$3*R380+$I$4*R379</f>
        <v/>
      </c>
      <c r="T401" s="15">
        <f>RAND()*$G$12</f>
        <v/>
      </c>
      <c r="U401" s="15">
        <f>S401+T401</f>
        <v/>
      </c>
      <c r="V401" s="15">
        <f>INT((2^$J$12-1)*U401/100)/(2^$J$12-1)*100</f>
        <v/>
      </c>
      <c r="X401" s="15">
        <f>M401 * 1.05</f>
        <v/>
      </c>
      <c r="Y401" s="15">
        <f>M401 * 0.95</f>
        <v/>
      </c>
      <c r="Z401" s="15">
        <f>IF(AND(V401 &lt;= X401, V401 &gt;= Y401), 1, 0)</f>
        <v/>
      </c>
    </row>
    <row r="402">
      <c r="L402" s="15" t="n">
        <v>400</v>
      </c>
      <c r="M402" s="15">
        <f>IF(L402&lt;$D$16,$D$13,IF(L402&lt;$E$16,$E$13,$F$13))</f>
        <v/>
      </c>
      <c r="N402" s="15">
        <f>M402-V402</f>
        <v/>
      </c>
      <c r="O402" s="15">
        <f>IF(MOD(L402,$B$11)=0,OFFSET(O402,-$B$11,0)+ $E$2*N402+$E$3*OFFSET(N402,-$B$11,0)+ $E$4*OFFSET(N402,-2* $B$11,0), O401)</f>
        <v/>
      </c>
      <c r="P402" s="15">
        <f>INT((2^$J$12-1)*O402/100)/(2^$J$12-1)*100</f>
        <v/>
      </c>
      <c r="Q402" s="15" t="n">
        <v>0</v>
      </c>
      <c r="R402" s="15">
        <f>P402+Q402</f>
        <v/>
      </c>
      <c r="S402" s="15">
        <f>$I$1*S401-$I$2*S400+$I$3*R381+$I$4*R380</f>
        <v/>
      </c>
      <c r="T402" s="15">
        <f>RAND()*$G$12</f>
        <v/>
      </c>
      <c r="U402" s="15">
        <f>S402+T402</f>
        <v/>
      </c>
      <c r="V402" s="15">
        <f>INT((2^$J$12-1)*U402/100)/(2^$J$12-1)*100</f>
        <v/>
      </c>
      <c r="X402" s="15">
        <f>M402 * 1.05</f>
        <v/>
      </c>
      <c r="Y402" s="15">
        <f>M402 * 0.95</f>
        <v/>
      </c>
      <c r="Z402" s="15">
        <f>IF(AND(V402 &lt;= X402, V402 &gt;= Y402), 1, 0)</f>
        <v/>
      </c>
    </row>
    <row r="403">
      <c r="L403" s="15" t="n">
        <v>401</v>
      </c>
      <c r="M403" s="15">
        <f>IF(L403&lt;$D$16,$D$13,IF(L403&lt;$E$16,$E$13,$F$13))</f>
        <v/>
      </c>
      <c r="N403" s="15">
        <f>M403-V403</f>
        <v/>
      </c>
      <c r="O403" s="15">
        <f>IF(MOD(L403,$B$11)=0,OFFSET(O403,-$B$11,0)+ $E$2*N403+$E$3*OFFSET(N403,-$B$11,0)+ $E$4*OFFSET(N403,-2* $B$11,0), O402)</f>
        <v/>
      </c>
      <c r="P403" s="15">
        <f>INT((2^$J$12-1)*O403/100)/(2^$J$12-1)*100</f>
        <v/>
      </c>
      <c r="Q403" s="15" t="n">
        <v>0</v>
      </c>
      <c r="R403" s="15">
        <f>P403+Q403</f>
        <v/>
      </c>
      <c r="S403" s="15">
        <f>$I$1*S402-$I$2*S401+$I$3*R382+$I$4*R381</f>
        <v/>
      </c>
      <c r="T403" s="15">
        <f>RAND()*$G$12</f>
        <v/>
      </c>
      <c r="U403" s="15">
        <f>S403+T403</f>
        <v/>
      </c>
      <c r="V403" s="15">
        <f>INT((2^$J$12-1)*U403/100)/(2^$J$12-1)*100</f>
        <v/>
      </c>
      <c r="X403" s="15">
        <f>M403 * 1.05</f>
        <v/>
      </c>
      <c r="Y403" s="15">
        <f>M403 * 0.95</f>
        <v/>
      </c>
      <c r="Z403" s="15">
        <f>IF(AND(V403 &lt;= X403, V403 &gt;= Y403), 1, 0)</f>
        <v/>
      </c>
    </row>
    <row r="404">
      <c r="L404" s="15" t="n">
        <v>402</v>
      </c>
      <c r="M404" s="15">
        <f>IF(L404&lt;$D$16,$D$13,IF(L404&lt;$E$16,$E$13,$F$13))</f>
        <v/>
      </c>
      <c r="N404" s="15">
        <f>M404-V404</f>
        <v/>
      </c>
      <c r="O404" s="15">
        <f>IF(MOD(L404,$B$11)=0,OFFSET(O404,-$B$11,0)+ $E$2*N404+$E$3*OFFSET(N404,-$B$11,0)+ $E$4*OFFSET(N404,-2* $B$11,0), O403)</f>
        <v/>
      </c>
      <c r="P404" s="15">
        <f>INT((2^$J$12-1)*O404/100)/(2^$J$12-1)*100</f>
        <v/>
      </c>
      <c r="Q404" s="15" t="n">
        <v>0</v>
      </c>
      <c r="R404" s="15">
        <f>P404+Q404</f>
        <v/>
      </c>
      <c r="S404" s="15">
        <f>$I$1*S403-$I$2*S402+$I$3*R383+$I$4*R382</f>
        <v/>
      </c>
      <c r="T404" s="15">
        <f>RAND()*$G$12</f>
        <v/>
      </c>
      <c r="U404" s="15">
        <f>S404+T404</f>
        <v/>
      </c>
      <c r="V404" s="15">
        <f>INT((2^$J$12-1)*U404/100)/(2^$J$12-1)*100</f>
        <v/>
      </c>
      <c r="X404" s="15">
        <f>M404 * 1.05</f>
        <v/>
      </c>
      <c r="Y404" s="15">
        <f>M404 * 0.95</f>
        <v/>
      </c>
      <c r="Z404" s="15">
        <f>IF(AND(V404 &lt;= X404, V404 &gt;= Y404), 1, 0)</f>
        <v/>
      </c>
    </row>
    <row r="405">
      <c r="L405" s="15" t="n">
        <v>403</v>
      </c>
      <c r="M405" s="15">
        <f>IF(L405&lt;$D$16,$D$13,IF(L405&lt;$E$16,$E$13,$F$13))</f>
        <v/>
      </c>
      <c r="N405" s="15">
        <f>M405-V405</f>
        <v/>
      </c>
      <c r="O405" s="15">
        <f>IF(MOD(L405,$B$11)=0,OFFSET(O405,-$B$11,0)+ $E$2*N405+$E$3*OFFSET(N405,-$B$11,0)+ $E$4*OFFSET(N405,-2* $B$11,0), O404)</f>
        <v/>
      </c>
      <c r="P405" s="15">
        <f>INT((2^$J$12-1)*O405/100)/(2^$J$12-1)*100</f>
        <v/>
      </c>
      <c r="Q405" s="15" t="n">
        <v>0</v>
      </c>
      <c r="R405" s="15">
        <f>P405+Q405</f>
        <v/>
      </c>
      <c r="S405" s="15">
        <f>$I$1*S404-$I$2*S403+$I$3*R384+$I$4*R383</f>
        <v/>
      </c>
      <c r="T405" s="15">
        <f>RAND()*$G$12</f>
        <v/>
      </c>
      <c r="U405" s="15">
        <f>S405+T405</f>
        <v/>
      </c>
      <c r="V405" s="15">
        <f>INT((2^$J$12-1)*U405/100)/(2^$J$12-1)*100</f>
        <v/>
      </c>
      <c r="X405" s="15">
        <f>M405 * 1.05</f>
        <v/>
      </c>
      <c r="Y405" s="15">
        <f>M405 * 0.95</f>
        <v/>
      </c>
      <c r="Z405" s="15">
        <f>IF(AND(V405 &lt;= X405, V405 &gt;= Y405), 1, 0)</f>
        <v/>
      </c>
    </row>
    <row r="406">
      <c r="L406" s="15" t="n">
        <v>404</v>
      </c>
      <c r="M406" s="15">
        <f>IF(L406&lt;$D$16,$D$13,IF(L406&lt;$E$16,$E$13,$F$13))</f>
        <v/>
      </c>
      <c r="N406" s="15">
        <f>M406-V406</f>
        <v/>
      </c>
      <c r="O406" s="15">
        <f>IF(MOD(L406,$B$11)=0,OFFSET(O406,-$B$11,0)+ $E$2*N406+$E$3*OFFSET(N406,-$B$11,0)+ $E$4*OFFSET(N406,-2* $B$11,0), O405)</f>
        <v/>
      </c>
      <c r="P406" s="15">
        <f>INT((2^$J$12-1)*O406/100)/(2^$J$12-1)*100</f>
        <v/>
      </c>
      <c r="Q406" s="15" t="n">
        <v>0</v>
      </c>
      <c r="R406" s="15">
        <f>P406+Q406</f>
        <v/>
      </c>
      <c r="S406" s="15">
        <f>$I$1*S405-$I$2*S404+$I$3*R385+$I$4*R384</f>
        <v/>
      </c>
      <c r="T406" s="15">
        <f>RAND()*$G$12</f>
        <v/>
      </c>
      <c r="U406" s="15">
        <f>S406+T406</f>
        <v/>
      </c>
      <c r="V406" s="15">
        <f>INT((2^$J$12-1)*U406/100)/(2^$J$12-1)*100</f>
        <v/>
      </c>
      <c r="X406" s="15">
        <f>M406 * 1.05</f>
        <v/>
      </c>
      <c r="Y406" s="15">
        <f>M406 * 0.95</f>
        <v/>
      </c>
      <c r="Z406" s="15">
        <f>IF(AND(V406 &lt;= X406, V406 &gt;= Y406), 1, 0)</f>
        <v/>
      </c>
    </row>
    <row r="407">
      <c r="L407" s="15" t="n">
        <v>405</v>
      </c>
      <c r="M407" s="15">
        <f>IF(L407&lt;$D$16,$D$13,IF(L407&lt;$E$16,$E$13,$F$13))</f>
        <v/>
      </c>
      <c r="N407" s="15">
        <f>M407-V407</f>
        <v/>
      </c>
      <c r="O407" s="15">
        <f>IF(MOD(L407,$B$11)=0,OFFSET(O407,-$B$11,0)+ $E$2*N407+$E$3*OFFSET(N407,-$B$11,0)+ $E$4*OFFSET(N407,-2* $B$11,0), O406)</f>
        <v/>
      </c>
      <c r="P407" s="15">
        <f>INT((2^$J$12-1)*O407/100)/(2^$J$12-1)*100</f>
        <v/>
      </c>
      <c r="Q407" s="15" t="n">
        <v>0</v>
      </c>
      <c r="R407" s="15">
        <f>P407+Q407</f>
        <v/>
      </c>
      <c r="S407" s="15">
        <f>$I$1*S406-$I$2*S405+$I$3*R386+$I$4*R385</f>
        <v/>
      </c>
      <c r="T407" s="15">
        <f>RAND()*$G$12</f>
        <v/>
      </c>
      <c r="U407" s="15">
        <f>S407+T407</f>
        <v/>
      </c>
      <c r="V407" s="15">
        <f>INT((2^$J$12-1)*U407/100)/(2^$J$12-1)*100</f>
        <v/>
      </c>
      <c r="X407" s="15">
        <f>M407 * 1.05</f>
        <v/>
      </c>
      <c r="Y407" s="15">
        <f>M407 * 0.95</f>
        <v/>
      </c>
      <c r="Z407" s="15">
        <f>IF(AND(V407 &lt;= X407, V407 &gt;= Y407), 1, 0)</f>
        <v/>
      </c>
    </row>
    <row r="408">
      <c r="L408" s="15" t="n">
        <v>406</v>
      </c>
      <c r="M408" s="15">
        <f>IF(L408&lt;$D$16,$D$13,IF(L408&lt;$E$16,$E$13,$F$13))</f>
        <v/>
      </c>
      <c r="N408" s="15">
        <f>M408-V408</f>
        <v/>
      </c>
      <c r="O408" s="15">
        <f>IF(MOD(L408,$B$11)=0,OFFSET(O408,-$B$11,0)+ $E$2*N408+$E$3*OFFSET(N408,-$B$11,0)+ $E$4*OFFSET(N408,-2* $B$11,0), O407)</f>
        <v/>
      </c>
      <c r="P408" s="15">
        <f>INT((2^$J$12-1)*O408/100)/(2^$J$12-1)*100</f>
        <v/>
      </c>
      <c r="Q408" s="15" t="n">
        <v>0</v>
      </c>
      <c r="R408" s="15">
        <f>P408+Q408</f>
        <v/>
      </c>
      <c r="S408" s="15">
        <f>$I$1*S407-$I$2*S406+$I$3*R387+$I$4*R386</f>
        <v/>
      </c>
      <c r="T408" s="15">
        <f>RAND()*$G$12</f>
        <v/>
      </c>
      <c r="U408" s="15">
        <f>S408+T408</f>
        <v/>
      </c>
      <c r="V408" s="15">
        <f>INT((2^$J$12-1)*U408/100)/(2^$J$12-1)*100</f>
        <v/>
      </c>
      <c r="X408" s="15">
        <f>M408 * 1.05</f>
        <v/>
      </c>
      <c r="Y408" s="15">
        <f>M408 * 0.95</f>
        <v/>
      </c>
      <c r="Z408" s="15">
        <f>IF(AND(V408 &lt;= X408, V408 &gt;= Y408), 1, 0)</f>
        <v/>
      </c>
    </row>
    <row r="409">
      <c r="L409" s="15" t="n">
        <v>407</v>
      </c>
      <c r="M409" s="15">
        <f>IF(L409&lt;$D$16,$D$13,IF(L409&lt;$E$16,$E$13,$F$13))</f>
        <v/>
      </c>
      <c r="N409" s="15">
        <f>M409-V409</f>
        <v/>
      </c>
      <c r="O409" s="15">
        <f>IF(MOD(L409,$B$11)=0,OFFSET(O409,-$B$11,0)+ $E$2*N409+$E$3*OFFSET(N409,-$B$11,0)+ $E$4*OFFSET(N409,-2* $B$11,0), O408)</f>
        <v/>
      </c>
      <c r="P409" s="15">
        <f>INT((2^$J$12-1)*O409/100)/(2^$J$12-1)*100</f>
        <v/>
      </c>
      <c r="Q409" s="15" t="n">
        <v>0</v>
      </c>
      <c r="R409" s="15">
        <f>P409+Q409</f>
        <v/>
      </c>
      <c r="S409" s="15">
        <f>$I$1*S408-$I$2*S407+$I$3*R388+$I$4*R387</f>
        <v/>
      </c>
      <c r="T409" s="15">
        <f>RAND()*$G$12</f>
        <v/>
      </c>
      <c r="U409" s="15">
        <f>S409+T409</f>
        <v/>
      </c>
      <c r="V409" s="15">
        <f>INT((2^$J$12-1)*U409/100)/(2^$J$12-1)*100</f>
        <v/>
      </c>
      <c r="X409" s="15">
        <f>M409 * 1.05</f>
        <v/>
      </c>
      <c r="Y409" s="15">
        <f>M409 * 0.95</f>
        <v/>
      </c>
      <c r="Z409" s="15">
        <f>IF(AND(V409 &lt;= X409, V409 &gt;= Y409), 1, 0)</f>
        <v/>
      </c>
    </row>
    <row r="410">
      <c r="L410" s="15" t="n">
        <v>408</v>
      </c>
      <c r="M410" s="15">
        <f>IF(L410&lt;$D$16,$D$13,IF(L410&lt;$E$16,$E$13,$F$13))</f>
        <v/>
      </c>
      <c r="N410" s="15">
        <f>M410-V410</f>
        <v/>
      </c>
      <c r="O410" s="15">
        <f>IF(MOD(L410,$B$11)=0,OFFSET(O410,-$B$11,0)+ $E$2*N410+$E$3*OFFSET(N410,-$B$11,0)+ $E$4*OFFSET(N410,-2* $B$11,0), O409)</f>
        <v/>
      </c>
      <c r="P410" s="15">
        <f>INT((2^$J$12-1)*O410/100)/(2^$J$12-1)*100</f>
        <v/>
      </c>
      <c r="Q410" s="15" t="n">
        <v>0</v>
      </c>
      <c r="R410" s="15">
        <f>P410+Q410</f>
        <v/>
      </c>
      <c r="S410" s="15">
        <f>$I$1*S409-$I$2*S408+$I$3*R389+$I$4*R388</f>
        <v/>
      </c>
      <c r="T410" s="15">
        <f>RAND()*$G$12</f>
        <v/>
      </c>
      <c r="U410" s="15">
        <f>S410+T410</f>
        <v/>
      </c>
      <c r="V410" s="15">
        <f>INT((2^$J$12-1)*U410/100)/(2^$J$12-1)*100</f>
        <v/>
      </c>
      <c r="X410" s="15">
        <f>M410 * 1.05</f>
        <v/>
      </c>
      <c r="Y410" s="15">
        <f>M410 * 0.95</f>
        <v/>
      </c>
      <c r="Z410" s="15">
        <f>IF(AND(V410 &lt;= X410, V410 &gt;= Y410), 1, 0)</f>
        <v/>
      </c>
    </row>
    <row r="411">
      <c r="L411" s="15" t="n">
        <v>409</v>
      </c>
      <c r="M411" s="15">
        <f>IF(L411&lt;$D$16,$D$13,IF(L411&lt;$E$16,$E$13,$F$13))</f>
        <v/>
      </c>
      <c r="N411" s="15">
        <f>M411-V411</f>
        <v/>
      </c>
      <c r="O411" s="15">
        <f>IF(MOD(L411,$B$11)=0,OFFSET(O411,-$B$11,0)+ $E$2*N411+$E$3*OFFSET(N411,-$B$11,0)+ $E$4*OFFSET(N411,-2* $B$11,0), O410)</f>
        <v/>
      </c>
      <c r="P411" s="15">
        <f>INT((2^$J$12-1)*O411/100)/(2^$J$12-1)*100</f>
        <v/>
      </c>
      <c r="Q411" s="15" t="n">
        <v>0</v>
      </c>
      <c r="R411" s="15">
        <f>P411+Q411</f>
        <v/>
      </c>
      <c r="S411" s="15">
        <f>$I$1*S410-$I$2*S409+$I$3*R390+$I$4*R389</f>
        <v/>
      </c>
      <c r="T411" s="15">
        <f>RAND()*$G$12</f>
        <v/>
      </c>
      <c r="U411" s="15">
        <f>S411+T411</f>
        <v/>
      </c>
      <c r="V411" s="15">
        <f>INT((2^$J$12-1)*U411/100)/(2^$J$12-1)*100</f>
        <v/>
      </c>
      <c r="X411" s="15">
        <f>M411 * 1.05</f>
        <v/>
      </c>
      <c r="Y411" s="15">
        <f>M411 * 0.95</f>
        <v/>
      </c>
      <c r="Z411" s="15">
        <f>IF(AND(V411 &lt;= X411, V411 &gt;= Y411), 1, 0)</f>
        <v/>
      </c>
    </row>
    <row r="412">
      <c r="L412" s="15" t="n">
        <v>410</v>
      </c>
      <c r="M412" s="15">
        <f>IF(L412&lt;$D$16,$D$13,IF(L412&lt;$E$16,$E$13,$F$13))</f>
        <v/>
      </c>
      <c r="N412" s="15">
        <f>M412-V412</f>
        <v/>
      </c>
      <c r="O412" s="15">
        <f>IF(MOD(L412,$B$11)=0,OFFSET(O412,-$B$11,0)+ $E$2*N412+$E$3*OFFSET(N412,-$B$11,0)+ $E$4*OFFSET(N412,-2* $B$11,0), O411)</f>
        <v/>
      </c>
      <c r="P412" s="15">
        <f>INT((2^$J$12-1)*O412/100)/(2^$J$12-1)*100</f>
        <v/>
      </c>
      <c r="Q412" s="15" t="n">
        <v>0</v>
      </c>
      <c r="R412" s="15">
        <f>P412+Q412</f>
        <v/>
      </c>
      <c r="S412" s="15">
        <f>$I$1*S411-$I$2*S410+$I$3*R391+$I$4*R390</f>
        <v/>
      </c>
      <c r="T412" s="15">
        <f>RAND()*$G$12</f>
        <v/>
      </c>
      <c r="U412" s="15">
        <f>S412+T412</f>
        <v/>
      </c>
      <c r="V412" s="15">
        <f>INT((2^$J$12-1)*U412/100)/(2^$J$12-1)*100</f>
        <v/>
      </c>
      <c r="X412" s="15">
        <f>M412 * 1.05</f>
        <v/>
      </c>
      <c r="Y412" s="15">
        <f>M412 * 0.95</f>
        <v/>
      </c>
      <c r="Z412" s="15">
        <f>IF(AND(V412 &lt;= X412, V412 &gt;= Y412), 1, 0)</f>
        <v/>
      </c>
    </row>
    <row r="413">
      <c r="L413" s="15" t="n">
        <v>411</v>
      </c>
      <c r="M413" s="15">
        <f>IF(L413&lt;$D$16,$D$13,IF(L413&lt;$E$16,$E$13,$F$13))</f>
        <v/>
      </c>
      <c r="N413" s="15">
        <f>M413-V413</f>
        <v/>
      </c>
      <c r="O413" s="15">
        <f>IF(MOD(L413,$B$11)=0,OFFSET(O413,-$B$11,0)+ $E$2*N413+$E$3*OFFSET(N413,-$B$11,0)+ $E$4*OFFSET(N413,-2* $B$11,0), O412)</f>
        <v/>
      </c>
      <c r="P413" s="15">
        <f>INT((2^$J$12-1)*O413/100)/(2^$J$12-1)*100</f>
        <v/>
      </c>
      <c r="Q413" s="15" t="n">
        <v>0</v>
      </c>
      <c r="R413" s="15">
        <f>P413+Q413</f>
        <v/>
      </c>
      <c r="S413" s="15">
        <f>$I$1*S412-$I$2*S411+$I$3*R392+$I$4*R391</f>
        <v/>
      </c>
      <c r="T413" s="15">
        <f>RAND()*$G$12</f>
        <v/>
      </c>
      <c r="U413" s="15">
        <f>S413+T413</f>
        <v/>
      </c>
      <c r="V413" s="15">
        <f>INT((2^$J$12-1)*U413/100)/(2^$J$12-1)*100</f>
        <v/>
      </c>
      <c r="X413" s="15">
        <f>M413 * 1.05</f>
        <v/>
      </c>
      <c r="Y413" s="15">
        <f>M413 * 0.95</f>
        <v/>
      </c>
      <c r="Z413" s="15">
        <f>IF(AND(V413 &lt;= X413, V413 &gt;= Y413), 1, 0)</f>
        <v/>
      </c>
    </row>
    <row r="414">
      <c r="L414" s="15" t="n">
        <v>412</v>
      </c>
      <c r="M414" s="15">
        <f>IF(L414&lt;$D$16,$D$13,IF(L414&lt;$E$16,$E$13,$F$13))</f>
        <v/>
      </c>
      <c r="N414" s="15">
        <f>M414-V414</f>
        <v/>
      </c>
      <c r="O414" s="15">
        <f>IF(MOD(L414,$B$11)=0,OFFSET(O414,-$B$11,0)+ $E$2*N414+$E$3*OFFSET(N414,-$B$11,0)+ $E$4*OFFSET(N414,-2* $B$11,0), O413)</f>
        <v/>
      </c>
      <c r="P414" s="15">
        <f>INT((2^$J$12-1)*O414/100)/(2^$J$12-1)*100</f>
        <v/>
      </c>
      <c r="Q414" s="15" t="n">
        <v>0</v>
      </c>
      <c r="R414" s="15">
        <f>P414+Q414</f>
        <v/>
      </c>
      <c r="S414" s="15">
        <f>$I$1*S413-$I$2*S412+$I$3*R393+$I$4*R392</f>
        <v/>
      </c>
      <c r="T414" s="15">
        <f>RAND()*$G$12</f>
        <v/>
      </c>
      <c r="U414" s="15">
        <f>S414+T414</f>
        <v/>
      </c>
      <c r="V414" s="15">
        <f>INT((2^$J$12-1)*U414/100)/(2^$J$12-1)*100</f>
        <v/>
      </c>
      <c r="X414" s="15">
        <f>M414 * 1.05</f>
        <v/>
      </c>
      <c r="Y414" s="15">
        <f>M414 * 0.95</f>
        <v/>
      </c>
      <c r="Z414" s="15">
        <f>IF(AND(V414 &lt;= X414, V414 &gt;= Y414), 1, 0)</f>
        <v/>
      </c>
    </row>
    <row r="415">
      <c r="L415" s="15" t="n">
        <v>413</v>
      </c>
      <c r="M415" s="15">
        <f>IF(L415&lt;$D$16,$D$13,IF(L415&lt;$E$16,$E$13,$F$13))</f>
        <v/>
      </c>
      <c r="N415" s="15">
        <f>M415-V415</f>
        <v/>
      </c>
      <c r="O415" s="15">
        <f>IF(MOD(L415,$B$11)=0,OFFSET(O415,-$B$11,0)+ $E$2*N415+$E$3*OFFSET(N415,-$B$11,0)+ $E$4*OFFSET(N415,-2* $B$11,0), O414)</f>
        <v/>
      </c>
      <c r="P415" s="15">
        <f>INT((2^$J$12-1)*O415/100)/(2^$J$12-1)*100</f>
        <v/>
      </c>
      <c r="Q415" s="15" t="n">
        <v>0</v>
      </c>
      <c r="R415" s="15">
        <f>P415+Q415</f>
        <v/>
      </c>
      <c r="S415" s="15">
        <f>$I$1*S414-$I$2*S413+$I$3*R394+$I$4*R393</f>
        <v/>
      </c>
      <c r="T415" s="15">
        <f>RAND()*$G$12</f>
        <v/>
      </c>
      <c r="U415" s="15">
        <f>S415+T415</f>
        <v/>
      </c>
      <c r="V415" s="15">
        <f>INT((2^$J$12-1)*U415/100)/(2^$J$12-1)*100</f>
        <v/>
      </c>
      <c r="X415" s="15">
        <f>M415 * 1.05</f>
        <v/>
      </c>
      <c r="Y415" s="15">
        <f>M415 * 0.95</f>
        <v/>
      </c>
      <c r="Z415" s="15">
        <f>IF(AND(V415 &lt;= X415, V415 &gt;= Y415), 1, 0)</f>
        <v/>
      </c>
    </row>
    <row r="416">
      <c r="L416" s="15" t="n">
        <v>414</v>
      </c>
      <c r="M416" s="15">
        <f>IF(L416&lt;$D$16,$D$13,IF(L416&lt;$E$16,$E$13,$F$13))</f>
        <v/>
      </c>
      <c r="N416" s="15">
        <f>M416-V416</f>
        <v/>
      </c>
      <c r="O416" s="15">
        <f>IF(MOD(L416,$B$11)=0,OFFSET(O416,-$B$11,0)+ $E$2*N416+$E$3*OFFSET(N416,-$B$11,0)+ $E$4*OFFSET(N416,-2* $B$11,0), O415)</f>
        <v/>
      </c>
      <c r="P416" s="15">
        <f>INT((2^$J$12-1)*O416/100)/(2^$J$12-1)*100</f>
        <v/>
      </c>
      <c r="Q416" s="15" t="n">
        <v>0</v>
      </c>
      <c r="R416" s="15">
        <f>P416+Q416</f>
        <v/>
      </c>
      <c r="S416" s="15">
        <f>$I$1*S415-$I$2*S414+$I$3*R395+$I$4*R394</f>
        <v/>
      </c>
      <c r="T416" s="15">
        <f>RAND()*$G$12</f>
        <v/>
      </c>
      <c r="U416" s="15">
        <f>S416+T416</f>
        <v/>
      </c>
      <c r="V416" s="15">
        <f>INT((2^$J$12-1)*U416/100)/(2^$J$12-1)*100</f>
        <v/>
      </c>
      <c r="X416" s="15">
        <f>M416 * 1.05</f>
        <v/>
      </c>
      <c r="Y416" s="15">
        <f>M416 * 0.95</f>
        <v/>
      </c>
      <c r="Z416" s="15">
        <f>IF(AND(V416 &lt;= X416, V416 &gt;= Y416), 1, 0)</f>
        <v/>
      </c>
    </row>
    <row r="417">
      <c r="L417" s="15" t="n">
        <v>415</v>
      </c>
      <c r="M417" s="15">
        <f>IF(L417&lt;$D$16,$D$13,IF(L417&lt;$E$16,$E$13,$F$13))</f>
        <v/>
      </c>
      <c r="N417" s="15">
        <f>M417-V417</f>
        <v/>
      </c>
      <c r="O417" s="15">
        <f>IF(MOD(L417,$B$11)=0,OFFSET(O417,-$B$11,0)+ $E$2*N417+$E$3*OFFSET(N417,-$B$11,0)+ $E$4*OFFSET(N417,-2* $B$11,0), O416)</f>
        <v/>
      </c>
      <c r="P417" s="15">
        <f>INT((2^$J$12-1)*O417/100)/(2^$J$12-1)*100</f>
        <v/>
      </c>
      <c r="Q417" s="15" t="n">
        <v>0</v>
      </c>
      <c r="R417" s="15">
        <f>P417+Q417</f>
        <v/>
      </c>
      <c r="S417" s="15">
        <f>$I$1*S416-$I$2*S415+$I$3*R396+$I$4*R395</f>
        <v/>
      </c>
      <c r="T417" s="15">
        <f>RAND()*$G$12</f>
        <v/>
      </c>
      <c r="U417" s="15">
        <f>S417+T417</f>
        <v/>
      </c>
      <c r="V417" s="15">
        <f>INT((2^$J$12-1)*U417/100)/(2^$J$12-1)*100</f>
        <v/>
      </c>
      <c r="X417" s="15">
        <f>M417 * 1.05</f>
        <v/>
      </c>
      <c r="Y417" s="15">
        <f>M417 * 0.95</f>
        <v/>
      </c>
      <c r="Z417" s="15">
        <f>IF(AND(V417 &lt;= X417, V417 &gt;= Y417), 1, 0)</f>
        <v/>
      </c>
    </row>
    <row r="418">
      <c r="L418" s="15" t="n">
        <v>416</v>
      </c>
      <c r="M418" s="15">
        <f>IF(L418&lt;$D$16,$D$13,IF(L418&lt;$E$16,$E$13,$F$13))</f>
        <v/>
      </c>
      <c r="N418" s="15">
        <f>M418-V418</f>
        <v/>
      </c>
      <c r="O418" s="15">
        <f>IF(MOD(L418,$B$11)=0,OFFSET(O418,-$B$11,0)+ $E$2*N418+$E$3*OFFSET(N418,-$B$11,0)+ $E$4*OFFSET(N418,-2* $B$11,0), O417)</f>
        <v/>
      </c>
      <c r="P418" s="15">
        <f>INT((2^$J$12-1)*O418/100)/(2^$J$12-1)*100</f>
        <v/>
      </c>
      <c r="Q418" s="15" t="n">
        <v>0</v>
      </c>
      <c r="R418" s="15">
        <f>P418+Q418</f>
        <v/>
      </c>
      <c r="S418" s="15">
        <f>$I$1*S417-$I$2*S416+$I$3*R397+$I$4*R396</f>
        <v/>
      </c>
      <c r="T418" s="15">
        <f>RAND()*$G$12</f>
        <v/>
      </c>
      <c r="U418" s="15">
        <f>S418+T418</f>
        <v/>
      </c>
      <c r="V418" s="15">
        <f>INT((2^$J$12-1)*U418/100)/(2^$J$12-1)*100</f>
        <v/>
      </c>
      <c r="X418" s="15">
        <f>M418 * 1.05</f>
        <v/>
      </c>
      <c r="Y418" s="15">
        <f>M418 * 0.95</f>
        <v/>
      </c>
      <c r="Z418" s="15">
        <f>IF(AND(V418 &lt;= X418, V418 &gt;= Y418), 1, 0)</f>
        <v/>
      </c>
    </row>
    <row r="419">
      <c r="L419" s="15" t="n">
        <v>417</v>
      </c>
      <c r="M419" s="15">
        <f>IF(L419&lt;$D$16,$D$13,IF(L419&lt;$E$16,$E$13,$F$13))</f>
        <v/>
      </c>
      <c r="N419" s="15">
        <f>M419-V419</f>
        <v/>
      </c>
      <c r="O419" s="15">
        <f>IF(MOD(L419,$B$11)=0,OFFSET(O419,-$B$11,0)+ $E$2*N419+$E$3*OFFSET(N419,-$B$11,0)+ $E$4*OFFSET(N419,-2* $B$11,0), O418)</f>
        <v/>
      </c>
      <c r="P419" s="15">
        <f>INT((2^$J$12-1)*O419/100)/(2^$J$12-1)*100</f>
        <v/>
      </c>
      <c r="Q419" s="15" t="n">
        <v>0</v>
      </c>
      <c r="R419" s="15">
        <f>P419+Q419</f>
        <v/>
      </c>
      <c r="S419" s="15">
        <f>$I$1*S418-$I$2*S417+$I$3*R398+$I$4*R397</f>
        <v/>
      </c>
      <c r="T419" s="15">
        <f>RAND()*$G$12</f>
        <v/>
      </c>
      <c r="U419" s="15">
        <f>S419+T419</f>
        <v/>
      </c>
      <c r="V419" s="15">
        <f>INT((2^$J$12-1)*U419/100)/(2^$J$12-1)*100</f>
        <v/>
      </c>
      <c r="X419" s="15">
        <f>M419 * 1.05</f>
        <v/>
      </c>
      <c r="Y419" s="15">
        <f>M419 * 0.95</f>
        <v/>
      </c>
      <c r="Z419" s="15">
        <f>IF(AND(V419 &lt;= X419, V419 &gt;= Y419), 1, 0)</f>
        <v/>
      </c>
    </row>
    <row r="420">
      <c r="L420" s="15" t="n">
        <v>418</v>
      </c>
      <c r="M420" s="15">
        <f>IF(L420&lt;$D$16,$D$13,IF(L420&lt;$E$16,$E$13,$F$13))</f>
        <v/>
      </c>
      <c r="N420" s="15">
        <f>M420-V420</f>
        <v/>
      </c>
      <c r="O420" s="15">
        <f>IF(MOD(L420,$B$11)=0,OFFSET(O420,-$B$11,0)+ $E$2*N420+$E$3*OFFSET(N420,-$B$11,0)+ $E$4*OFFSET(N420,-2* $B$11,0), O419)</f>
        <v/>
      </c>
      <c r="P420" s="15">
        <f>INT((2^$J$12-1)*O420/100)/(2^$J$12-1)*100</f>
        <v/>
      </c>
      <c r="Q420" s="15" t="n">
        <v>0</v>
      </c>
      <c r="R420" s="15">
        <f>P420+Q420</f>
        <v/>
      </c>
      <c r="S420" s="15">
        <f>$I$1*S419-$I$2*S418+$I$3*R399+$I$4*R398</f>
        <v/>
      </c>
      <c r="T420" s="15">
        <f>RAND()*$G$12</f>
        <v/>
      </c>
      <c r="U420" s="15">
        <f>S420+T420</f>
        <v/>
      </c>
      <c r="V420" s="15">
        <f>INT((2^$J$12-1)*U420/100)/(2^$J$12-1)*100</f>
        <v/>
      </c>
      <c r="X420" s="15">
        <f>M420 * 1.05</f>
        <v/>
      </c>
      <c r="Y420" s="15">
        <f>M420 * 0.95</f>
        <v/>
      </c>
      <c r="Z420" s="15">
        <f>IF(AND(V420 &lt;= X420, V420 &gt;= Y420), 1, 0)</f>
        <v/>
      </c>
    </row>
    <row r="421">
      <c r="L421" s="15" t="n">
        <v>419</v>
      </c>
      <c r="M421" s="15">
        <f>IF(L421&lt;$D$16,$D$13,IF(L421&lt;$E$16,$E$13,$F$13))</f>
        <v/>
      </c>
      <c r="N421" s="15">
        <f>M421-V421</f>
        <v/>
      </c>
      <c r="O421" s="15">
        <f>IF(MOD(L421,$B$11)=0,OFFSET(O421,-$B$11,0)+ $E$2*N421+$E$3*OFFSET(N421,-$B$11,0)+ $E$4*OFFSET(N421,-2* $B$11,0), O420)</f>
        <v/>
      </c>
      <c r="P421" s="15">
        <f>INT((2^$J$12-1)*O421/100)/(2^$J$12-1)*100</f>
        <v/>
      </c>
      <c r="Q421" s="15" t="n">
        <v>0</v>
      </c>
      <c r="R421" s="15">
        <f>P421+Q421</f>
        <v/>
      </c>
      <c r="S421" s="15">
        <f>$I$1*S420-$I$2*S419+$I$3*R400+$I$4*R399</f>
        <v/>
      </c>
      <c r="T421" s="15">
        <f>RAND()*$G$12</f>
        <v/>
      </c>
      <c r="U421" s="15">
        <f>S421+T421</f>
        <v/>
      </c>
      <c r="V421" s="15">
        <f>INT((2^$J$12-1)*U421/100)/(2^$J$12-1)*100</f>
        <v/>
      </c>
      <c r="X421" s="15">
        <f>M421 * 1.05</f>
        <v/>
      </c>
      <c r="Y421" s="15">
        <f>M421 * 0.95</f>
        <v/>
      </c>
      <c r="Z421" s="15">
        <f>IF(AND(V421 &lt;= X421, V421 &gt;= Y421), 1, 0)</f>
        <v/>
      </c>
    </row>
    <row r="422">
      <c r="L422" s="15" t="n">
        <v>420</v>
      </c>
      <c r="M422" s="15">
        <f>IF(L422&lt;$D$16,$D$13,IF(L422&lt;$E$16,$E$13,$F$13))</f>
        <v/>
      </c>
      <c r="N422" s="15">
        <f>M422-V422</f>
        <v/>
      </c>
      <c r="O422" s="15">
        <f>IF(MOD(L422,$B$11)=0,OFFSET(O422,-$B$11,0)+ $E$2*N422+$E$3*OFFSET(N422,-$B$11,0)+ $E$4*OFFSET(N422,-2* $B$11,0), O421)</f>
        <v/>
      </c>
      <c r="P422" s="15">
        <f>INT((2^$J$12-1)*O422/100)/(2^$J$12-1)*100</f>
        <v/>
      </c>
      <c r="Q422" s="15" t="n">
        <v>0</v>
      </c>
      <c r="R422" s="15">
        <f>P422+Q422</f>
        <v/>
      </c>
      <c r="S422" s="15">
        <f>$I$1*S421-$I$2*S420+$I$3*R401+$I$4*R400</f>
        <v/>
      </c>
      <c r="T422" s="15">
        <f>RAND()*$G$12</f>
        <v/>
      </c>
      <c r="U422" s="15">
        <f>S422+T422</f>
        <v/>
      </c>
      <c r="V422" s="15">
        <f>INT((2^$J$12-1)*U422/100)/(2^$J$12-1)*100</f>
        <v/>
      </c>
      <c r="X422" s="15">
        <f>M422 * 1.05</f>
        <v/>
      </c>
      <c r="Y422" s="15">
        <f>M422 * 0.95</f>
        <v/>
      </c>
      <c r="Z422" s="15">
        <f>IF(AND(V422 &lt;= X422, V422 &gt;= Y422), 1, 0)</f>
        <v/>
      </c>
    </row>
    <row r="423">
      <c r="L423" s="15" t="n">
        <v>421</v>
      </c>
      <c r="M423" s="15">
        <f>IF(L423&lt;$D$16,$D$13,IF(L423&lt;$E$16,$E$13,$F$13))</f>
        <v/>
      </c>
      <c r="N423" s="15">
        <f>M423-V423</f>
        <v/>
      </c>
      <c r="O423" s="15">
        <f>IF(MOD(L423,$B$11)=0,OFFSET(O423,-$B$11,0)+ $E$2*N423+$E$3*OFFSET(N423,-$B$11,0)+ $E$4*OFFSET(N423,-2* $B$11,0), O422)</f>
        <v/>
      </c>
      <c r="P423" s="15">
        <f>INT((2^$J$12-1)*O423/100)/(2^$J$12-1)*100</f>
        <v/>
      </c>
      <c r="Q423" s="15" t="n">
        <v>0</v>
      </c>
      <c r="R423" s="15">
        <f>P423+Q423</f>
        <v/>
      </c>
      <c r="S423" s="15">
        <f>$I$1*S422-$I$2*S421+$I$3*R402+$I$4*R401</f>
        <v/>
      </c>
      <c r="T423" s="15">
        <f>RAND()*$G$12</f>
        <v/>
      </c>
      <c r="U423" s="15">
        <f>S423+T423</f>
        <v/>
      </c>
      <c r="V423" s="15">
        <f>INT((2^$J$12-1)*U423/100)/(2^$J$12-1)*100</f>
        <v/>
      </c>
      <c r="X423" s="15">
        <f>M423 * 1.05</f>
        <v/>
      </c>
      <c r="Y423" s="15">
        <f>M423 * 0.95</f>
        <v/>
      </c>
      <c r="Z423" s="15">
        <f>IF(AND(V423 &lt;= X423, V423 &gt;= Y423), 1, 0)</f>
        <v/>
      </c>
    </row>
    <row r="424">
      <c r="L424" s="15" t="n">
        <v>422</v>
      </c>
      <c r="M424" s="15">
        <f>IF(L424&lt;$D$16,$D$13,IF(L424&lt;$E$16,$E$13,$F$13))</f>
        <v/>
      </c>
      <c r="N424" s="15">
        <f>M424-V424</f>
        <v/>
      </c>
      <c r="O424" s="15">
        <f>IF(MOD(L424,$B$11)=0,OFFSET(O424,-$B$11,0)+ $E$2*N424+$E$3*OFFSET(N424,-$B$11,0)+ $E$4*OFFSET(N424,-2* $B$11,0), O423)</f>
        <v/>
      </c>
      <c r="P424" s="15">
        <f>INT((2^$J$12-1)*O424/100)/(2^$J$12-1)*100</f>
        <v/>
      </c>
      <c r="Q424" s="15" t="n">
        <v>0</v>
      </c>
      <c r="R424" s="15">
        <f>P424+Q424</f>
        <v/>
      </c>
      <c r="S424" s="15">
        <f>$I$1*S423-$I$2*S422+$I$3*R403+$I$4*R402</f>
        <v/>
      </c>
      <c r="T424" s="15">
        <f>RAND()*$G$12</f>
        <v/>
      </c>
      <c r="U424" s="15">
        <f>S424+T424</f>
        <v/>
      </c>
      <c r="V424" s="15">
        <f>INT((2^$J$12-1)*U424/100)/(2^$J$12-1)*100</f>
        <v/>
      </c>
      <c r="X424" s="15">
        <f>M424 * 1.05</f>
        <v/>
      </c>
      <c r="Y424" s="15">
        <f>M424 * 0.95</f>
        <v/>
      </c>
      <c r="Z424" s="15">
        <f>IF(AND(V424 &lt;= X424, V424 &gt;= Y424), 1, 0)</f>
        <v/>
      </c>
    </row>
    <row r="425">
      <c r="L425" s="15" t="n">
        <v>423</v>
      </c>
      <c r="M425" s="15">
        <f>IF(L425&lt;$D$16,$D$13,IF(L425&lt;$E$16,$E$13,$F$13))</f>
        <v/>
      </c>
      <c r="N425" s="15">
        <f>M425-V425</f>
        <v/>
      </c>
      <c r="O425" s="15">
        <f>IF(MOD(L425,$B$11)=0,OFFSET(O425,-$B$11,0)+ $E$2*N425+$E$3*OFFSET(N425,-$B$11,0)+ $E$4*OFFSET(N425,-2* $B$11,0), O424)</f>
        <v/>
      </c>
      <c r="P425" s="15">
        <f>INT((2^$J$12-1)*O425/100)/(2^$J$12-1)*100</f>
        <v/>
      </c>
      <c r="Q425" s="15" t="n">
        <v>0</v>
      </c>
      <c r="R425" s="15">
        <f>P425+Q425</f>
        <v/>
      </c>
      <c r="S425" s="15">
        <f>$I$1*S424-$I$2*S423+$I$3*R404+$I$4*R403</f>
        <v/>
      </c>
      <c r="T425" s="15">
        <f>RAND()*$G$12</f>
        <v/>
      </c>
      <c r="U425" s="15">
        <f>S425+T425</f>
        <v/>
      </c>
      <c r="V425" s="15">
        <f>INT((2^$J$12-1)*U425/100)/(2^$J$12-1)*100</f>
        <v/>
      </c>
      <c r="X425" s="15">
        <f>M425 * 1.05</f>
        <v/>
      </c>
      <c r="Y425" s="15">
        <f>M425 * 0.95</f>
        <v/>
      </c>
      <c r="Z425" s="15">
        <f>IF(AND(V425 &lt;= X425, V425 &gt;= Y425), 1, 0)</f>
        <v/>
      </c>
    </row>
    <row r="426">
      <c r="L426" s="15" t="n">
        <v>424</v>
      </c>
      <c r="M426" s="15">
        <f>IF(L426&lt;$D$16,$D$13,IF(L426&lt;$E$16,$E$13,$F$13))</f>
        <v/>
      </c>
      <c r="N426" s="15">
        <f>M426-V426</f>
        <v/>
      </c>
      <c r="O426" s="15">
        <f>IF(MOD(L426,$B$11)=0,OFFSET(O426,-$B$11,0)+ $E$2*N426+$E$3*OFFSET(N426,-$B$11,0)+ $E$4*OFFSET(N426,-2* $B$11,0), O425)</f>
        <v/>
      </c>
      <c r="P426" s="15">
        <f>INT((2^$J$12-1)*O426/100)/(2^$J$12-1)*100</f>
        <v/>
      </c>
      <c r="Q426" s="15" t="n">
        <v>0</v>
      </c>
      <c r="R426" s="15">
        <f>P426+Q426</f>
        <v/>
      </c>
      <c r="S426" s="15">
        <f>$I$1*S425-$I$2*S424+$I$3*R405+$I$4*R404</f>
        <v/>
      </c>
      <c r="T426" s="15">
        <f>RAND()*$G$12</f>
        <v/>
      </c>
      <c r="U426" s="15">
        <f>S426+T426</f>
        <v/>
      </c>
      <c r="V426" s="15">
        <f>INT((2^$J$12-1)*U426/100)/(2^$J$12-1)*100</f>
        <v/>
      </c>
      <c r="X426" s="15">
        <f>M426 * 1.05</f>
        <v/>
      </c>
      <c r="Y426" s="15">
        <f>M426 * 0.95</f>
        <v/>
      </c>
      <c r="Z426" s="15">
        <f>IF(AND(V426 &lt;= X426, V426 &gt;= Y426), 1, 0)</f>
        <v/>
      </c>
    </row>
    <row r="427">
      <c r="L427" s="15" t="n">
        <v>425</v>
      </c>
      <c r="M427" s="15">
        <f>IF(L427&lt;$D$16,$D$13,IF(L427&lt;$E$16,$E$13,$F$13))</f>
        <v/>
      </c>
      <c r="N427" s="15">
        <f>M427-V427</f>
        <v/>
      </c>
      <c r="O427" s="15">
        <f>IF(MOD(L427,$B$11)=0,OFFSET(O427,-$B$11,0)+ $E$2*N427+$E$3*OFFSET(N427,-$B$11,0)+ $E$4*OFFSET(N427,-2* $B$11,0), O426)</f>
        <v/>
      </c>
      <c r="P427" s="15">
        <f>INT((2^$J$12-1)*O427/100)/(2^$J$12-1)*100</f>
        <v/>
      </c>
      <c r="Q427" s="15" t="n">
        <v>0</v>
      </c>
      <c r="R427" s="15">
        <f>P427+Q427</f>
        <v/>
      </c>
      <c r="S427" s="15">
        <f>$I$1*S426-$I$2*S425+$I$3*R406+$I$4*R405</f>
        <v/>
      </c>
      <c r="T427" s="15">
        <f>RAND()*$G$12</f>
        <v/>
      </c>
      <c r="U427" s="15">
        <f>S427+T427</f>
        <v/>
      </c>
      <c r="V427" s="15">
        <f>INT((2^$J$12-1)*U427/100)/(2^$J$12-1)*100</f>
        <v/>
      </c>
      <c r="X427" s="15">
        <f>M427 * 1.05</f>
        <v/>
      </c>
      <c r="Y427" s="15">
        <f>M427 * 0.95</f>
        <v/>
      </c>
      <c r="Z427" s="15">
        <f>IF(AND(V427 &lt;= X427, V427 &gt;= Y427), 1, 0)</f>
        <v/>
      </c>
    </row>
    <row r="428">
      <c r="L428" s="15" t="n">
        <v>426</v>
      </c>
      <c r="M428" s="15">
        <f>IF(L428&lt;$D$16,$D$13,IF(L428&lt;$E$16,$E$13,$F$13))</f>
        <v/>
      </c>
      <c r="N428" s="15">
        <f>M428-V428</f>
        <v/>
      </c>
      <c r="O428" s="15">
        <f>IF(MOD(L428,$B$11)=0,OFFSET(O428,-$B$11,0)+ $E$2*N428+$E$3*OFFSET(N428,-$B$11,0)+ $E$4*OFFSET(N428,-2* $B$11,0), O427)</f>
        <v/>
      </c>
      <c r="P428" s="15">
        <f>INT((2^$J$12-1)*O428/100)/(2^$J$12-1)*100</f>
        <v/>
      </c>
      <c r="Q428" s="15" t="n">
        <v>0</v>
      </c>
      <c r="R428" s="15">
        <f>P428+Q428</f>
        <v/>
      </c>
      <c r="S428" s="15">
        <f>$I$1*S427-$I$2*S426+$I$3*R407+$I$4*R406</f>
        <v/>
      </c>
      <c r="T428" s="15">
        <f>RAND()*$G$12</f>
        <v/>
      </c>
      <c r="U428" s="15">
        <f>S428+T428</f>
        <v/>
      </c>
      <c r="V428" s="15">
        <f>INT((2^$J$12-1)*U428/100)/(2^$J$12-1)*100</f>
        <v/>
      </c>
      <c r="X428" s="15">
        <f>M428 * 1.05</f>
        <v/>
      </c>
      <c r="Y428" s="15">
        <f>M428 * 0.95</f>
        <v/>
      </c>
      <c r="Z428" s="15">
        <f>IF(AND(V428 &lt;= X428, V428 &gt;= Y428), 1, 0)</f>
        <v/>
      </c>
    </row>
    <row r="429">
      <c r="L429" s="15" t="n">
        <v>427</v>
      </c>
      <c r="M429" s="15">
        <f>IF(L429&lt;$D$16,$D$13,IF(L429&lt;$E$16,$E$13,$F$13))</f>
        <v/>
      </c>
      <c r="N429" s="15">
        <f>M429-V429</f>
        <v/>
      </c>
      <c r="O429" s="15">
        <f>IF(MOD(L429,$B$11)=0,OFFSET(O429,-$B$11,0)+ $E$2*N429+$E$3*OFFSET(N429,-$B$11,0)+ $E$4*OFFSET(N429,-2* $B$11,0), O428)</f>
        <v/>
      </c>
      <c r="P429" s="15">
        <f>INT((2^$J$12-1)*O429/100)/(2^$J$12-1)*100</f>
        <v/>
      </c>
      <c r="Q429" s="15" t="n">
        <v>0</v>
      </c>
      <c r="R429" s="15">
        <f>P429+Q429</f>
        <v/>
      </c>
      <c r="S429" s="15">
        <f>$I$1*S428-$I$2*S427+$I$3*R408+$I$4*R407</f>
        <v/>
      </c>
      <c r="T429" s="15">
        <f>RAND()*$G$12</f>
        <v/>
      </c>
      <c r="U429" s="15">
        <f>S429+T429</f>
        <v/>
      </c>
      <c r="V429" s="15">
        <f>INT((2^$J$12-1)*U429/100)/(2^$J$12-1)*100</f>
        <v/>
      </c>
      <c r="X429" s="15">
        <f>M429 * 1.05</f>
        <v/>
      </c>
      <c r="Y429" s="15">
        <f>M429 * 0.95</f>
        <v/>
      </c>
      <c r="Z429" s="15">
        <f>IF(AND(V429 &lt;= X429, V429 &gt;= Y429), 1, 0)</f>
        <v/>
      </c>
    </row>
    <row r="430">
      <c r="L430" s="15" t="n">
        <v>428</v>
      </c>
      <c r="M430" s="15">
        <f>IF(L430&lt;$D$16,$D$13,IF(L430&lt;$E$16,$E$13,$F$13))</f>
        <v/>
      </c>
      <c r="N430" s="15">
        <f>M430-V430</f>
        <v/>
      </c>
      <c r="O430" s="15">
        <f>IF(MOD(L430,$B$11)=0,OFFSET(O430,-$B$11,0)+ $E$2*N430+$E$3*OFFSET(N430,-$B$11,0)+ $E$4*OFFSET(N430,-2* $B$11,0), O429)</f>
        <v/>
      </c>
      <c r="P430" s="15">
        <f>INT((2^$J$12-1)*O430/100)/(2^$J$12-1)*100</f>
        <v/>
      </c>
      <c r="Q430" s="15" t="n">
        <v>0</v>
      </c>
      <c r="R430" s="15">
        <f>P430+Q430</f>
        <v/>
      </c>
      <c r="S430" s="15">
        <f>$I$1*S429-$I$2*S428+$I$3*R409+$I$4*R408</f>
        <v/>
      </c>
      <c r="T430" s="15">
        <f>RAND()*$G$12</f>
        <v/>
      </c>
      <c r="U430" s="15">
        <f>S430+T430</f>
        <v/>
      </c>
      <c r="V430" s="15">
        <f>INT((2^$J$12-1)*U430/100)/(2^$J$12-1)*100</f>
        <v/>
      </c>
      <c r="X430" s="15">
        <f>M430 * 1.05</f>
        <v/>
      </c>
      <c r="Y430" s="15">
        <f>M430 * 0.95</f>
        <v/>
      </c>
      <c r="Z430" s="15">
        <f>IF(AND(V430 &lt;= X430, V430 &gt;= Y430), 1, 0)</f>
        <v/>
      </c>
    </row>
    <row r="431">
      <c r="L431" s="15" t="n">
        <v>429</v>
      </c>
      <c r="M431" s="15">
        <f>IF(L431&lt;$D$16,$D$13,IF(L431&lt;$E$16,$E$13,$F$13))</f>
        <v/>
      </c>
      <c r="N431" s="15">
        <f>M431-V431</f>
        <v/>
      </c>
      <c r="O431" s="15">
        <f>IF(MOD(L431,$B$11)=0,OFFSET(O431,-$B$11,0)+ $E$2*N431+$E$3*OFFSET(N431,-$B$11,0)+ $E$4*OFFSET(N431,-2* $B$11,0), O430)</f>
        <v/>
      </c>
      <c r="P431" s="15">
        <f>INT((2^$J$12-1)*O431/100)/(2^$J$12-1)*100</f>
        <v/>
      </c>
      <c r="Q431" s="15" t="n">
        <v>0</v>
      </c>
      <c r="R431" s="15">
        <f>P431+Q431</f>
        <v/>
      </c>
      <c r="S431" s="15">
        <f>$I$1*S430-$I$2*S429+$I$3*R410+$I$4*R409</f>
        <v/>
      </c>
      <c r="T431" s="15">
        <f>RAND()*$G$12</f>
        <v/>
      </c>
      <c r="U431" s="15">
        <f>S431+T431</f>
        <v/>
      </c>
      <c r="V431" s="15">
        <f>INT((2^$J$12-1)*U431/100)/(2^$J$12-1)*100</f>
        <v/>
      </c>
      <c r="X431" s="15">
        <f>M431 * 1.05</f>
        <v/>
      </c>
      <c r="Y431" s="15">
        <f>M431 * 0.95</f>
        <v/>
      </c>
      <c r="Z431" s="15">
        <f>IF(AND(V431 &lt;= X431, V431 &gt;= Y431), 1, 0)</f>
        <v/>
      </c>
    </row>
    <row r="432">
      <c r="L432" s="15" t="n">
        <v>430</v>
      </c>
      <c r="M432" s="15">
        <f>IF(L432&lt;$D$16,$D$13,IF(L432&lt;$E$16,$E$13,$F$13))</f>
        <v/>
      </c>
      <c r="N432" s="15">
        <f>M432-V432</f>
        <v/>
      </c>
      <c r="O432" s="15">
        <f>IF(MOD(L432,$B$11)=0,OFFSET(O432,-$B$11,0)+ $E$2*N432+$E$3*OFFSET(N432,-$B$11,0)+ $E$4*OFFSET(N432,-2* $B$11,0), O431)</f>
        <v/>
      </c>
      <c r="P432" s="15">
        <f>INT((2^$J$12-1)*O432/100)/(2^$J$12-1)*100</f>
        <v/>
      </c>
      <c r="Q432" s="15" t="n">
        <v>0</v>
      </c>
      <c r="R432" s="15">
        <f>P432+Q432</f>
        <v/>
      </c>
      <c r="S432" s="15">
        <f>$I$1*S431-$I$2*S430+$I$3*R411+$I$4*R410</f>
        <v/>
      </c>
      <c r="T432" s="15">
        <f>RAND()*$G$12</f>
        <v/>
      </c>
      <c r="U432" s="15">
        <f>S432+T432</f>
        <v/>
      </c>
      <c r="V432" s="15">
        <f>INT((2^$J$12-1)*U432/100)/(2^$J$12-1)*100</f>
        <v/>
      </c>
      <c r="X432" s="15">
        <f>M432 * 1.05</f>
        <v/>
      </c>
      <c r="Y432" s="15">
        <f>M432 * 0.95</f>
        <v/>
      </c>
      <c r="Z432" s="15">
        <f>IF(AND(V432 &lt;= X432, V432 &gt;= Y432), 1, 0)</f>
        <v/>
      </c>
    </row>
    <row r="433">
      <c r="L433" s="15" t="n">
        <v>431</v>
      </c>
      <c r="M433" s="15">
        <f>IF(L433&lt;$D$16,$D$13,IF(L433&lt;$E$16,$E$13,$F$13))</f>
        <v/>
      </c>
      <c r="N433" s="15">
        <f>M433-V433</f>
        <v/>
      </c>
      <c r="O433" s="15">
        <f>IF(MOD(L433,$B$11)=0,OFFSET(O433,-$B$11,0)+ $E$2*N433+$E$3*OFFSET(N433,-$B$11,0)+ $E$4*OFFSET(N433,-2* $B$11,0), O432)</f>
        <v/>
      </c>
      <c r="P433" s="15">
        <f>INT((2^$J$12-1)*O433/100)/(2^$J$12-1)*100</f>
        <v/>
      </c>
      <c r="Q433" s="15" t="n">
        <v>0</v>
      </c>
      <c r="R433" s="15">
        <f>P433+Q433</f>
        <v/>
      </c>
      <c r="S433" s="15">
        <f>$I$1*S432-$I$2*S431+$I$3*R412+$I$4*R411</f>
        <v/>
      </c>
      <c r="T433" s="15">
        <f>RAND()*$G$12</f>
        <v/>
      </c>
      <c r="U433" s="15">
        <f>S433+T433</f>
        <v/>
      </c>
      <c r="V433" s="15">
        <f>INT((2^$J$12-1)*U433/100)/(2^$J$12-1)*100</f>
        <v/>
      </c>
      <c r="X433" s="15">
        <f>M433 * 1.05</f>
        <v/>
      </c>
      <c r="Y433" s="15">
        <f>M433 * 0.95</f>
        <v/>
      </c>
      <c r="Z433" s="15">
        <f>IF(AND(V433 &lt;= X433, V433 &gt;= Y433), 1, 0)</f>
        <v/>
      </c>
    </row>
    <row r="434">
      <c r="L434" s="15" t="n">
        <v>432</v>
      </c>
      <c r="M434" s="15">
        <f>IF(L434&lt;$D$16,$D$13,IF(L434&lt;$E$16,$E$13,$F$13))</f>
        <v/>
      </c>
      <c r="N434" s="15">
        <f>M434-V434</f>
        <v/>
      </c>
      <c r="O434" s="15">
        <f>IF(MOD(L434,$B$11)=0,OFFSET(O434,-$B$11,0)+ $E$2*N434+$E$3*OFFSET(N434,-$B$11,0)+ $E$4*OFFSET(N434,-2* $B$11,0), O433)</f>
        <v/>
      </c>
      <c r="P434" s="15">
        <f>INT((2^$J$12-1)*O434/100)/(2^$J$12-1)*100</f>
        <v/>
      </c>
      <c r="Q434" s="15" t="n">
        <v>0</v>
      </c>
      <c r="R434" s="15">
        <f>P434+Q434</f>
        <v/>
      </c>
      <c r="S434" s="15">
        <f>$I$1*S433-$I$2*S432+$I$3*R413+$I$4*R412</f>
        <v/>
      </c>
      <c r="T434" s="15">
        <f>RAND()*$G$12</f>
        <v/>
      </c>
      <c r="U434" s="15">
        <f>S434+T434</f>
        <v/>
      </c>
      <c r="V434" s="15">
        <f>INT((2^$J$12-1)*U434/100)/(2^$J$12-1)*100</f>
        <v/>
      </c>
      <c r="X434" s="15">
        <f>M434 * 1.05</f>
        <v/>
      </c>
      <c r="Y434" s="15">
        <f>M434 * 0.95</f>
        <v/>
      </c>
      <c r="Z434" s="15">
        <f>IF(AND(V434 &lt;= X434, V434 &gt;= Y434), 1, 0)</f>
        <v/>
      </c>
    </row>
    <row r="435">
      <c r="L435" s="15" t="n">
        <v>433</v>
      </c>
      <c r="M435" s="15">
        <f>IF(L435&lt;$D$16,$D$13,IF(L435&lt;$E$16,$E$13,$F$13))</f>
        <v/>
      </c>
      <c r="N435" s="15">
        <f>M435-V435</f>
        <v/>
      </c>
      <c r="O435" s="15">
        <f>IF(MOD(L435,$B$11)=0,OFFSET(O435,-$B$11,0)+ $E$2*N435+$E$3*OFFSET(N435,-$B$11,0)+ $E$4*OFFSET(N435,-2* $B$11,0), O434)</f>
        <v/>
      </c>
      <c r="P435" s="15">
        <f>INT((2^$J$12-1)*O435/100)/(2^$J$12-1)*100</f>
        <v/>
      </c>
      <c r="Q435" s="15" t="n">
        <v>0</v>
      </c>
      <c r="R435" s="15">
        <f>P435+Q435</f>
        <v/>
      </c>
      <c r="S435" s="15">
        <f>$I$1*S434-$I$2*S433+$I$3*R414+$I$4*R413</f>
        <v/>
      </c>
      <c r="T435" s="15">
        <f>RAND()*$G$12</f>
        <v/>
      </c>
      <c r="U435" s="15">
        <f>S435+T435</f>
        <v/>
      </c>
      <c r="V435" s="15">
        <f>INT((2^$J$12-1)*U435/100)/(2^$J$12-1)*100</f>
        <v/>
      </c>
      <c r="X435" s="15">
        <f>M435 * 1.05</f>
        <v/>
      </c>
      <c r="Y435" s="15">
        <f>M435 * 0.95</f>
        <v/>
      </c>
      <c r="Z435" s="15">
        <f>IF(AND(V435 &lt;= X435, V435 &gt;= Y435), 1, 0)</f>
        <v/>
      </c>
    </row>
    <row r="436">
      <c r="L436" s="15" t="n">
        <v>434</v>
      </c>
      <c r="M436" s="15">
        <f>IF(L436&lt;$D$16,$D$13,IF(L436&lt;$E$16,$E$13,$F$13))</f>
        <v/>
      </c>
      <c r="N436" s="15">
        <f>M436-V436</f>
        <v/>
      </c>
      <c r="O436" s="15">
        <f>IF(MOD(L436,$B$11)=0,OFFSET(O436,-$B$11,0)+ $E$2*N436+$E$3*OFFSET(N436,-$B$11,0)+ $E$4*OFFSET(N436,-2* $B$11,0), O435)</f>
        <v/>
      </c>
      <c r="P436" s="15">
        <f>INT((2^$J$12-1)*O436/100)/(2^$J$12-1)*100</f>
        <v/>
      </c>
      <c r="Q436" s="15" t="n">
        <v>0</v>
      </c>
      <c r="R436" s="15">
        <f>P436+Q436</f>
        <v/>
      </c>
      <c r="S436" s="15">
        <f>$I$1*S435-$I$2*S434+$I$3*R415+$I$4*R414</f>
        <v/>
      </c>
      <c r="T436" s="15">
        <f>RAND()*$G$12</f>
        <v/>
      </c>
      <c r="U436" s="15">
        <f>S436+T436</f>
        <v/>
      </c>
      <c r="V436" s="15">
        <f>INT((2^$J$12-1)*U436/100)/(2^$J$12-1)*100</f>
        <v/>
      </c>
      <c r="X436" s="15">
        <f>M436 * 1.05</f>
        <v/>
      </c>
      <c r="Y436" s="15">
        <f>M436 * 0.95</f>
        <v/>
      </c>
      <c r="Z436" s="15">
        <f>IF(AND(V436 &lt;= X436, V436 &gt;= Y436), 1, 0)</f>
        <v/>
      </c>
    </row>
    <row r="437">
      <c r="L437" s="15" t="n">
        <v>435</v>
      </c>
      <c r="M437" s="15">
        <f>IF(L437&lt;$D$16,$D$13,IF(L437&lt;$E$16,$E$13,$F$13))</f>
        <v/>
      </c>
      <c r="N437" s="15">
        <f>M437-V437</f>
        <v/>
      </c>
      <c r="O437" s="15">
        <f>IF(MOD(L437,$B$11)=0,OFFSET(O437,-$B$11,0)+ $E$2*N437+$E$3*OFFSET(N437,-$B$11,0)+ $E$4*OFFSET(N437,-2* $B$11,0), O436)</f>
        <v/>
      </c>
      <c r="P437" s="15">
        <f>INT((2^$J$12-1)*O437/100)/(2^$J$12-1)*100</f>
        <v/>
      </c>
      <c r="Q437" s="15" t="n">
        <v>0</v>
      </c>
      <c r="R437" s="15">
        <f>P437+Q437</f>
        <v/>
      </c>
      <c r="S437" s="15">
        <f>$I$1*S436-$I$2*S435+$I$3*R416+$I$4*R415</f>
        <v/>
      </c>
      <c r="T437" s="15">
        <f>RAND()*$G$12</f>
        <v/>
      </c>
      <c r="U437" s="15">
        <f>S437+T437</f>
        <v/>
      </c>
      <c r="V437" s="15">
        <f>INT((2^$J$12-1)*U437/100)/(2^$J$12-1)*100</f>
        <v/>
      </c>
      <c r="X437" s="15">
        <f>M437 * 1.05</f>
        <v/>
      </c>
      <c r="Y437" s="15">
        <f>M437 * 0.95</f>
        <v/>
      </c>
      <c r="Z437" s="15">
        <f>IF(AND(V437 &lt;= X437, V437 &gt;= Y437), 1, 0)</f>
        <v/>
      </c>
    </row>
    <row r="438">
      <c r="L438" s="15" t="n">
        <v>436</v>
      </c>
      <c r="M438" s="15">
        <f>IF(L438&lt;$D$16,$D$13,IF(L438&lt;$E$16,$E$13,$F$13))</f>
        <v/>
      </c>
      <c r="N438" s="15">
        <f>M438-V438</f>
        <v/>
      </c>
      <c r="O438" s="15">
        <f>IF(MOD(L438,$B$11)=0,OFFSET(O438,-$B$11,0)+ $E$2*N438+$E$3*OFFSET(N438,-$B$11,0)+ $E$4*OFFSET(N438,-2* $B$11,0), O437)</f>
        <v/>
      </c>
      <c r="P438" s="15">
        <f>INT((2^$J$12-1)*O438/100)/(2^$J$12-1)*100</f>
        <v/>
      </c>
      <c r="Q438" s="15" t="n">
        <v>0</v>
      </c>
      <c r="R438" s="15">
        <f>P438+Q438</f>
        <v/>
      </c>
      <c r="S438" s="15">
        <f>$I$1*S437-$I$2*S436+$I$3*R417+$I$4*R416</f>
        <v/>
      </c>
      <c r="T438" s="15">
        <f>RAND()*$G$12</f>
        <v/>
      </c>
      <c r="U438" s="15">
        <f>S438+T438</f>
        <v/>
      </c>
      <c r="V438" s="15">
        <f>INT((2^$J$12-1)*U438/100)/(2^$J$12-1)*100</f>
        <v/>
      </c>
      <c r="X438" s="15">
        <f>M438 * 1.05</f>
        <v/>
      </c>
      <c r="Y438" s="15">
        <f>M438 * 0.95</f>
        <v/>
      </c>
      <c r="Z438" s="15">
        <f>IF(AND(V438 &lt;= X438, V438 &gt;= Y438), 1, 0)</f>
        <v/>
      </c>
    </row>
    <row r="439">
      <c r="L439" s="15" t="n">
        <v>437</v>
      </c>
      <c r="M439" s="15">
        <f>IF(L439&lt;$D$16,$D$13,IF(L439&lt;$E$16,$E$13,$F$13))</f>
        <v/>
      </c>
      <c r="N439" s="15">
        <f>M439-V439</f>
        <v/>
      </c>
      <c r="O439" s="15">
        <f>IF(MOD(L439,$B$11)=0,OFFSET(O439,-$B$11,0)+ $E$2*N439+$E$3*OFFSET(N439,-$B$11,0)+ $E$4*OFFSET(N439,-2* $B$11,0), O438)</f>
        <v/>
      </c>
      <c r="P439" s="15">
        <f>INT((2^$J$12-1)*O439/100)/(2^$J$12-1)*100</f>
        <v/>
      </c>
      <c r="Q439" s="15" t="n">
        <v>0</v>
      </c>
      <c r="R439" s="15">
        <f>P439+Q439</f>
        <v/>
      </c>
      <c r="S439" s="15">
        <f>$I$1*S438-$I$2*S437+$I$3*R418+$I$4*R417</f>
        <v/>
      </c>
      <c r="T439" s="15">
        <f>RAND()*$G$12</f>
        <v/>
      </c>
      <c r="U439" s="15">
        <f>S439+T439</f>
        <v/>
      </c>
      <c r="V439" s="15">
        <f>INT((2^$J$12-1)*U439/100)/(2^$J$12-1)*100</f>
        <v/>
      </c>
      <c r="X439" s="15">
        <f>M439 * 1.05</f>
        <v/>
      </c>
      <c r="Y439" s="15">
        <f>M439 * 0.95</f>
        <v/>
      </c>
      <c r="Z439" s="15">
        <f>IF(AND(V439 &lt;= X439, V439 &gt;= Y439), 1, 0)</f>
        <v/>
      </c>
    </row>
    <row r="440">
      <c r="L440" s="15" t="n">
        <v>438</v>
      </c>
      <c r="M440" s="15">
        <f>IF(L440&lt;$D$16,$D$13,IF(L440&lt;$E$16,$E$13,$F$13))</f>
        <v/>
      </c>
      <c r="N440" s="15">
        <f>M440-V440</f>
        <v/>
      </c>
      <c r="O440" s="15">
        <f>IF(MOD(L440,$B$11)=0,OFFSET(O440,-$B$11,0)+ $E$2*N440+$E$3*OFFSET(N440,-$B$11,0)+ $E$4*OFFSET(N440,-2* $B$11,0), O439)</f>
        <v/>
      </c>
      <c r="P440" s="15">
        <f>INT((2^$J$12-1)*O440/100)/(2^$J$12-1)*100</f>
        <v/>
      </c>
      <c r="Q440" s="15" t="n">
        <v>0</v>
      </c>
      <c r="R440" s="15">
        <f>P440+Q440</f>
        <v/>
      </c>
      <c r="S440" s="15">
        <f>$I$1*S439-$I$2*S438+$I$3*R419+$I$4*R418</f>
        <v/>
      </c>
      <c r="T440" s="15">
        <f>RAND()*$G$12</f>
        <v/>
      </c>
      <c r="U440" s="15">
        <f>S440+T440</f>
        <v/>
      </c>
      <c r="V440" s="15">
        <f>INT((2^$J$12-1)*U440/100)/(2^$J$12-1)*100</f>
        <v/>
      </c>
      <c r="X440" s="15">
        <f>M440 * 1.05</f>
        <v/>
      </c>
      <c r="Y440" s="15">
        <f>M440 * 0.95</f>
        <v/>
      </c>
      <c r="Z440" s="15">
        <f>IF(AND(V440 &lt;= X440, V440 &gt;= Y440), 1, 0)</f>
        <v/>
      </c>
    </row>
    <row r="441">
      <c r="L441" s="15" t="n">
        <v>439</v>
      </c>
      <c r="M441" s="15">
        <f>IF(L441&lt;$D$16,$D$13,IF(L441&lt;$E$16,$E$13,$F$13))</f>
        <v/>
      </c>
      <c r="N441" s="15">
        <f>M441-V441</f>
        <v/>
      </c>
      <c r="O441" s="15">
        <f>IF(MOD(L441,$B$11)=0,OFFSET(O441,-$B$11,0)+ $E$2*N441+$E$3*OFFSET(N441,-$B$11,0)+ $E$4*OFFSET(N441,-2* $B$11,0), O440)</f>
        <v/>
      </c>
      <c r="P441" s="15">
        <f>INT((2^$J$12-1)*O441/100)/(2^$J$12-1)*100</f>
        <v/>
      </c>
      <c r="Q441" s="15" t="n">
        <v>0</v>
      </c>
      <c r="R441" s="15">
        <f>P441+Q441</f>
        <v/>
      </c>
      <c r="S441" s="15">
        <f>$I$1*S440-$I$2*S439+$I$3*R420+$I$4*R419</f>
        <v/>
      </c>
      <c r="T441" s="15">
        <f>RAND()*$G$12</f>
        <v/>
      </c>
      <c r="U441" s="15">
        <f>S441+T441</f>
        <v/>
      </c>
      <c r="V441" s="15">
        <f>INT((2^$J$12-1)*U441/100)/(2^$J$12-1)*100</f>
        <v/>
      </c>
      <c r="X441" s="15">
        <f>M441 * 1.05</f>
        <v/>
      </c>
      <c r="Y441" s="15">
        <f>M441 * 0.95</f>
        <v/>
      </c>
      <c r="Z441" s="15">
        <f>IF(AND(V441 &lt;= X441, V441 &gt;= Y441), 1, 0)</f>
        <v/>
      </c>
    </row>
    <row r="442">
      <c r="L442" s="15" t="n">
        <v>440</v>
      </c>
      <c r="M442" s="15">
        <f>IF(L442&lt;$D$16,$D$13,IF(L442&lt;$E$16,$E$13,$F$13))</f>
        <v/>
      </c>
      <c r="N442" s="15">
        <f>M442-V442</f>
        <v/>
      </c>
      <c r="O442" s="15">
        <f>IF(MOD(L442,$B$11)=0,OFFSET(O442,-$B$11,0)+ $E$2*N442+$E$3*OFFSET(N442,-$B$11,0)+ $E$4*OFFSET(N442,-2* $B$11,0), O441)</f>
        <v/>
      </c>
      <c r="P442" s="15">
        <f>INT((2^$J$12-1)*O442/100)/(2^$J$12-1)*100</f>
        <v/>
      </c>
      <c r="Q442" s="15" t="n">
        <v>0</v>
      </c>
      <c r="R442" s="15">
        <f>P442+Q442</f>
        <v/>
      </c>
      <c r="S442" s="15">
        <f>$I$1*S441-$I$2*S440+$I$3*R421+$I$4*R420</f>
        <v/>
      </c>
      <c r="T442" s="15">
        <f>RAND()*$G$12</f>
        <v/>
      </c>
      <c r="U442" s="15">
        <f>S442+T442</f>
        <v/>
      </c>
      <c r="V442" s="15">
        <f>INT((2^$J$12-1)*U442/100)/(2^$J$12-1)*100</f>
        <v/>
      </c>
      <c r="X442" s="15">
        <f>M442 * 1.05</f>
        <v/>
      </c>
      <c r="Y442" s="15">
        <f>M442 * 0.95</f>
        <v/>
      </c>
      <c r="Z442" s="15">
        <f>IF(AND(V442 &lt;= X442, V442 &gt;= Y442), 1, 0)</f>
        <v/>
      </c>
    </row>
    <row r="443">
      <c r="L443" s="15" t="n">
        <v>441</v>
      </c>
      <c r="M443" s="15">
        <f>IF(L443&lt;$D$16,$D$13,IF(L443&lt;$E$16,$E$13,$F$13))</f>
        <v/>
      </c>
      <c r="N443" s="15">
        <f>M443-V443</f>
        <v/>
      </c>
      <c r="O443" s="15">
        <f>IF(MOD(L443,$B$11)=0,OFFSET(O443,-$B$11,0)+ $E$2*N443+$E$3*OFFSET(N443,-$B$11,0)+ $E$4*OFFSET(N443,-2* $B$11,0), O442)</f>
        <v/>
      </c>
      <c r="P443" s="15">
        <f>INT((2^$J$12-1)*O443/100)/(2^$J$12-1)*100</f>
        <v/>
      </c>
      <c r="Q443" s="15" t="n">
        <v>0</v>
      </c>
      <c r="R443" s="15">
        <f>P443+Q443</f>
        <v/>
      </c>
      <c r="S443" s="15">
        <f>$I$1*S442-$I$2*S441+$I$3*R422+$I$4*R421</f>
        <v/>
      </c>
      <c r="T443" s="15">
        <f>RAND()*$G$12</f>
        <v/>
      </c>
      <c r="U443" s="15">
        <f>S443+T443</f>
        <v/>
      </c>
      <c r="V443" s="15">
        <f>INT((2^$J$12-1)*U443/100)/(2^$J$12-1)*100</f>
        <v/>
      </c>
      <c r="X443" s="15">
        <f>M443 * 1.05</f>
        <v/>
      </c>
      <c r="Y443" s="15">
        <f>M443 * 0.95</f>
        <v/>
      </c>
      <c r="Z443" s="15">
        <f>IF(AND(V443 &lt;= X443, V443 &gt;= Y443), 1, 0)</f>
        <v/>
      </c>
    </row>
    <row r="444">
      <c r="L444" s="15" t="n">
        <v>442</v>
      </c>
      <c r="M444" s="15">
        <f>IF(L444&lt;$D$16,$D$13,IF(L444&lt;$E$16,$E$13,$F$13))</f>
        <v/>
      </c>
      <c r="N444" s="15">
        <f>M444-V444</f>
        <v/>
      </c>
      <c r="O444" s="15">
        <f>IF(MOD(L444,$B$11)=0,OFFSET(O444,-$B$11,0)+ $E$2*N444+$E$3*OFFSET(N444,-$B$11,0)+ $E$4*OFFSET(N444,-2* $B$11,0), O443)</f>
        <v/>
      </c>
      <c r="P444" s="15">
        <f>INT((2^$J$12-1)*O444/100)/(2^$J$12-1)*100</f>
        <v/>
      </c>
      <c r="Q444" s="15" t="n">
        <v>0</v>
      </c>
      <c r="R444" s="15">
        <f>P444+Q444</f>
        <v/>
      </c>
      <c r="S444" s="15">
        <f>$I$1*S443-$I$2*S442+$I$3*R423+$I$4*R422</f>
        <v/>
      </c>
      <c r="T444" s="15">
        <f>RAND()*$G$12</f>
        <v/>
      </c>
      <c r="U444" s="15">
        <f>S444+T444</f>
        <v/>
      </c>
      <c r="V444" s="15">
        <f>INT((2^$J$12-1)*U444/100)/(2^$J$12-1)*100</f>
        <v/>
      </c>
      <c r="X444" s="15">
        <f>M444 * 1.05</f>
        <v/>
      </c>
      <c r="Y444" s="15">
        <f>M444 * 0.95</f>
        <v/>
      </c>
      <c r="Z444" s="15">
        <f>IF(AND(V444 &lt;= X444, V444 &gt;= Y444), 1, 0)</f>
        <v/>
      </c>
    </row>
    <row r="445">
      <c r="L445" s="15" t="n">
        <v>443</v>
      </c>
      <c r="M445" s="15">
        <f>IF(L445&lt;$D$16,$D$13,IF(L445&lt;$E$16,$E$13,$F$13))</f>
        <v/>
      </c>
      <c r="N445" s="15">
        <f>M445-V445</f>
        <v/>
      </c>
      <c r="O445" s="15">
        <f>IF(MOD(L445,$B$11)=0,OFFSET(O445,-$B$11,0)+ $E$2*N445+$E$3*OFFSET(N445,-$B$11,0)+ $E$4*OFFSET(N445,-2* $B$11,0), O444)</f>
        <v/>
      </c>
      <c r="P445" s="15">
        <f>INT((2^$J$12-1)*O445/100)/(2^$J$12-1)*100</f>
        <v/>
      </c>
      <c r="Q445" s="15" t="n">
        <v>0</v>
      </c>
      <c r="R445" s="15">
        <f>P445+Q445</f>
        <v/>
      </c>
      <c r="S445" s="15">
        <f>$I$1*S444-$I$2*S443+$I$3*R424+$I$4*R423</f>
        <v/>
      </c>
      <c r="T445" s="15">
        <f>RAND()*$G$12</f>
        <v/>
      </c>
      <c r="U445" s="15">
        <f>S445+T445</f>
        <v/>
      </c>
      <c r="V445" s="15">
        <f>INT((2^$J$12-1)*U445/100)/(2^$J$12-1)*100</f>
        <v/>
      </c>
      <c r="X445" s="15">
        <f>M445 * 1.05</f>
        <v/>
      </c>
      <c r="Y445" s="15">
        <f>M445 * 0.95</f>
        <v/>
      </c>
      <c r="Z445" s="15">
        <f>IF(AND(V445 &lt;= X445, V445 &gt;= Y445), 1, 0)</f>
        <v/>
      </c>
    </row>
    <row r="446">
      <c r="L446" s="15" t="n">
        <v>444</v>
      </c>
      <c r="M446" s="15">
        <f>IF(L446&lt;$D$16,$D$13,IF(L446&lt;$E$16,$E$13,$F$13))</f>
        <v/>
      </c>
      <c r="N446" s="15">
        <f>M446-V446</f>
        <v/>
      </c>
      <c r="O446" s="15">
        <f>IF(MOD(L446,$B$11)=0,OFFSET(O446,-$B$11,0)+ $E$2*N446+$E$3*OFFSET(N446,-$B$11,0)+ $E$4*OFFSET(N446,-2* $B$11,0), O445)</f>
        <v/>
      </c>
      <c r="P446" s="15">
        <f>INT((2^$J$12-1)*O446/100)/(2^$J$12-1)*100</f>
        <v/>
      </c>
      <c r="Q446" s="15" t="n">
        <v>0</v>
      </c>
      <c r="R446" s="15">
        <f>P446+Q446</f>
        <v/>
      </c>
      <c r="S446" s="15">
        <f>$I$1*S445-$I$2*S444+$I$3*R425+$I$4*R424</f>
        <v/>
      </c>
      <c r="T446" s="15">
        <f>RAND()*$G$12</f>
        <v/>
      </c>
      <c r="U446" s="15">
        <f>S446+T446</f>
        <v/>
      </c>
      <c r="V446" s="15">
        <f>INT((2^$J$12-1)*U446/100)/(2^$J$12-1)*100</f>
        <v/>
      </c>
      <c r="X446" s="15">
        <f>M446 * 1.05</f>
        <v/>
      </c>
      <c r="Y446" s="15">
        <f>M446 * 0.95</f>
        <v/>
      </c>
      <c r="Z446" s="15">
        <f>IF(AND(V446 &lt;= X446, V446 &gt;= Y446), 1, 0)</f>
        <v/>
      </c>
    </row>
    <row r="447">
      <c r="L447" s="15" t="n">
        <v>445</v>
      </c>
      <c r="M447" s="15">
        <f>IF(L447&lt;$D$16,$D$13,IF(L447&lt;$E$16,$E$13,$F$13))</f>
        <v/>
      </c>
      <c r="N447" s="15">
        <f>M447-V447</f>
        <v/>
      </c>
      <c r="O447" s="15">
        <f>IF(MOD(L447,$B$11)=0,OFFSET(O447,-$B$11,0)+ $E$2*N447+$E$3*OFFSET(N447,-$B$11,0)+ $E$4*OFFSET(N447,-2* $B$11,0), O446)</f>
        <v/>
      </c>
      <c r="P447" s="15">
        <f>INT((2^$J$12-1)*O447/100)/(2^$J$12-1)*100</f>
        <v/>
      </c>
      <c r="Q447" s="15" t="n">
        <v>0</v>
      </c>
      <c r="R447" s="15">
        <f>P447+Q447</f>
        <v/>
      </c>
      <c r="S447" s="15">
        <f>$I$1*S446-$I$2*S445+$I$3*R426+$I$4*R425</f>
        <v/>
      </c>
      <c r="T447" s="15">
        <f>RAND()*$G$12</f>
        <v/>
      </c>
      <c r="U447" s="15">
        <f>S447+T447</f>
        <v/>
      </c>
      <c r="V447" s="15">
        <f>INT((2^$J$12-1)*U447/100)/(2^$J$12-1)*100</f>
        <v/>
      </c>
      <c r="X447" s="15">
        <f>M447 * 1.05</f>
        <v/>
      </c>
      <c r="Y447" s="15">
        <f>M447 * 0.95</f>
        <v/>
      </c>
      <c r="Z447" s="15">
        <f>IF(AND(V447 &lt;= X447, V447 &gt;= Y447), 1, 0)</f>
        <v/>
      </c>
    </row>
    <row r="448">
      <c r="L448" s="15" t="n">
        <v>446</v>
      </c>
      <c r="M448" s="15">
        <f>IF(L448&lt;$D$16,$D$13,IF(L448&lt;$E$16,$E$13,$F$13))</f>
        <v/>
      </c>
      <c r="N448" s="15">
        <f>M448-V448</f>
        <v/>
      </c>
      <c r="O448" s="15">
        <f>IF(MOD(L448,$B$11)=0,OFFSET(O448,-$B$11,0)+ $E$2*N448+$E$3*OFFSET(N448,-$B$11,0)+ $E$4*OFFSET(N448,-2* $B$11,0), O447)</f>
        <v/>
      </c>
      <c r="P448" s="15">
        <f>INT((2^$J$12-1)*O448/100)/(2^$J$12-1)*100</f>
        <v/>
      </c>
      <c r="Q448" s="15" t="n">
        <v>0</v>
      </c>
      <c r="R448" s="15">
        <f>P448+Q448</f>
        <v/>
      </c>
      <c r="S448" s="15">
        <f>$I$1*S447-$I$2*S446+$I$3*R427+$I$4*R426</f>
        <v/>
      </c>
      <c r="T448" s="15">
        <f>RAND()*$G$12</f>
        <v/>
      </c>
      <c r="U448" s="15">
        <f>S448+T448</f>
        <v/>
      </c>
      <c r="V448" s="15">
        <f>INT((2^$J$12-1)*U448/100)/(2^$J$12-1)*100</f>
        <v/>
      </c>
      <c r="X448" s="15">
        <f>M448 * 1.05</f>
        <v/>
      </c>
      <c r="Y448" s="15">
        <f>M448 * 0.95</f>
        <v/>
      </c>
      <c r="Z448" s="15">
        <f>IF(AND(V448 &lt;= X448, V448 &gt;= Y448), 1, 0)</f>
        <v/>
      </c>
    </row>
    <row r="449">
      <c r="L449" s="15" t="n">
        <v>447</v>
      </c>
      <c r="M449" s="15">
        <f>IF(L449&lt;$D$16,$D$13,IF(L449&lt;$E$16,$E$13,$F$13))</f>
        <v/>
      </c>
      <c r="N449" s="15">
        <f>M449-V449</f>
        <v/>
      </c>
      <c r="O449" s="15">
        <f>IF(MOD(L449,$B$11)=0,OFFSET(O449,-$B$11,0)+ $E$2*N449+$E$3*OFFSET(N449,-$B$11,0)+ $E$4*OFFSET(N449,-2* $B$11,0), O448)</f>
        <v/>
      </c>
      <c r="P449" s="15">
        <f>INT((2^$J$12-1)*O449/100)/(2^$J$12-1)*100</f>
        <v/>
      </c>
      <c r="Q449" s="15" t="n">
        <v>0</v>
      </c>
      <c r="R449" s="15">
        <f>P449+Q449</f>
        <v/>
      </c>
      <c r="S449" s="15">
        <f>$I$1*S448-$I$2*S447+$I$3*R428+$I$4*R427</f>
        <v/>
      </c>
      <c r="T449" s="15">
        <f>RAND()*$G$12</f>
        <v/>
      </c>
      <c r="U449" s="15">
        <f>S449+T449</f>
        <v/>
      </c>
      <c r="V449" s="15">
        <f>INT((2^$J$12-1)*U449/100)/(2^$J$12-1)*100</f>
        <v/>
      </c>
      <c r="X449" s="15">
        <f>M449 * 1.05</f>
        <v/>
      </c>
      <c r="Y449" s="15">
        <f>M449 * 0.95</f>
        <v/>
      </c>
      <c r="Z449" s="15">
        <f>IF(AND(V449 &lt;= X449, V449 &gt;= Y449), 1, 0)</f>
        <v/>
      </c>
    </row>
    <row r="450">
      <c r="L450" s="15" t="n">
        <v>448</v>
      </c>
      <c r="M450" s="15">
        <f>IF(L450&lt;$D$16,$D$13,IF(L450&lt;$E$16,$E$13,$F$13))</f>
        <v/>
      </c>
      <c r="N450" s="15">
        <f>M450-V450</f>
        <v/>
      </c>
      <c r="O450" s="15">
        <f>IF(MOD(L450,$B$11)=0,OFFSET(O450,-$B$11,0)+ $E$2*N450+$E$3*OFFSET(N450,-$B$11,0)+ $E$4*OFFSET(N450,-2* $B$11,0), O449)</f>
        <v/>
      </c>
      <c r="P450" s="15">
        <f>INT((2^$J$12-1)*O450/100)/(2^$J$12-1)*100</f>
        <v/>
      </c>
      <c r="Q450" s="15" t="n">
        <v>0</v>
      </c>
      <c r="R450" s="15">
        <f>P450+Q450</f>
        <v/>
      </c>
      <c r="S450" s="15">
        <f>$I$1*S449-$I$2*S448+$I$3*R429+$I$4*R428</f>
        <v/>
      </c>
      <c r="T450" s="15">
        <f>RAND()*$G$12</f>
        <v/>
      </c>
      <c r="U450" s="15">
        <f>S450+T450</f>
        <v/>
      </c>
      <c r="V450" s="15">
        <f>INT((2^$J$12-1)*U450/100)/(2^$J$12-1)*100</f>
        <v/>
      </c>
      <c r="X450" s="15">
        <f>M450 * 1.05</f>
        <v/>
      </c>
      <c r="Y450" s="15">
        <f>M450 * 0.95</f>
        <v/>
      </c>
      <c r="Z450" s="15">
        <f>IF(AND(V450 &lt;= X450, V450 &gt;= Y450), 1, 0)</f>
        <v/>
      </c>
    </row>
    <row r="451">
      <c r="L451" s="15" t="n">
        <v>449</v>
      </c>
      <c r="M451" s="15">
        <f>IF(L451&lt;$D$16,$D$13,IF(L451&lt;$E$16,$E$13,$F$13))</f>
        <v/>
      </c>
      <c r="N451" s="15">
        <f>M451-V451</f>
        <v/>
      </c>
      <c r="O451" s="15">
        <f>IF(MOD(L451,$B$11)=0,OFFSET(O451,-$B$11,0)+ $E$2*N451+$E$3*OFFSET(N451,-$B$11,0)+ $E$4*OFFSET(N451,-2* $B$11,0), O450)</f>
        <v/>
      </c>
      <c r="P451" s="15">
        <f>INT((2^$J$12-1)*O451/100)/(2^$J$12-1)*100</f>
        <v/>
      </c>
      <c r="Q451" s="15" t="n">
        <v>0</v>
      </c>
      <c r="R451" s="15">
        <f>P451+Q451</f>
        <v/>
      </c>
      <c r="S451" s="15">
        <f>$I$1*S450-$I$2*S449+$I$3*R430+$I$4*R429</f>
        <v/>
      </c>
      <c r="T451" s="15">
        <f>RAND()*$G$12</f>
        <v/>
      </c>
      <c r="U451" s="15">
        <f>S451+T451</f>
        <v/>
      </c>
      <c r="V451" s="15">
        <f>INT((2^$J$12-1)*U451/100)/(2^$J$12-1)*100</f>
        <v/>
      </c>
      <c r="X451" s="15">
        <f>M451 * 1.05</f>
        <v/>
      </c>
      <c r="Y451" s="15">
        <f>M451 * 0.95</f>
        <v/>
      </c>
      <c r="Z451" s="15">
        <f>IF(AND(V451 &lt;= X451, V451 &gt;= Y451), 1, 0)</f>
        <v/>
      </c>
    </row>
    <row r="452">
      <c r="L452" s="15" t="n">
        <v>450</v>
      </c>
      <c r="M452" s="15">
        <f>IF(L452&lt;$D$16,$D$13,IF(L452&lt;$E$16,$E$13,$F$13))</f>
        <v/>
      </c>
      <c r="N452" s="15">
        <f>M452-V452</f>
        <v/>
      </c>
      <c r="O452" s="15">
        <f>IF(MOD(L452,$B$11)=0,OFFSET(O452,-$B$11,0)+ $E$2*N452+$E$3*OFFSET(N452,-$B$11,0)+ $E$4*OFFSET(N452,-2* $B$11,0), O451)</f>
        <v/>
      </c>
      <c r="P452" s="15">
        <f>INT((2^$J$12-1)*O452/100)/(2^$J$12-1)*100</f>
        <v/>
      </c>
      <c r="Q452" s="15" t="n">
        <v>0</v>
      </c>
      <c r="R452" s="15">
        <f>P452+Q452</f>
        <v/>
      </c>
      <c r="S452" s="15">
        <f>$I$1*S451-$I$2*S450+$I$3*R431+$I$4*R430</f>
        <v/>
      </c>
      <c r="T452" s="15">
        <f>RAND()*$G$12</f>
        <v/>
      </c>
      <c r="U452" s="15">
        <f>S452+T452</f>
        <v/>
      </c>
      <c r="V452" s="15">
        <f>INT((2^$J$12-1)*U452/100)/(2^$J$12-1)*100</f>
        <v/>
      </c>
      <c r="X452" s="15">
        <f>M452 * 1.05</f>
        <v/>
      </c>
      <c r="Y452" s="15">
        <f>M452 * 0.95</f>
        <v/>
      </c>
      <c r="Z452" s="15">
        <f>IF(AND(V452 &lt;= X452, V452 &gt;= Y452), 1, 0)</f>
        <v/>
      </c>
    </row>
    <row r="453">
      <c r="L453" s="15" t="n">
        <v>451</v>
      </c>
      <c r="M453" s="15">
        <f>IF(L453&lt;$D$16,$D$13,IF(L453&lt;$E$16,$E$13,$F$13))</f>
        <v/>
      </c>
      <c r="N453" s="15">
        <f>M453-V453</f>
        <v/>
      </c>
      <c r="O453" s="15">
        <f>IF(MOD(L453,$B$11)=0,OFFSET(O453,-$B$11,0)+ $E$2*N453+$E$3*OFFSET(N453,-$B$11,0)+ $E$4*OFFSET(N453,-2* $B$11,0), O452)</f>
        <v/>
      </c>
      <c r="P453" s="15">
        <f>INT((2^$J$12-1)*O453/100)/(2^$J$12-1)*100</f>
        <v/>
      </c>
      <c r="Q453" s="15" t="n">
        <v>0</v>
      </c>
      <c r="R453" s="15">
        <f>P453+Q453</f>
        <v/>
      </c>
      <c r="S453" s="15">
        <f>$I$1*S452-$I$2*S451+$I$3*R432+$I$4*R431</f>
        <v/>
      </c>
      <c r="T453" s="15">
        <f>RAND()*$G$12</f>
        <v/>
      </c>
      <c r="U453" s="15">
        <f>S453+T453</f>
        <v/>
      </c>
      <c r="V453" s="15">
        <f>INT((2^$J$12-1)*U453/100)/(2^$J$12-1)*100</f>
        <v/>
      </c>
      <c r="X453" s="15">
        <f>M453 * 1.05</f>
        <v/>
      </c>
      <c r="Y453" s="15">
        <f>M453 * 0.95</f>
        <v/>
      </c>
      <c r="Z453" s="15">
        <f>IF(AND(V453 &lt;= X453, V453 &gt;= Y453), 1, 0)</f>
        <v/>
      </c>
    </row>
    <row r="454">
      <c r="L454" s="15" t="n">
        <v>452</v>
      </c>
      <c r="M454" s="15">
        <f>IF(L454&lt;$D$16,$D$13,IF(L454&lt;$E$16,$E$13,$F$13))</f>
        <v/>
      </c>
      <c r="N454" s="15">
        <f>M454-V454</f>
        <v/>
      </c>
      <c r="O454" s="15">
        <f>IF(MOD(L454,$B$11)=0,OFFSET(O454,-$B$11,0)+ $E$2*N454+$E$3*OFFSET(N454,-$B$11,0)+ $E$4*OFFSET(N454,-2* $B$11,0), O453)</f>
        <v/>
      </c>
      <c r="P454" s="15">
        <f>INT((2^$J$12-1)*O454/100)/(2^$J$12-1)*100</f>
        <v/>
      </c>
      <c r="Q454" s="15" t="n">
        <v>0</v>
      </c>
      <c r="R454" s="15">
        <f>P454+Q454</f>
        <v/>
      </c>
      <c r="S454" s="15">
        <f>$I$1*S453-$I$2*S452+$I$3*R433+$I$4*R432</f>
        <v/>
      </c>
      <c r="T454" s="15">
        <f>RAND()*$G$12</f>
        <v/>
      </c>
      <c r="U454" s="15">
        <f>S454+T454</f>
        <v/>
      </c>
      <c r="V454" s="15">
        <f>INT((2^$J$12-1)*U454/100)/(2^$J$12-1)*100</f>
        <v/>
      </c>
      <c r="X454" s="15">
        <f>M454 * 1.05</f>
        <v/>
      </c>
      <c r="Y454" s="15">
        <f>M454 * 0.95</f>
        <v/>
      </c>
      <c r="Z454" s="15">
        <f>IF(AND(V454 &lt;= X454, V454 &gt;= Y454), 1, 0)</f>
        <v/>
      </c>
    </row>
    <row r="455">
      <c r="L455" s="15" t="n">
        <v>453</v>
      </c>
      <c r="M455" s="15">
        <f>IF(L455&lt;$D$16,$D$13,IF(L455&lt;$E$16,$E$13,$F$13))</f>
        <v/>
      </c>
      <c r="N455" s="15">
        <f>M455-V455</f>
        <v/>
      </c>
      <c r="O455" s="15">
        <f>IF(MOD(L455,$B$11)=0,OFFSET(O455,-$B$11,0)+ $E$2*N455+$E$3*OFFSET(N455,-$B$11,0)+ $E$4*OFFSET(N455,-2* $B$11,0), O454)</f>
        <v/>
      </c>
      <c r="P455" s="15">
        <f>INT((2^$J$12-1)*O455/100)/(2^$J$12-1)*100</f>
        <v/>
      </c>
      <c r="Q455" s="15" t="n">
        <v>0</v>
      </c>
      <c r="R455" s="15">
        <f>P455+Q455</f>
        <v/>
      </c>
      <c r="S455" s="15">
        <f>$I$1*S454-$I$2*S453+$I$3*R434+$I$4*R433</f>
        <v/>
      </c>
      <c r="T455" s="15">
        <f>RAND()*$G$12</f>
        <v/>
      </c>
      <c r="U455" s="15">
        <f>S455+T455</f>
        <v/>
      </c>
      <c r="V455" s="15">
        <f>INT((2^$J$12-1)*U455/100)/(2^$J$12-1)*100</f>
        <v/>
      </c>
      <c r="X455" s="15">
        <f>M455 * 1.05</f>
        <v/>
      </c>
      <c r="Y455" s="15">
        <f>M455 * 0.95</f>
        <v/>
      </c>
      <c r="Z455" s="15">
        <f>IF(AND(V455 &lt;= X455, V455 &gt;= Y455), 1, 0)</f>
        <v/>
      </c>
    </row>
    <row r="456">
      <c r="L456" s="15" t="n">
        <v>454</v>
      </c>
      <c r="M456" s="15">
        <f>IF(L456&lt;$D$16,$D$13,IF(L456&lt;$E$16,$E$13,$F$13))</f>
        <v/>
      </c>
      <c r="N456" s="15">
        <f>M456-V456</f>
        <v/>
      </c>
      <c r="O456" s="15">
        <f>IF(MOD(L456,$B$11)=0,OFFSET(O456,-$B$11,0)+ $E$2*N456+$E$3*OFFSET(N456,-$B$11,0)+ $E$4*OFFSET(N456,-2* $B$11,0), O455)</f>
        <v/>
      </c>
      <c r="P456" s="15">
        <f>INT((2^$J$12-1)*O456/100)/(2^$J$12-1)*100</f>
        <v/>
      </c>
      <c r="Q456" s="15" t="n">
        <v>0</v>
      </c>
      <c r="R456" s="15">
        <f>P456+Q456</f>
        <v/>
      </c>
      <c r="S456" s="15">
        <f>$I$1*S455-$I$2*S454+$I$3*R435+$I$4*R434</f>
        <v/>
      </c>
      <c r="T456" s="15">
        <f>RAND()*$G$12</f>
        <v/>
      </c>
      <c r="U456" s="15">
        <f>S456+T456</f>
        <v/>
      </c>
      <c r="V456" s="15">
        <f>INT((2^$J$12-1)*U456/100)/(2^$J$12-1)*100</f>
        <v/>
      </c>
      <c r="X456" s="15">
        <f>M456 * 1.05</f>
        <v/>
      </c>
      <c r="Y456" s="15">
        <f>M456 * 0.95</f>
        <v/>
      </c>
      <c r="Z456" s="15">
        <f>IF(AND(V456 &lt;= X456, V456 &gt;= Y456), 1, 0)</f>
        <v/>
      </c>
    </row>
    <row r="457">
      <c r="L457" s="15" t="n">
        <v>455</v>
      </c>
      <c r="M457" s="15">
        <f>IF(L457&lt;$D$16,$D$13,IF(L457&lt;$E$16,$E$13,$F$13))</f>
        <v/>
      </c>
      <c r="N457" s="15">
        <f>M457-V457</f>
        <v/>
      </c>
      <c r="O457" s="15">
        <f>IF(MOD(L457,$B$11)=0,OFFSET(O457,-$B$11,0)+ $E$2*N457+$E$3*OFFSET(N457,-$B$11,0)+ $E$4*OFFSET(N457,-2* $B$11,0), O456)</f>
        <v/>
      </c>
      <c r="P457" s="15">
        <f>INT((2^$J$12-1)*O457/100)/(2^$J$12-1)*100</f>
        <v/>
      </c>
      <c r="Q457" s="15" t="n">
        <v>0</v>
      </c>
      <c r="R457" s="15">
        <f>P457+Q457</f>
        <v/>
      </c>
      <c r="S457" s="15">
        <f>$I$1*S456-$I$2*S455+$I$3*R436+$I$4*R435</f>
        <v/>
      </c>
      <c r="T457" s="15">
        <f>RAND()*$G$12</f>
        <v/>
      </c>
      <c r="U457" s="15">
        <f>S457+T457</f>
        <v/>
      </c>
      <c r="V457" s="15">
        <f>INT((2^$J$12-1)*U457/100)/(2^$J$12-1)*100</f>
        <v/>
      </c>
      <c r="X457" s="15">
        <f>M457 * 1.05</f>
        <v/>
      </c>
      <c r="Y457" s="15">
        <f>M457 * 0.95</f>
        <v/>
      </c>
      <c r="Z457" s="15">
        <f>IF(AND(V457 &lt;= X457, V457 &gt;= Y457), 1, 0)</f>
        <v/>
      </c>
    </row>
    <row r="458">
      <c r="L458" s="15" t="n">
        <v>456</v>
      </c>
      <c r="M458" s="15">
        <f>IF(L458&lt;$D$16,$D$13,IF(L458&lt;$E$16,$E$13,$F$13))</f>
        <v/>
      </c>
      <c r="N458" s="15">
        <f>M458-V458</f>
        <v/>
      </c>
      <c r="O458" s="15">
        <f>IF(MOD(L458,$B$11)=0,OFFSET(O458,-$B$11,0)+ $E$2*N458+$E$3*OFFSET(N458,-$B$11,0)+ $E$4*OFFSET(N458,-2* $B$11,0), O457)</f>
        <v/>
      </c>
      <c r="P458" s="15">
        <f>INT((2^$J$12-1)*O458/100)/(2^$J$12-1)*100</f>
        <v/>
      </c>
      <c r="Q458" s="15" t="n">
        <v>0</v>
      </c>
      <c r="R458" s="15">
        <f>P458+Q458</f>
        <v/>
      </c>
      <c r="S458" s="15">
        <f>$I$1*S457-$I$2*S456+$I$3*R437+$I$4*R436</f>
        <v/>
      </c>
      <c r="T458" s="15">
        <f>RAND()*$G$12</f>
        <v/>
      </c>
      <c r="U458" s="15">
        <f>S458+T458</f>
        <v/>
      </c>
      <c r="V458" s="15">
        <f>INT((2^$J$12-1)*U458/100)/(2^$J$12-1)*100</f>
        <v/>
      </c>
      <c r="X458" s="15">
        <f>M458 * 1.05</f>
        <v/>
      </c>
      <c r="Y458" s="15">
        <f>M458 * 0.95</f>
        <v/>
      </c>
      <c r="Z458" s="15">
        <f>IF(AND(V458 &lt;= X458, V458 &gt;= Y458), 1, 0)</f>
        <v/>
      </c>
    </row>
    <row r="459">
      <c r="L459" s="15" t="n">
        <v>457</v>
      </c>
      <c r="M459" s="15">
        <f>IF(L459&lt;$D$16,$D$13,IF(L459&lt;$E$16,$E$13,$F$13))</f>
        <v/>
      </c>
      <c r="N459" s="15">
        <f>M459-V459</f>
        <v/>
      </c>
      <c r="O459" s="15">
        <f>IF(MOD(L459,$B$11)=0,OFFSET(O459,-$B$11,0)+ $E$2*N459+$E$3*OFFSET(N459,-$B$11,0)+ $E$4*OFFSET(N459,-2* $B$11,0), O458)</f>
        <v/>
      </c>
      <c r="P459" s="15">
        <f>INT((2^$J$12-1)*O459/100)/(2^$J$12-1)*100</f>
        <v/>
      </c>
      <c r="Q459" s="15" t="n">
        <v>0</v>
      </c>
      <c r="R459" s="15">
        <f>P459+Q459</f>
        <v/>
      </c>
      <c r="S459" s="15">
        <f>$I$1*S458-$I$2*S457+$I$3*R438+$I$4*R437</f>
        <v/>
      </c>
      <c r="T459" s="15">
        <f>RAND()*$G$12</f>
        <v/>
      </c>
      <c r="U459" s="15">
        <f>S459+T459</f>
        <v/>
      </c>
      <c r="V459" s="15">
        <f>INT((2^$J$12-1)*U459/100)/(2^$J$12-1)*100</f>
        <v/>
      </c>
      <c r="X459" s="15">
        <f>M459 * 1.05</f>
        <v/>
      </c>
      <c r="Y459" s="15">
        <f>M459 * 0.95</f>
        <v/>
      </c>
      <c r="Z459" s="15">
        <f>IF(AND(V459 &lt;= X459, V459 &gt;= Y459), 1, 0)</f>
        <v/>
      </c>
    </row>
    <row r="460">
      <c r="L460" s="15" t="n">
        <v>458</v>
      </c>
      <c r="M460" s="15">
        <f>IF(L460&lt;$D$16,$D$13,IF(L460&lt;$E$16,$E$13,$F$13))</f>
        <v/>
      </c>
      <c r="N460" s="15">
        <f>M460-V460</f>
        <v/>
      </c>
      <c r="O460" s="15">
        <f>IF(MOD(L460,$B$11)=0,OFFSET(O460,-$B$11,0)+ $E$2*N460+$E$3*OFFSET(N460,-$B$11,0)+ $E$4*OFFSET(N460,-2* $B$11,0), O459)</f>
        <v/>
      </c>
      <c r="P460" s="15">
        <f>INT((2^$J$12-1)*O460/100)/(2^$J$12-1)*100</f>
        <v/>
      </c>
      <c r="Q460" s="15" t="n">
        <v>0</v>
      </c>
      <c r="R460" s="15">
        <f>P460+Q460</f>
        <v/>
      </c>
      <c r="S460" s="15">
        <f>$I$1*S459-$I$2*S458+$I$3*R439+$I$4*R438</f>
        <v/>
      </c>
      <c r="T460" s="15">
        <f>RAND()*$G$12</f>
        <v/>
      </c>
      <c r="U460" s="15">
        <f>S460+T460</f>
        <v/>
      </c>
      <c r="V460" s="15">
        <f>INT((2^$J$12-1)*U460/100)/(2^$J$12-1)*100</f>
        <v/>
      </c>
      <c r="X460" s="15">
        <f>M460 * 1.05</f>
        <v/>
      </c>
      <c r="Y460" s="15">
        <f>M460 * 0.95</f>
        <v/>
      </c>
      <c r="Z460" s="15">
        <f>IF(AND(V460 &lt;= X460, V460 &gt;= Y460), 1, 0)</f>
        <v/>
      </c>
    </row>
    <row r="461">
      <c r="L461" s="15" t="n">
        <v>459</v>
      </c>
      <c r="M461" s="15">
        <f>IF(L461&lt;$D$16,$D$13,IF(L461&lt;$E$16,$E$13,$F$13))</f>
        <v/>
      </c>
      <c r="N461" s="15">
        <f>M461-V461</f>
        <v/>
      </c>
      <c r="O461" s="15">
        <f>IF(MOD(L461,$B$11)=0,OFFSET(O461,-$B$11,0)+ $E$2*N461+$E$3*OFFSET(N461,-$B$11,0)+ $E$4*OFFSET(N461,-2* $B$11,0), O460)</f>
        <v/>
      </c>
      <c r="P461" s="15">
        <f>INT((2^$J$12-1)*O461/100)/(2^$J$12-1)*100</f>
        <v/>
      </c>
      <c r="Q461" s="15" t="n">
        <v>0</v>
      </c>
      <c r="R461" s="15">
        <f>P461+Q461</f>
        <v/>
      </c>
      <c r="S461" s="15">
        <f>$I$1*S460-$I$2*S459+$I$3*R440+$I$4*R439</f>
        <v/>
      </c>
      <c r="T461" s="15">
        <f>RAND()*$G$12</f>
        <v/>
      </c>
      <c r="U461" s="15">
        <f>S461+T461</f>
        <v/>
      </c>
      <c r="V461" s="15">
        <f>INT((2^$J$12-1)*U461/100)/(2^$J$12-1)*100</f>
        <v/>
      </c>
      <c r="X461" s="15">
        <f>M461 * 1.05</f>
        <v/>
      </c>
      <c r="Y461" s="15">
        <f>M461 * 0.95</f>
        <v/>
      </c>
      <c r="Z461" s="15">
        <f>IF(AND(V461 &lt;= X461, V461 &gt;= Y461), 1, 0)</f>
        <v/>
      </c>
    </row>
    <row r="462">
      <c r="L462" s="15" t="n">
        <v>460</v>
      </c>
      <c r="M462" s="15">
        <f>IF(L462&lt;$D$16,$D$13,IF(L462&lt;$E$16,$E$13,$F$13))</f>
        <v/>
      </c>
      <c r="N462" s="15">
        <f>M462-V462</f>
        <v/>
      </c>
      <c r="O462" s="15">
        <f>IF(MOD(L462,$B$11)=0,OFFSET(O462,-$B$11,0)+ $E$2*N462+$E$3*OFFSET(N462,-$B$11,0)+ $E$4*OFFSET(N462,-2* $B$11,0), O461)</f>
        <v/>
      </c>
      <c r="P462" s="15">
        <f>INT((2^$J$12-1)*O462/100)/(2^$J$12-1)*100</f>
        <v/>
      </c>
      <c r="Q462" s="15" t="n">
        <v>0</v>
      </c>
      <c r="R462" s="15">
        <f>P462+Q462</f>
        <v/>
      </c>
      <c r="S462" s="15">
        <f>$I$1*S461-$I$2*S460+$I$3*R441+$I$4*R440</f>
        <v/>
      </c>
      <c r="T462" s="15">
        <f>RAND()*$G$12</f>
        <v/>
      </c>
      <c r="U462" s="15">
        <f>S462+T462</f>
        <v/>
      </c>
      <c r="V462" s="15">
        <f>INT((2^$J$12-1)*U462/100)/(2^$J$12-1)*100</f>
        <v/>
      </c>
      <c r="X462" s="15">
        <f>M462 * 1.05</f>
        <v/>
      </c>
      <c r="Y462" s="15">
        <f>M462 * 0.95</f>
        <v/>
      </c>
      <c r="Z462" s="15">
        <f>IF(AND(V462 &lt;= X462, V462 &gt;= Y462), 1, 0)</f>
        <v/>
      </c>
    </row>
    <row r="463">
      <c r="L463" s="15" t="n">
        <v>461</v>
      </c>
      <c r="M463" s="15">
        <f>IF(L463&lt;$D$16,$D$13,IF(L463&lt;$E$16,$E$13,$F$13))</f>
        <v/>
      </c>
      <c r="N463" s="15">
        <f>M463-V463</f>
        <v/>
      </c>
      <c r="O463" s="15">
        <f>IF(MOD(L463,$B$11)=0,OFFSET(O463,-$B$11,0)+ $E$2*N463+$E$3*OFFSET(N463,-$B$11,0)+ $E$4*OFFSET(N463,-2* $B$11,0), O462)</f>
        <v/>
      </c>
      <c r="P463" s="15">
        <f>INT((2^$J$12-1)*O463/100)/(2^$J$12-1)*100</f>
        <v/>
      </c>
      <c r="Q463" s="15" t="n">
        <v>0</v>
      </c>
      <c r="R463" s="15">
        <f>P463+Q463</f>
        <v/>
      </c>
      <c r="S463" s="15">
        <f>$I$1*S462-$I$2*S461+$I$3*R442+$I$4*R441</f>
        <v/>
      </c>
      <c r="T463" s="15">
        <f>RAND()*$G$12</f>
        <v/>
      </c>
      <c r="U463" s="15">
        <f>S463+T463</f>
        <v/>
      </c>
      <c r="V463" s="15">
        <f>INT((2^$J$12-1)*U463/100)/(2^$J$12-1)*100</f>
        <v/>
      </c>
      <c r="X463" s="15">
        <f>M463 * 1.05</f>
        <v/>
      </c>
      <c r="Y463" s="15">
        <f>M463 * 0.95</f>
        <v/>
      </c>
      <c r="Z463" s="15">
        <f>IF(AND(V463 &lt;= X463, V463 &gt;= Y463), 1, 0)</f>
        <v/>
      </c>
    </row>
    <row r="464">
      <c r="L464" s="15" t="n">
        <v>462</v>
      </c>
      <c r="M464" s="15">
        <f>IF(L464&lt;$D$16,$D$13,IF(L464&lt;$E$16,$E$13,$F$13))</f>
        <v/>
      </c>
      <c r="N464" s="15">
        <f>M464-V464</f>
        <v/>
      </c>
      <c r="O464" s="15">
        <f>IF(MOD(L464,$B$11)=0,OFFSET(O464,-$B$11,0)+ $E$2*N464+$E$3*OFFSET(N464,-$B$11,0)+ $E$4*OFFSET(N464,-2* $B$11,0), O463)</f>
        <v/>
      </c>
      <c r="P464" s="15">
        <f>INT((2^$J$12-1)*O464/100)/(2^$J$12-1)*100</f>
        <v/>
      </c>
      <c r="Q464" s="15" t="n">
        <v>0</v>
      </c>
      <c r="R464" s="15">
        <f>P464+Q464</f>
        <v/>
      </c>
      <c r="S464" s="15">
        <f>$I$1*S463-$I$2*S462+$I$3*R443+$I$4*R442</f>
        <v/>
      </c>
      <c r="T464" s="15">
        <f>RAND()*$G$12</f>
        <v/>
      </c>
      <c r="U464" s="15">
        <f>S464+T464</f>
        <v/>
      </c>
      <c r="V464" s="15">
        <f>INT((2^$J$12-1)*U464/100)/(2^$J$12-1)*100</f>
        <v/>
      </c>
      <c r="X464" s="15">
        <f>M464 * 1.05</f>
        <v/>
      </c>
      <c r="Y464" s="15">
        <f>M464 * 0.95</f>
        <v/>
      </c>
      <c r="Z464" s="15">
        <f>IF(AND(V464 &lt;= X464, V464 &gt;= Y464), 1, 0)</f>
        <v/>
      </c>
    </row>
    <row r="465">
      <c r="L465" s="15" t="n">
        <v>463</v>
      </c>
      <c r="M465" s="15">
        <f>IF(L465&lt;$D$16,$D$13,IF(L465&lt;$E$16,$E$13,$F$13))</f>
        <v/>
      </c>
      <c r="N465" s="15">
        <f>M465-V465</f>
        <v/>
      </c>
      <c r="O465" s="15">
        <f>IF(MOD(L465,$B$11)=0,OFFSET(O465,-$B$11,0)+ $E$2*N465+$E$3*OFFSET(N465,-$B$11,0)+ $E$4*OFFSET(N465,-2* $B$11,0), O464)</f>
        <v/>
      </c>
      <c r="P465" s="15">
        <f>INT((2^$J$12-1)*O465/100)/(2^$J$12-1)*100</f>
        <v/>
      </c>
      <c r="Q465" s="15" t="n">
        <v>0</v>
      </c>
      <c r="R465" s="15">
        <f>P465+Q465</f>
        <v/>
      </c>
      <c r="S465" s="15">
        <f>$I$1*S464-$I$2*S463+$I$3*R444+$I$4*R443</f>
        <v/>
      </c>
      <c r="T465" s="15">
        <f>RAND()*$G$12</f>
        <v/>
      </c>
      <c r="U465" s="15">
        <f>S465+T465</f>
        <v/>
      </c>
      <c r="V465" s="15">
        <f>INT((2^$J$12-1)*U465/100)/(2^$J$12-1)*100</f>
        <v/>
      </c>
      <c r="X465" s="15">
        <f>M465 * 1.05</f>
        <v/>
      </c>
      <c r="Y465" s="15">
        <f>M465 * 0.95</f>
        <v/>
      </c>
      <c r="Z465" s="15">
        <f>IF(AND(V465 &lt;= X465, V465 &gt;= Y465), 1, 0)</f>
        <v/>
      </c>
    </row>
    <row r="466">
      <c r="L466" s="15" t="n">
        <v>464</v>
      </c>
      <c r="M466" s="15">
        <f>IF(L466&lt;$D$16,$D$13,IF(L466&lt;$E$16,$E$13,$F$13))</f>
        <v/>
      </c>
      <c r="N466" s="15">
        <f>M466-V466</f>
        <v/>
      </c>
      <c r="O466" s="15">
        <f>IF(MOD(L466,$B$11)=0,OFFSET(O466,-$B$11,0)+ $E$2*N466+$E$3*OFFSET(N466,-$B$11,0)+ $E$4*OFFSET(N466,-2* $B$11,0), O465)</f>
        <v/>
      </c>
      <c r="P466" s="15">
        <f>INT((2^$J$12-1)*O466/100)/(2^$J$12-1)*100</f>
        <v/>
      </c>
      <c r="Q466" s="15" t="n">
        <v>0</v>
      </c>
      <c r="R466" s="15">
        <f>P466+Q466</f>
        <v/>
      </c>
      <c r="S466" s="15">
        <f>$I$1*S465-$I$2*S464+$I$3*R445+$I$4*R444</f>
        <v/>
      </c>
      <c r="T466" s="15">
        <f>RAND()*$G$12</f>
        <v/>
      </c>
      <c r="U466" s="15">
        <f>S466+T466</f>
        <v/>
      </c>
      <c r="V466" s="15">
        <f>INT((2^$J$12-1)*U466/100)/(2^$J$12-1)*100</f>
        <v/>
      </c>
      <c r="X466" s="15">
        <f>M466 * 1.05</f>
        <v/>
      </c>
      <c r="Y466" s="15">
        <f>M466 * 0.95</f>
        <v/>
      </c>
      <c r="Z466" s="15">
        <f>IF(AND(V466 &lt;= X466, V466 &gt;= Y466), 1, 0)</f>
        <v/>
      </c>
    </row>
    <row r="467">
      <c r="L467" s="15" t="n">
        <v>465</v>
      </c>
      <c r="M467" s="15">
        <f>IF(L467&lt;$D$16,$D$13,IF(L467&lt;$E$16,$E$13,$F$13))</f>
        <v/>
      </c>
      <c r="N467" s="15">
        <f>M467-V467</f>
        <v/>
      </c>
      <c r="O467" s="15">
        <f>IF(MOD(L467,$B$11)=0,OFFSET(O467,-$B$11,0)+ $E$2*N467+$E$3*OFFSET(N467,-$B$11,0)+ $E$4*OFFSET(N467,-2* $B$11,0), O466)</f>
        <v/>
      </c>
      <c r="P467" s="15">
        <f>INT((2^$J$12-1)*O467/100)/(2^$J$12-1)*100</f>
        <v/>
      </c>
      <c r="Q467" s="15" t="n">
        <v>0</v>
      </c>
      <c r="R467" s="15">
        <f>P467+Q467</f>
        <v/>
      </c>
      <c r="S467" s="15">
        <f>$I$1*S466-$I$2*S465+$I$3*R446+$I$4*R445</f>
        <v/>
      </c>
      <c r="T467" s="15">
        <f>RAND()*$G$12</f>
        <v/>
      </c>
      <c r="U467" s="15">
        <f>S467+T467</f>
        <v/>
      </c>
      <c r="V467" s="15">
        <f>INT((2^$J$12-1)*U467/100)/(2^$J$12-1)*100</f>
        <v/>
      </c>
      <c r="X467" s="15">
        <f>M467 * 1.05</f>
        <v/>
      </c>
      <c r="Y467" s="15">
        <f>M467 * 0.95</f>
        <v/>
      </c>
      <c r="Z467" s="15">
        <f>IF(AND(V467 &lt;= X467, V467 &gt;= Y467), 1, 0)</f>
        <v/>
      </c>
    </row>
    <row r="468">
      <c r="L468" s="15" t="n">
        <v>466</v>
      </c>
      <c r="M468" s="15">
        <f>IF(L468&lt;$D$16,$D$13,IF(L468&lt;$E$16,$E$13,$F$13))</f>
        <v/>
      </c>
      <c r="N468" s="15">
        <f>M468-V468</f>
        <v/>
      </c>
      <c r="O468" s="15">
        <f>IF(MOD(L468,$B$11)=0,OFFSET(O468,-$B$11,0)+ $E$2*N468+$E$3*OFFSET(N468,-$B$11,0)+ $E$4*OFFSET(N468,-2* $B$11,0), O467)</f>
        <v/>
      </c>
      <c r="P468" s="15">
        <f>INT((2^$J$12-1)*O468/100)/(2^$J$12-1)*100</f>
        <v/>
      </c>
      <c r="Q468" s="15" t="n">
        <v>0</v>
      </c>
      <c r="R468" s="15">
        <f>P468+Q468</f>
        <v/>
      </c>
      <c r="S468" s="15">
        <f>$I$1*S467-$I$2*S466+$I$3*R447+$I$4*R446</f>
        <v/>
      </c>
      <c r="T468" s="15">
        <f>RAND()*$G$12</f>
        <v/>
      </c>
      <c r="U468" s="15">
        <f>S468+T468</f>
        <v/>
      </c>
      <c r="V468" s="15">
        <f>INT((2^$J$12-1)*U468/100)/(2^$J$12-1)*100</f>
        <v/>
      </c>
      <c r="X468" s="15">
        <f>M468 * 1.05</f>
        <v/>
      </c>
      <c r="Y468" s="15">
        <f>M468 * 0.95</f>
        <v/>
      </c>
      <c r="Z468" s="15">
        <f>IF(AND(V468 &lt;= X468, V468 &gt;= Y468), 1, 0)</f>
        <v/>
      </c>
    </row>
    <row r="469">
      <c r="L469" s="15" t="n">
        <v>467</v>
      </c>
      <c r="M469" s="15">
        <f>IF(L469&lt;$D$16,$D$13,IF(L469&lt;$E$16,$E$13,$F$13))</f>
        <v/>
      </c>
      <c r="N469" s="15">
        <f>M469-V469</f>
        <v/>
      </c>
      <c r="O469" s="15">
        <f>IF(MOD(L469,$B$11)=0,OFFSET(O469,-$B$11,0)+ $E$2*N469+$E$3*OFFSET(N469,-$B$11,0)+ $E$4*OFFSET(N469,-2* $B$11,0), O468)</f>
        <v/>
      </c>
      <c r="P469" s="15">
        <f>INT((2^$J$12-1)*O469/100)/(2^$J$12-1)*100</f>
        <v/>
      </c>
      <c r="Q469" s="15" t="n">
        <v>0</v>
      </c>
      <c r="R469" s="15">
        <f>P469+Q469</f>
        <v/>
      </c>
      <c r="S469" s="15">
        <f>$I$1*S468-$I$2*S467+$I$3*R448+$I$4*R447</f>
        <v/>
      </c>
      <c r="T469" s="15">
        <f>RAND()*$G$12</f>
        <v/>
      </c>
      <c r="U469" s="15">
        <f>S469+T469</f>
        <v/>
      </c>
      <c r="V469" s="15">
        <f>INT((2^$J$12-1)*U469/100)/(2^$J$12-1)*100</f>
        <v/>
      </c>
      <c r="X469" s="15">
        <f>M469 * 1.05</f>
        <v/>
      </c>
      <c r="Y469" s="15">
        <f>M469 * 0.95</f>
        <v/>
      </c>
      <c r="Z469" s="15">
        <f>IF(AND(V469 &lt;= X469, V469 &gt;= Y469), 1, 0)</f>
        <v/>
      </c>
    </row>
    <row r="470">
      <c r="L470" s="15" t="n">
        <v>468</v>
      </c>
      <c r="M470" s="15">
        <f>IF(L470&lt;$D$16,$D$13,IF(L470&lt;$E$16,$E$13,$F$13))</f>
        <v/>
      </c>
      <c r="N470" s="15">
        <f>M470-V470</f>
        <v/>
      </c>
      <c r="O470" s="15">
        <f>IF(MOD(L470,$B$11)=0,OFFSET(O470,-$B$11,0)+ $E$2*N470+$E$3*OFFSET(N470,-$B$11,0)+ $E$4*OFFSET(N470,-2* $B$11,0), O469)</f>
        <v/>
      </c>
      <c r="P470" s="15">
        <f>INT((2^$J$12-1)*O470/100)/(2^$J$12-1)*100</f>
        <v/>
      </c>
      <c r="Q470" s="15" t="n">
        <v>0</v>
      </c>
      <c r="R470" s="15">
        <f>P470+Q470</f>
        <v/>
      </c>
      <c r="S470" s="15">
        <f>$I$1*S469-$I$2*S468+$I$3*R449+$I$4*R448</f>
        <v/>
      </c>
      <c r="T470" s="15">
        <f>RAND()*$G$12</f>
        <v/>
      </c>
      <c r="U470" s="15">
        <f>S470+T470</f>
        <v/>
      </c>
      <c r="V470" s="15">
        <f>INT((2^$J$12-1)*U470/100)/(2^$J$12-1)*100</f>
        <v/>
      </c>
      <c r="X470" s="15">
        <f>M470 * 1.05</f>
        <v/>
      </c>
      <c r="Y470" s="15">
        <f>M470 * 0.95</f>
        <v/>
      </c>
      <c r="Z470" s="15">
        <f>IF(AND(V470 &lt;= X470, V470 &gt;= Y470), 1, 0)</f>
        <v/>
      </c>
    </row>
    <row r="471">
      <c r="L471" s="15" t="n">
        <v>469</v>
      </c>
      <c r="M471" s="15">
        <f>IF(L471&lt;$D$16,$D$13,IF(L471&lt;$E$16,$E$13,$F$13))</f>
        <v/>
      </c>
      <c r="N471" s="15">
        <f>M471-V471</f>
        <v/>
      </c>
      <c r="O471" s="15">
        <f>IF(MOD(L471,$B$11)=0,OFFSET(O471,-$B$11,0)+ $E$2*N471+$E$3*OFFSET(N471,-$B$11,0)+ $E$4*OFFSET(N471,-2* $B$11,0), O470)</f>
        <v/>
      </c>
      <c r="P471" s="15">
        <f>INT((2^$J$12-1)*O471/100)/(2^$J$12-1)*100</f>
        <v/>
      </c>
      <c r="Q471" s="15" t="n">
        <v>0</v>
      </c>
      <c r="R471" s="15">
        <f>P471+Q471</f>
        <v/>
      </c>
      <c r="S471" s="15">
        <f>$I$1*S470-$I$2*S469+$I$3*R450+$I$4*R449</f>
        <v/>
      </c>
      <c r="T471" s="15">
        <f>RAND()*$G$12</f>
        <v/>
      </c>
      <c r="U471" s="15">
        <f>S471+T471</f>
        <v/>
      </c>
      <c r="V471" s="15">
        <f>INT((2^$J$12-1)*U471/100)/(2^$J$12-1)*100</f>
        <v/>
      </c>
      <c r="X471" s="15">
        <f>M471 * 1.05</f>
        <v/>
      </c>
      <c r="Y471" s="15">
        <f>M471 * 0.95</f>
        <v/>
      </c>
      <c r="Z471" s="15">
        <f>IF(AND(V471 &lt;= X471, V471 &gt;= Y471), 1, 0)</f>
        <v/>
      </c>
    </row>
    <row r="472">
      <c r="L472" s="15" t="n">
        <v>470</v>
      </c>
      <c r="M472" s="15">
        <f>IF(L472&lt;$D$16,$D$13,IF(L472&lt;$E$16,$E$13,$F$13))</f>
        <v/>
      </c>
      <c r="N472" s="15">
        <f>M472-V472</f>
        <v/>
      </c>
      <c r="O472" s="15">
        <f>IF(MOD(L472,$B$11)=0,OFFSET(O472,-$B$11,0)+ $E$2*N472+$E$3*OFFSET(N472,-$B$11,0)+ $E$4*OFFSET(N472,-2* $B$11,0), O471)</f>
        <v/>
      </c>
      <c r="P472" s="15">
        <f>INT((2^$J$12-1)*O472/100)/(2^$J$12-1)*100</f>
        <v/>
      </c>
      <c r="Q472" s="15" t="n">
        <v>0</v>
      </c>
      <c r="R472" s="15">
        <f>P472+Q472</f>
        <v/>
      </c>
      <c r="S472" s="15">
        <f>$I$1*S471-$I$2*S470+$I$3*R451+$I$4*R450</f>
        <v/>
      </c>
      <c r="T472" s="15">
        <f>RAND()*$G$12</f>
        <v/>
      </c>
      <c r="U472" s="15">
        <f>S472+T472</f>
        <v/>
      </c>
      <c r="V472" s="15">
        <f>INT((2^$J$12-1)*U472/100)/(2^$J$12-1)*100</f>
        <v/>
      </c>
      <c r="X472" s="15">
        <f>M472 * 1.05</f>
        <v/>
      </c>
      <c r="Y472" s="15">
        <f>M472 * 0.95</f>
        <v/>
      </c>
      <c r="Z472" s="15">
        <f>IF(AND(V472 &lt;= X472, V472 &gt;= Y472), 1, 0)</f>
        <v/>
      </c>
    </row>
    <row r="473">
      <c r="L473" s="15" t="n">
        <v>471</v>
      </c>
      <c r="M473" s="15">
        <f>IF(L473&lt;$D$16,$D$13,IF(L473&lt;$E$16,$E$13,$F$13))</f>
        <v/>
      </c>
      <c r="N473" s="15">
        <f>M473-V473</f>
        <v/>
      </c>
      <c r="O473" s="15">
        <f>IF(MOD(L473,$B$11)=0,OFFSET(O473,-$B$11,0)+ $E$2*N473+$E$3*OFFSET(N473,-$B$11,0)+ $E$4*OFFSET(N473,-2* $B$11,0), O472)</f>
        <v/>
      </c>
      <c r="P473" s="15">
        <f>INT((2^$J$12-1)*O473/100)/(2^$J$12-1)*100</f>
        <v/>
      </c>
      <c r="Q473" s="15" t="n">
        <v>0</v>
      </c>
      <c r="R473" s="15">
        <f>P473+Q473</f>
        <v/>
      </c>
      <c r="S473" s="15">
        <f>$I$1*S472-$I$2*S471+$I$3*R452+$I$4*R451</f>
        <v/>
      </c>
      <c r="T473" s="15">
        <f>RAND()*$G$12</f>
        <v/>
      </c>
      <c r="U473" s="15">
        <f>S473+T473</f>
        <v/>
      </c>
      <c r="V473" s="15">
        <f>INT((2^$J$12-1)*U473/100)/(2^$J$12-1)*100</f>
        <v/>
      </c>
      <c r="X473" s="15">
        <f>M473 * 1.05</f>
        <v/>
      </c>
      <c r="Y473" s="15">
        <f>M473 * 0.95</f>
        <v/>
      </c>
      <c r="Z473" s="15">
        <f>IF(AND(V473 &lt;= X473, V473 &gt;= Y473), 1, 0)</f>
        <v/>
      </c>
    </row>
    <row r="474">
      <c r="L474" s="15" t="n">
        <v>472</v>
      </c>
      <c r="M474" s="15">
        <f>IF(L474&lt;$D$16,$D$13,IF(L474&lt;$E$16,$E$13,$F$13))</f>
        <v/>
      </c>
      <c r="N474" s="15">
        <f>M474-V474</f>
        <v/>
      </c>
      <c r="O474" s="15">
        <f>IF(MOD(L474,$B$11)=0,OFFSET(O474,-$B$11,0)+ $E$2*N474+$E$3*OFFSET(N474,-$B$11,0)+ $E$4*OFFSET(N474,-2* $B$11,0), O473)</f>
        <v/>
      </c>
      <c r="P474" s="15">
        <f>INT((2^$J$12-1)*O474/100)/(2^$J$12-1)*100</f>
        <v/>
      </c>
      <c r="Q474" s="15" t="n">
        <v>0</v>
      </c>
      <c r="R474" s="15">
        <f>P474+Q474</f>
        <v/>
      </c>
      <c r="S474" s="15">
        <f>$I$1*S473-$I$2*S472+$I$3*R453+$I$4*R452</f>
        <v/>
      </c>
      <c r="T474" s="15">
        <f>RAND()*$G$12</f>
        <v/>
      </c>
      <c r="U474" s="15">
        <f>S474+T474</f>
        <v/>
      </c>
      <c r="V474" s="15">
        <f>INT((2^$J$12-1)*U474/100)/(2^$J$12-1)*100</f>
        <v/>
      </c>
      <c r="X474" s="15">
        <f>M474 * 1.05</f>
        <v/>
      </c>
      <c r="Y474" s="15">
        <f>M474 * 0.95</f>
        <v/>
      </c>
      <c r="Z474" s="15">
        <f>IF(AND(V474 &lt;= X474, V474 &gt;= Y474), 1, 0)</f>
        <v/>
      </c>
    </row>
    <row r="475">
      <c r="L475" s="15" t="n">
        <v>473</v>
      </c>
      <c r="M475" s="15">
        <f>IF(L475&lt;$D$16,$D$13,IF(L475&lt;$E$16,$E$13,$F$13))</f>
        <v/>
      </c>
      <c r="N475" s="15">
        <f>M475-V475</f>
        <v/>
      </c>
      <c r="O475" s="15">
        <f>IF(MOD(L475,$B$11)=0,OFFSET(O475,-$B$11,0)+ $E$2*N475+$E$3*OFFSET(N475,-$B$11,0)+ $E$4*OFFSET(N475,-2* $B$11,0), O474)</f>
        <v/>
      </c>
      <c r="P475" s="15">
        <f>INT((2^$J$12-1)*O475/100)/(2^$J$12-1)*100</f>
        <v/>
      </c>
      <c r="Q475" s="15" t="n">
        <v>0</v>
      </c>
      <c r="R475" s="15">
        <f>P475+Q475</f>
        <v/>
      </c>
      <c r="S475" s="15">
        <f>$I$1*S474-$I$2*S473+$I$3*R454+$I$4*R453</f>
        <v/>
      </c>
      <c r="T475" s="15">
        <f>RAND()*$G$12</f>
        <v/>
      </c>
      <c r="U475" s="15">
        <f>S475+T475</f>
        <v/>
      </c>
      <c r="V475" s="15">
        <f>INT((2^$J$12-1)*U475/100)/(2^$J$12-1)*100</f>
        <v/>
      </c>
      <c r="X475" s="15">
        <f>M475 * 1.05</f>
        <v/>
      </c>
      <c r="Y475" s="15">
        <f>M475 * 0.95</f>
        <v/>
      </c>
      <c r="Z475" s="15">
        <f>IF(AND(V475 &lt;= X475, V475 &gt;= Y475), 1, 0)</f>
        <v/>
      </c>
    </row>
    <row r="476">
      <c r="L476" s="15" t="n">
        <v>474</v>
      </c>
      <c r="M476" s="15">
        <f>IF(L476&lt;$D$16,$D$13,IF(L476&lt;$E$16,$E$13,$F$13))</f>
        <v/>
      </c>
      <c r="N476" s="15">
        <f>M476-V476</f>
        <v/>
      </c>
      <c r="O476" s="15">
        <f>IF(MOD(L476,$B$11)=0,OFFSET(O476,-$B$11,0)+ $E$2*N476+$E$3*OFFSET(N476,-$B$11,0)+ $E$4*OFFSET(N476,-2* $B$11,0), O475)</f>
        <v/>
      </c>
      <c r="P476" s="15">
        <f>INT((2^$J$12-1)*O476/100)/(2^$J$12-1)*100</f>
        <v/>
      </c>
      <c r="Q476" s="15" t="n">
        <v>0</v>
      </c>
      <c r="R476" s="15">
        <f>P476+Q476</f>
        <v/>
      </c>
      <c r="S476" s="15">
        <f>$I$1*S475-$I$2*S474+$I$3*R455+$I$4*R454</f>
        <v/>
      </c>
      <c r="T476" s="15">
        <f>RAND()*$G$12</f>
        <v/>
      </c>
      <c r="U476" s="15">
        <f>S476+T476</f>
        <v/>
      </c>
      <c r="V476" s="15">
        <f>INT((2^$J$12-1)*U476/100)/(2^$J$12-1)*100</f>
        <v/>
      </c>
      <c r="X476" s="15">
        <f>M476 * 1.05</f>
        <v/>
      </c>
      <c r="Y476" s="15">
        <f>M476 * 0.95</f>
        <v/>
      </c>
      <c r="Z476" s="15">
        <f>IF(AND(V476 &lt;= X476, V476 &gt;= Y476), 1, 0)</f>
        <v/>
      </c>
    </row>
    <row r="477">
      <c r="L477" s="15" t="n">
        <v>475</v>
      </c>
      <c r="M477" s="15">
        <f>IF(L477&lt;$D$16,$D$13,IF(L477&lt;$E$16,$E$13,$F$13))</f>
        <v/>
      </c>
      <c r="N477" s="15">
        <f>M477-V477</f>
        <v/>
      </c>
      <c r="O477" s="15">
        <f>IF(MOD(L477,$B$11)=0,OFFSET(O477,-$B$11,0)+ $E$2*N477+$E$3*OFFSET(N477,-$B$11,0)+ $E$4*OFFSET(N477,-2* $B$11,0), O476)</f>
        <v/>
      </c>
      <c r="P477" s="15">
        <f>INT((2^$J$12-1)*O477/100)/(2^$J$12-1)*100</f>
        <v/>
      </c>
      <c r="Q477" s="15" t="n">
        <v>0</v>
      </c>
      <c r="R477" s="15">
        <f>P477+Q477</f>
        <v/>
      </c>
      <c r="S477" s="15">
        <f>$I$1*S476-$I$2*S475+$I$3*R456+$I$4*R455</f>
        <v/>
      </c>
      <c r="T477" s="15">
        <f>RAND()*$G$12</f>
        <v/>
      </c>
      <c r="U477" s="15">
        <f>S477+T477</f>
        <v/>
      </c>
      <c r="V477" s="15">
        <f>INT((2^$J$12-1)*U477/100)/(2^$J$12-1)*100</f>
        <v/>
      </c>
      <c r="X477" s="15">
        <f>M477 * 1.05</f>
        <v/>
      </c>
      <c r="Y477" s="15">
        <f>M477 * 0.95</f>
        <v/>
      </c>
      <c r="Z477" s="15">
        <f>IF(AND(V477 &lt;= X477, V477 &gt;= Y477), 1, 0)</f>
        <v/>
      </c>
    </row>
    <row r="478">
      <c r="L478" s="15" t="n">
        <v>476</v>
      </c>
      <c r="M478" s="15">
        <f>IF(L478&lt;$D$16,$D$13,IF(L478&lt;$E$16,$E$13,$F$13))</f>
        <v/>
      </c>
      <c r="N478" s="15">
        <f>M478-V478</f>
        <v/>
      </c>
      <c r="O478" s="15">
        <f>IF(MOD(L478,$B$11)=0,OFFSET(O478,-$B$11,0)+ $E$2*N478+$E$3*OFFSET(N478,-$B$11,0)+ $E$4*OFFSET(N478,-2* $B$11,0), O477)</f>
        <v/>
      </c>
      <c r="P478" s="15">
        <f>INT((2^$J$12-1)*O478/100)/(2^$J$12-1)*100</f>
        <v/>
      </c>
      <c r="Q478" s="15" t="n">
        <v>0</v>
      </c>
      <c r="R478" s="15">
        <f>P478+Q478</f>
        <v/>
      </c>
      <c r="S478" s="15">
        <f>$I$1*S477-$I$2*S476+$I$3*R457+$I$4*R456</f>
        <v/>
      </c>
      <c r="T478" s="15">
        <f>RAND()*$G$12</f>
        <v/>
      </c>
      <c r="U478" s="15">
        <f>S478+T478</f>
        <v/>
      </c>
      <c r="V478" s="15">
        <f>INT((2^$J$12-1)*U478/100)/(2^$J$12-1)*100</f>
        <v/>
      </c>
      <c r="X478" s="15">
        <f>M478 * 1.05</f>
        <v/>
      </c>
      <c r="Y478" s="15">
        <f>M478 * 0.95</f>
        <v/>
      </c>
      <c r="Z478" s="15">
        <f>IF(AND(V478 &lt;= X478, V478 &gt;= Y478), 1, 0)</f>
        <v/>
      </c>
    </row>
    <row r="479">
      <c r="L479" s="15" t="n">
        <v>477</v>
      </c>
      <c r="M479" s="15">
        <f>IF(L479&lt;$D$16,$D$13,IF(L479&lt;$E$16,$E$13,$F$13))</f>
        <v/>
      </c>
      <c r="N479" s="15">
        <f>M479-V479</f>
        <v/>
      </c>
      <c r="O479" s="15">
        <f>IF(MOD(L479,$B$11)=0,OFFSET(O479,-$B$11,0)+ $E$2*N479+$E$3*OFFSET(N479,-$B$11,0)+ $E$4*OFFSET(N479,-2* $B$11,0), O478)</f>
        <v/>
      </c>
      <c r="P479" s="15">
        <f>INT((2^$J$12-1)*O479/100)/(2^$J$12-1)*100</f>
        <v/>
      </c>
      <c r="Q479" s="15" t="n">
        <v>0</v>
      </c>
      <c r="R479" s="15">
        <f>P479+Q479</f>
        <v/>
      </c>
      <c r="S479" s="15">
        <f>$I$1*S478-$I$2*S477+$I$3*R458+$I$4*R457</f>
        <v/>
      </c>
      <c r="T479" s="15">
        <f>RAND()*$G$12</f>
        <v/>
      </c>
      <c r="U479" s="15">
        <f>S479+T479</f>
        <v/>
      </c>
      <c r="V479" s="15">
        <f>INT((2^$J$12-1)*U479/100)/(2^$J$12-1)*100</f>
        <v/>
      </c>
      <c r="X479" s="15">
        <f>M479 * 1.05</f>
        <v/>
      </c>
      <c r="Y479" s="15">
        <f>M479 * 0.95</f>
        <v/>
      </c>
      <c r="Z479" s="15">
        <f>IF(AND(V479 &lt;= X479, V479 &gt;= Y479), 1, 0)</f>
        <v/>
      </c>
    </row>
    <row r="480">
      <c r="L480" s="15" t="n">
        <v>478</v>
      </c>
      <c r="M480" s="15">
        <f>IF(L480&lt;$D$16,$D$13,IF(L480&lt;$E$16,$E$13,$F$13))</f>
        <v/>
      </c>
      <c r="N480" s="15">
        <f>M480-V480</f>
        <v/>
      </c>
      <c r="O480" s="15">
        <f>IF(MOD(L480,$B$11)=0,OFFSET(O480,-$B$11,0)+ $E$2*N480+$E$3*OFFSET(N480,-$B$11,0)+ $E$4*OFFSET(N480,-2* $B$11,0), O479)</f>
        <v/>
      </c>
      <c r="P480" s="15">
        <f>INT((2^$J$12-1)*O480/100)/(2^$J$12-1)*100</f>
        <v/>
      </c>
      <c r="Q480" s="15" t="n">
        <v>0</v>
      </c>
      <c r="R480" s="15">
        <f>P480+Q480</f>
        <v/>
      </c>
      <c r="S480" s="15">
        <f>$I$1*S479-$I$2*S478+$I$3*R459+$I$4*R458</f>
        <v/>
      </c>
      <c r="T480" s="15">
        <f>RAND()*$G$12</f>
        <v/>
      </c>
      <c r="U480" s="15">
        <f>S480+T480</f>
        <v/>
      </c>
      <c r="V480" s="15">
        <f>INT((2^$J$12-1)*U480/100)/(2^$J$12-1)*100</f>
        <v/>
      </c>
      <c r="X480" s="15">
        <f>M480 * 1.05</f>
        <v/>
      </c>
      <c r="Y480" s="15">
        <f>M480 * 0.95</f>
        <v/>
      </c>
      <c r="Z480" s="15">
        <f>IF(AND(V480 &lt;= X480, V480 &gt;= Y480), 1, 0)</f>
        <v/>
      </c>
    </row>
    <row r="481">
      <c r="L481" s="15" t="n">
        <v>479</v>
      </c>
      <c r="M481" s="15">
        <f>IF(L481&lt;$D$16,$D$13,IF(L481&lt;$E$16,$E$13,$F$13))</f>
        <v/>
      </c>
      <c r="N481" s="15">
        <f>M481-V481</f>
        <v/>
      </c>
      <c r="O481" s="15">
        <f>IF(MOD(L481,$B$11)=0,OFFSET(O481,-$B$11,0)+ $E$2*N481+$E$3*OFFSET(N481,-$B$11,0)+ $E$4*OFFSET(N481,-2* $B$11,0), O480)</f>
        <v/>
      </c>
      <c r="P481" s="15">
        <f>INT((2^$J$12-1)*O481/100)/(2^$J$12-1)*100</f>
        <v/>
      </c>
      <c r="Q481" s="15" t="n">
        <v>0</v>
      </c>
      <c r="R481" s="15">
        <f>P481+Q481</f>
        <v/>
      </c>
      <c r="S481" s="15">
        <f>$I$1*S480-$I$2*S479+$I$3*R460+$I$4*R459</f>
        <v/>
      </c>
      <c r="T481" s="15">
        <f>RAND()*$G$12</f>
        <v/>
      </c>
      <c r="U481" s="15">
        <f>S481+T481</f>
        <v/>
      </c>
      <c r="V481" s="15">
        <f>INT((2^$J$12-1)*U481/100)/(2^$J$12-1)*100</f>
        <v/>
      </c>
      <c r="X481" s="15">
        <f>M481 * 1.05</f>
        <v/>
      </c>
      <c r="Y481" s="15">
        <f>M481 * 0.95</f>
        <v/>
      </c>
      <c r="Z481" s="15">
        <f>IF(AND(V481 &lt;= X481, V481 &gt;= Y481), 1, 0)</f>
        <v/>
      </c>
    </row>
    <row r="482">
      <c r="L482" s="15" t="n">
        <v>480</v>
      </c>
      <c r="M482" s="15">
        <f>IF(L482&lt;$D$16,$D$13,IF(L482&lt;$E$16,$E$13,$F$13))</f>
        <v/>
      </c>
      <c r="N482" s="15">
        <f>M482-V482</f>
        <v/>
      </c>
      <c r="O482" s="15">
        <f>IF(MOD(L482,$B$11)=0,OFFSET(O482,-$B$11,0)+ $E$2*N482+$E$3*OFFSET(N482,-$B$11,0)+ $E$4*OFFSET(N482,-2* $B$11,0), O481)</f>
        <v/>
      </c>
      <c r="P482" s="15">
        <f>INT((2^$J$12-1)*O482/100)/(2^$J$12-1)*100</f>
        <v/>
      </c>
      <c r="Q482" s="15" t="n">
        <v>0</v>
      </c>
      <c r="R482" s="15">
        <f>P482+Q482</f>
        <v/>
      </c>
      <c r="S482" s="15">
        <f>$I$1*S481-$I$2*S480+$I$3*R461+$I$4*R460</f>
        <v/>
      </c>
      <c r="T482" s="15">
        <f>RAND()*$G$12</f>
        <v/>
      </c>
      <c r="U482" s="15">
        <f>S482+T482</f>
        <v/>
      </c>
      <c r="V482" s="15">
        <f>INT((2^$J$12-1)*U482/100)/(2^$J$12-1)*100</f>
        <v/>
      </c>
      <c r="X482" s="15">
        <f>M482 * 1.05</f>
        <v/>
      </c>
      <c r="Y482" s="15">
        <f>M482 * 0.95</f>
        <v/>
      </c>
      <c r="Z482" s="15">
        <f>IF(AND(V482 &lt;= X482, V482 &gt;= Y482), 1, 0)</f>
        <v/>
      </c>
    </row>
    <row r="483">
      <c r="L483" s="15" t="n">
        <v>481</v>
      </c>
      <c r="M483" s="15">
        <f>IF(L483&lt;$D$16,$D$13,IF(L483&lt;$E$16,$E$13,$F$13))</f>
        <v/>
      </c>
      <c r="N483" s="15">
        <f>M483-V483</f>
        <v/>
      </c>
      <c r="O483" s="15">
        <f>IF(MOD(L483,$B$11)=0,OFFSET(O483,-$B$11,0)+ $E$2*N483+$E$3*OFFSET(N483,-$B$11,0)+ $E$4*OFFSET(N483,-2* $B$11,0), O482)</f>
        <v/>
      </c>
      <c r="P483" s="15">
        <f>INT((2^$J$12-1)*O483/100)/(2^$J$12-1)*100</f>
        <v/>
      </c>
      <c r="Q483" s="15" t="n">
        <v>0</v>
      </c>
      <c r="R483" s="15">
        <f>P483+Q483</f>
        <v/>
      </c>
      <c r="S483" s="15">
        <f>$I$1*S482-$I$2*S481+$I$3*R462+$I$4*R461</f>
        <v/>
      </c>
      <c r="T483" s="15">
        <f>RAND()*$G$12</f>
        <v/>
      </c>
      <c r="U483" s="15">
        <f>S483+T483</f>
        <v/>
      </c>
      <c r="V483" s="15">
        <f>INT((2^$J$12-1)*U483/100)/(2^$J$12-1)*100</f>
        <v/>
      </c>
      <c r="X483" s="15">
        <f>M483 * 1.05</f>
        <v/>
      </c>
      <c r="Y483" s="15">
        <f>M483 * 0.95</f>
        <v/>
      </c>
      <c r="Z483" s="15">
        <f>IF(AND(V483 &lt;= X483, V483 &gt;= Y483), 1, 0)</f>
        <v/>
      </c>
    </row>
    <row r="484">
      <c r="L484" s="15" t="n">
        <v>482</v>
      </c>
      <c r="M484" s="15">
        <f>IF(L484&lt;$D$16,$D$13,IF(L484&lt;$E$16,$E$13,$F$13))</f>
        <v/>
      </c>
      <c r="N484" s="15">
        <f>M484-V484</f>
        <v/>
      </c>
      <c r="O484" s="15">
        <f>IF(MOD(L484,$B$11)=0,OFFSET(O484,-$B$11,0)+ $E$2*N484+$E$3*OFFSET(N484,-$B$11,0)+ $E$4*OFFSET(N484,-2* $B$11,0), O483)</f>
        <v/>
      </c>
      <c r="P484" s="15">
        <f>INT((2^$J$12-1)*O484/100)/(2^$J$12-1)*100</f>
        <v/>
      </c>
      <c r="Q484" s="15" t="n">
        <v>0</v>
      </c>
      <c r="R484" s="15">
        <f>P484+Q484</f>
        <v/>
      </c>
      <c r="S484" s="15">
        <f>$I$1*S483-$I$2*S482+$I$3*R463+$I$4*R462</f>
        <v/>
      </c>
      <c r="T484" s="15">
        <f>RAND()*$G$12</f>
        <v/>
      </c>
      <c r="U484" s="15">
        <f>S484+T484</f>
        <v/>
      </c>
      <c r="V484" s="15">
        <f>INT((2^$J$12-1)*U484/100)/(2^$J$12-1)*100</f>
        <v/>
      </c>
      <c r="X484" s="15">
        <f>M484 * 1.05</f>
        <v/>
      </c>
      <c r="Y484" s="15">
        <f>M484 * 0.95</f>
        <v/>
      </c>
      <c r="Z484" s="15">
        <f>IF(AND(V484 &lt;= X484, V484 &gt;= Y484), 1, 0)</f>
        <v/>
      </c>
    </row>
    <row r="485">
      <c r="L485" s="15" t="n">
        <v>483</v>
      </c>
      <c r="M485" s="15">
        <f>IF(L485&lt;$D$16,$D$13,IF(L485&lt;$E$16,$E$13,$F$13))</f>
        <v/>
      </c>
      <c r="N485" s="15">
        <f>M485-V485</f>
        <v/>
      </c>
      <c r="O485" s="15">
        <f>IF(MOD(L485,$B$11)=0,OFFSET(O485,-$B$11,0)+ $E$2*N485+$E$3*OFFSET(N485,-$B$11,0)+ $E$4*OFFSET(N485,-2* $B$11,0), O484)</f>
        <v/>
      </c>
      <c r="P485" s="15">
        <f>INT((2^$J$12-1)*O485/100)/(2^$J$12-1)*100</f>
        <v/>
      </c>
      <c r="Q485" s="15" t="n">
        <v>0</v>
      </c>
      <c r="R485" s="15">
        <f>P485+Q485</f>
        <v/>
      </c>
      <c r="S485" s="15">
        <f>$I$1*S484-$I$2*S483+$I$3*R464+$I$4*R463</f>
        <v/>
      </c>
      <c r="T485" s="15">
        <f>RAND()*$G$12</f>
        <v/>
      </c>
      <c r="U485" s="15">
        <f>S485+T485</f>
        <v/>
      </c>
      <c r="V485" s="15">
        <f>INT((2^$J$12-1)*U485/100)/(2^$J$12-1)*100</f>
        <v/>
      </c>
      <c r="X485" s="15">
        <f>M485 * 1.05</f>
        <v/>
      </c>
      <c r="Y485" s="15">
        <f>M485 * 0.95</f>
        <v/>
      </c>
      <c r="Z485" s="15">
        <f>IF(AND(V485 &lt;= X485, V485 &gt;= Y485), 1, 0)</f>
        <v/>
      </c>
    </row>
    <row r="486">
      <c r="L486" s="15" t="n">
        <v>484</v>
      </c>
      <c r="M486" s="15">
        <f>IF(L486&lt;$D$16,$D$13,IF(L486&lt;$E$16,$E$13,$F$13))</f>
        <v/>
      </c>
      <c r="N486" s="15">
        <f>M486-V486</f>
        <v/>
      </c>
      <c r="O486" s="15">
        <f>IF(MOD(L486,$B$11)=0,OFFSET(O486,-$B$11,0)+ $E$2*N486+$E$3*OFFSET(N486,-$B$11,0)+ $E$4*OFFSET(N486,-2* $B$11,0), O485)</f>
        <v/>
      </c>
      <c r="P486" s="15">
        <f>INT((2^$J$12-1)*O486/100)/(2^$J$12-1)*100</f>
        <v/>
      </c>
      <c r="Q486" s="15" t="n">
        <v>0</v>
      </c>
      <c r="R486" s="15">
        <f>P486+Q486</f>
        <v/>
      </c>
      <c r="S486" s="15">
        <f>$I$1*S485-$I$2*S484+$I$3*R465+$I$4*R464</f>
        <v/>
      </c>
      <c r="T486" s="15">
        <f>RAND()*$G$12</f>
        <v/>
      </c>
      <c r="U486" s="15">
        <f>S486+T486</f>
        <v/>
      </c>
      <c r="V486" s="15">
        <f>INT((2^$J$12-1)*U486/100)/(2^$J$12-1)*100</f>
        <v/>
      </c>
      <c r="X486" s="15">
        <f>M486 * 1.05</f>
        <v/>
      </c>
      <c r="Y486" s="15">
        <f>M486 * 0.95</f>
        <v/>
      </c>
      <c r="Z486" s="15">
        <f>IF(AND(V486 &lt;= X486, V486 &gt;= Y486), 1, 0)</f>
        <v/>
      </c>
    </row>
    <row r="487">
      <c r="L487" s="15" t="n">
        <v>485</v>
      </c>
      <c r="M487" s="15">
        <f>IF(L487&lt;$D$16,$D$13,IF(L487&lt;$E$16,$E$13,$F$13))</f>
        <v/>
      </c>
      <c r="N487" s="15">
        <f>M487-V487</f>
        <v/>
      </c>
      <c r="O487" s="15">
        <f>IF(MOD(L487,$B$11)=0,OFFSET(O487,-$B$11,0)+ $E$2*N487+$E$3*OFFSET(N487,-$B$11,0)+ $E$4*OFFSET(N487,-2* $B$11,0), O486)</f>
        <v/>
      </c>
      <c r="P487" s="15">
        <f>INT((2^$J$12-1)*O487/100)/(2^$J$12-1)*100</f>
        <v/>
      </c>
      <c r="Q487" s="15" t="n">
        <v>0</v>
      </c>
      <c r="R487" s="15">
        <f>P487+Q487</f>
        <v/>
      </c>
      <c r="S487" s="15">
        <f>$I$1*S486-$I$2*S485+$I$3*R466+$I$4*R465</f>
        <v/>
      </c>
      <c r="T487" s="15">
        <f>RAND()*$G$12</f>
        <v/>
      </c>
      <c r="U487" s="15">
        <f>S487+T487</f>
        <v/>
      </c>
      <c r="V487" s="15">
        <f>INT((2^$J$12-1)*U487/100)/(2^$J$12-1)*100</f>
        <v/>
      </c>
      <c r="X487" s="15">
        <f>M487 * 1.05</f>
        <v/>
      </c>
      <c r="Y487" s="15">
        <f>M487 * 0.95</f>
        <v/>
      </c>
      <c r="Z487" s="15">
        <f>IF(AND(V487 &lt;= X487, V487 &gt;= Y487), 1, 0)</f>
        <v/>
      </c>
    </row>
    <row r="488">
      <c r="L488" s="15" t="n">
        <v>486</v>
      </c>
      <c r="M488" s="15">
        <f>IF(L488&lt;$D$16,$D$13,IF(L488&lt;$E$16,$E$13,$F$13))</f>
        <v/>
      </c>
      <c r="N488" s="15">
        <f>M488-V488</f>
        <v/>
      </c>
      <c r="O488" s="15">
        <f>IF(MOD(L488,$B$11)=0,OFFSET(O488,-$B$11,0)+ $E$2*N488+$E$3*OFFSET(N488,-$B$11,0)+ $E$4*OFFSET(N488,-2* $B$11,0), O487)</f>
        <v/>
      </c>
      <c r="P488" s="15">
        <f>INT((2^$J$12-1)*O488/100)/(2^$J$12-1)*100</f>
        <v/>
      </c>
      <c r="Q488" s="15" t="n">
        <v>0</v>
      </c>
      <c r="R488" s="15">
        <f>P488+Q488</f>
        <v/>
      </c>
      <c r="S488" s="15">
        <f>$I$1*S487-$I$2*S486+$I$3*R467+$I$4*R466</f>
        <v/>
      </c>
      <c r="T488" s="15">
        <f>RAND()*$G$12</f>
        <v/>
      </c>
      <c r="U488" s="15">
        <f>S488+T488</f>
        <v/>
      </c>
      <c r="V488" s="15">
        <f>INT((2^$J$12-1)*U488/100)/(2^$J$12-1)*100</f>
        <v/>
      </c>
      <c r="X488" s="15">
        <f>M488 * 1.05</f>
        <v/>
      </c>
      <c r="Y488" s="15">
        <f>M488 * 0.95</f>
        <v/>
      </c>
      <c r="Z488" s="15">
        <f>IF(AND(V488 &lt;= X488, V488 &gt;= Y488), 1, 0)</f>
        <v/>
      </c>
    </row>
    <row r="489">
      <c r="L489" s="15" t="n">
        <v>487</v>
      </c>
      <c r="M489" s="15">
        <f>IF(L489&lt;$D$16,$D$13,IF(L489&lt;$E$16,$E$13,$F$13))</f>
        <v/>
      </c>
      <c r="N489" s="15">
        <f>M489-V489</f>
        <v/>
      </c>
      <c r="O489" s="15">
        <f>IF(MOD(L489,$B$11)=0,OFFSET(O489,-$B$11,0)+ $E$2*N489+$E$3*OFFSET(N489,-$B$11,0)+ $E$4*OFFSET(N489,-2* $B$11,0), O488)</f>
        <v/>
      </c>
      <c r="P489" s="15">
        <f>INT((2^$J$12-1)*O489/100)/(2^$J$12-1)*100</f>
        <v/>
      </c>
      <c r="Q489" s="15" t="n">
        <v>0</v>
      </c>
      <c r="R489" s="15">
        <f>P489+Q489</f>
        <v/>
      </c>
      <c r="S489" s="15">
        <f>$I$1*S488-$I$2*S487+$I$3*R468+$I$4*R467</f>
        <v/>
      </c>
      <c r="T489" s="15">
        <f>RAND()*$G$12</f>
        <v/>
      </c>
      <c r="U489" s="15">
        <f>S489+T489</f>
        <v/>
      </c>
      <c r="V489" s="15">
        <f>INT((2^$J$12-1)*U489/100)/(2^$J$12-1)*100</f>
        <v/>
      </c>
      <c r="X489" s="15">
        <f>M489 * 1.05</f>
        <v/>
      </c>
      <c r="Y489" s="15">
        <f>M489 * 0.95</f>
        <v/>
      </c>
      <c r="Z489" s="15">
        <f>IF(AND(V489 &lt;= X489, V489 &gt;= Y489), 1, 0)</f>
        <v/>
      </c>
    </row>
    <row r="490">
      <c r="L490" s="15" t="n">
        <v>488</v>
      </c>
      <c r="M490" s="15">
        <f>IF(L490&lt;$D$16,$D$13,IF(L490&lt;$E$16,$E$13,$F$13))</f>
        <v/>
      </c>
      <c r="N490" s="15">
        <f>M490-V490</f>
        <v/>
      </c>
      <c r="O490" s="15">
        <f>IF(MOD(L490,$B$11)=0,OFFSET(O490,-$B$11,0)+ $E$2*N490+$E$3*OFFSET(N490,-$B$11,0)+ $E$4*OFFSET(N490,-2* $B$11,0), O489)</f>
        <v/>
      </c>
      <c r="P490" s="15">
        <f>INT((2^$J$12-1)*O490/100)/(2^$J$12-1)*100</f>
        <v/>
      </c>
      <c r="Q490" s="15" t="n">
        <v>0</v>
      </c>
      <c r="R490" s="15">
        <f>P490+Q490</f>
        <v/>
      </c>
      <c r="S490" s="15">
        <f>$I$1*S489-$I$2*S488+$I$3*R469+$I$4*R468</f>
        <v/>
      </c>
      <c r="T490" s="15">
        <f>RAND()*$G$12</f>
        <v/>
      </c>
      <c r="U490" s="15">
        <f>S490+T490</f>
        <v/>
      </c>
      <c r="V490" s="15">
        <f>INT((2^$J$12-1)*U490/100)/(2^$J$12-1)*100</f>
        <v/>
      </c>
      <c r="X490" s="15">
        <f>M490 * 1.05</f>
        <v/>
      </c>
      <c r="Y490" s="15">
        <f>M490 * 0.95</f>
        <v/>
      </c>
      <c r="Z490" s="15">
        <f>IF(AND(V490 &lt;= X490, V490 &gt;= Y490), 1, 0)</f>
        <v/>
      </c>
    </row>
    <row r="491">
      <c r="L491" s="15" t="n">
        <v>489</v>
      </c>
      <c r="M491" s="15">
        <f>IF(L491&lt;$D$16,$D$13,IF(L491&lt;$E$16,$E$13,$F$13))</f>
        <v/>
      </c>
      <c r="N491" s="15">
        <f>M491-V491</f>
        <v/>
      </c>
      <c r="O491" s="15">
        <f>IF(MOD(L491,$B$11)=0,OFFSET(O491,-$B$11,0)+ $E$2*N491+$E$3*OFFSET(N491,-$B$11,0)+ $E$4*OFFSET(N491,-2* $B$11,0), O490)</f>
        <v/>
      </c>
      <c r="P491" s="15">
        <f>INT((2^$J$12-1)*O491/100)/(2^$J$12-1)*100</f>
        <v/>
      </c>
      <c r="Q491" s="15" t="n">
        <v>0</v>
      </c>
      <c r="R491" s="15">
        <f>P491+Q491</f>
        <v/>
      </c>
      <c r="S491" s="15">
        <f>$I$1*S490-$I$2*S489+$I$3*R470+$I$4*R469</f>
        <v/>
      </c>
      <c r="T491" s="15">
        <f>RAND()*$G$12</f>
        <v/>
      </c>
      <c r="U491" s="15">
        <f>S491+T491</f>
        <v/>
      </c>
      <c r="V491" s="15">
        <f>INT((2^$J$12-1)*U491/100)/(2^$J$12-1)*100</f>
        <v/>
      </c>
      <c r="X491" s="15">
        <f>M491 * 1.05</f>
        <v/>
      </c>
      <c r="Y491" s="15">
        <f>M491 * 0.95</f>
        <v/>
      </c>
      <c r="Z491" s="15">
        <f>IF(AND(V491 &lt;= X491, V491 &gt;= Y491), 1, 0)</f>
        <v/>
      </c>
    </row>
    <row r="492">
      <c r="L492" s="15" t="n">
        <v>490</v>
      </c>
      <c r="M492" s="15">
        <f>IF(L492&lt;$D$16,$D$13,IF(L492&lt;$E$16,$E$13,$F$13))</f>
        <v/>
      </c>
      <c r="N492" s="15">
        <f>M492-V492</f>
        <v/>
      </c>
      <c r="O492" s="15">
        <f>IF(MOD(L492,$B$11)=0,OFFSET(O492,-$B$11,0)+ $E$2*N492+$E$3*OFFSET(N492,-$B$11,0)+ $E$4*OFFSET(N492,-2* $B$11,0), O491)</f>
        <v/>
      </c>
      <c r="P492" s="15">
        <f>INT((2^$J$12-1)*O492/100)/(2^$J$12-1)*100</f>
        <v/>
      </c>
      <c r="Q492" s="15" t="n">
        <v>0</v>
      </c>
      <c r="R492" s="15">
        <f>P492+Q492</f>
        <v/>
      </c>
      <c r="S492" s="15">
        <f>$I$1*S491-$I$2*S490+$I$3*R471+$I$4*R470</f>
        <v/>
      </c>
      <c r="T492" s="15">
        <f>RAND()*$G$12</f>
        <v/>
      </c>
      <c r="U492" s="15">
        <f>S492+T492</f>
        <v/>
      </c>
      <c r="V492" s="15">
        <f>INT((2^$J$12-1)*U492/100)/(2^$J$12-1)*100</f>
        <v/>
      </c>
      <c r="X492" s="15">
        <f>M492 * 1.05</f>
        <v/>
      </c>
      <c r="Y492" s="15">
        <f>M492 * 0.95</f>
        <v/>
      </c>
      <c r="Z492" s="15">
        <f>IF(AND(V492 &lt;= X492, V492 &gt;= Y492), 1, 0)</f>
        <v/>
      </c>
    </row>
    <row r="493">
      <c r="L493" s="15" t="n">
        <v>491</v>
      </c>
      <c r="M493" s="15">
        <f>IF(L493&lt;$D$16,$D$13,IF(L493&lt;$E$16,$E$13,$F$13))</f>
        <v/>
      </c>
      <c r="N493" s="15">
        <f>M493-V493</f>
        <v/>
      </c>
      <c r="O493" s="15">
        <f>IF(MOD(L493,$B$11)=0,OFFSET(O493,-$B$11,0)+ $E$2*N493+$E$3*OFFSET(N493,-$B$11,0)+ $E$4*OFFSET(N493,-2* $B$11,0), O492)</f>
        <v/>
      </c>
      <c r="P493" s="15">
        <f>INT((2^$J$12-1)*O493/100)/(2^$J$12-1)*100</f>
        <v/>
      </c>
      <c r="Q493" s="15" t="n">
        <v>0</v>
      </c>
      <c r="R493" s="15">
        <f>P493+Q493</f>
        <v/>
      </c>
      <c r="S493" s="15">
        <f>$I$1*S492-$I$2*S491+$I$3*R472+$I$4*R471</f>
        <v/>
      </c>
      <c r="T493" s="15">
        <f>RAND()*$G$12</f>
        <v/>
      </c>
      <c r="U493" s="15">
        <f>S493+T493</f>
        <v/>
      </c>
      <c r="V493" s="15">
        <f>INT((2^$J$12-1)*U493/100)/(2^$J$12-1)*100</f>
        <v/>
      </c>
      <c r="X493" s="15">
        <f>M493 * 1.05</f>
        <v/>
      </c>
      <c r="Y493" s="15">
        <f>M493 * 0.95</f>
        <v/>
      </c>
      <c r="Z493" s="15">
        <f>IF(AND(V493 &lt;= X493, V493 &gt;= Y493), 1, 0)</f>
        <v/>
      </c>
    </row>
    <row r="494">
      <c r="L494" s="15" t="n">
        <v>492</v>
      </c>
      <c r="M494" s="15">
        <f>IF(L494&lt;$D$16,$D$13,IF(L494&lt;$E$16,$E$13,$F$13))</f>
        <v/>
      </c>
      <c r="N494" s="15">
        <f>M494-V494</f>
        <v/>
      </c>
      <c r="O494" s="15">
        <f>IF(MOD(L494,$B$11)=0,OFFSET(O494,-$B$11,0)+ $E$2*N494+$E$3*OFFSET(N494,-$B$11,0)+ $E$4*OFFSET(N494,-2* $B$11,0), O493)</f>
        <v/>
      </c>
      <c r="P494" s="15">
        <f>INT((2^$J$12-1)*O494/100)/(2^$J$12-1)*100</f>
        <v/>
      </c>
      <c r="Q494" s="15" t="n">
        <v>0</v>
      </c>
      <c r="R494" s="15">
        <f>P494+Q494</f>
        <v/>
      </c>
      <c r="S494" s="15">
        <f>$I$1*S493-$I$2*S492+$I$3*R473+$I$4*R472</f>
        <v/>
      </c>
      <c r="T494" s="15">
        <f>RAND()*$G$12</f>
        <v/>
      </c>
      <c r="U494" s="15">
        <f>S494+T494</f>
        <v/>
      </c>
      <c r="V494" s="15">
        <f>INT((2^$J$12-1)*U494/100)/(2^$J$12-1)*100</f>
        <v/>
      </c>
      <c r="X494" s="15">
        <f>M494 * 1.05</f>
        <v/>
      </c>
      <c r="Y494" s="15">
        <f>M494 * 0.95</f>
        <v/>
      </c>
      <c r="Z494" s="15">
        <f>IF(AND(V494 &lt;= X494, V494 &gt;= Y494), 1, 0)</f>
        <v/>
      </c>
    </row>
    <row r="495">
      <c r="L495" s="15" t="n">
        <v>493</v>
      </c>
      <c r="M495" s="15">
        <f>IF(L495&lt;$D$16,$D$13,IF(L495&lt;$E$16,$E$13,$F$13))</f>
        <v/>
      </c>
      <c r="N495" s="15">
        <f>M495-V495</f>
        <v/>
      </c>
      <c r="O495" s="15">
        <f>IF(MOD(L495,$B$11)=0,OFFSET(O495,-$B$11,0)+ $E$2*N495+$E$3*OFFSET(N495,-$B$11,0)+ $E$4*OFFSET(N495,-2* $B$11,0), O494)</f>
        <v/>
      </c>
      <c r="P495" s="15">
        <f>INT((2^$J$12-1)*O495/100)/(2^$J$12-1)*100</f>
        <v/>
      </c>
      <c r="Q495" s="15" t="n">
        <v>0</v>
      </c>
      <c r="R495" s="15">
        <f>P495+Q495</f>
        <v/>
      </c>
      <c r="S495" s="15">
        <f>$I$1*S494-$I$2*S493+$I$3*R474+$I$4*R473</f>
        <v/>
      </c>
      <c r="T495" s="15">
        <f>RAND()*$G$12</f>
        <v/>
      </c>
      <c r="U495" s="15">
        <f>S495+T495</f>
        <v/>
      </c>
      <c r="V495" s="15">
        <f>INT((2^$J$12-1)*U495/100)/(2^$J$12-1)*100</f>
        <v/>
      </c>
      <c r="X495" s="15">
        <f>M495 * 1.05</f>
        <v/>
      </c>
      <c r="Y495" s="15">
        <f>M495 * 0.95</f>
        <v/>
      </c>
      <c r="Z495" s="15">
        <f>IF(AND(V495 &lt;= X495, V495 &gt;= Y495), 1, 0)</f>
        <v/>
      </c>
    </row>
    <row r="496">
      <c r="L496" s="15" t="n">
        <v>494</v>
      </c>
      <c r="M496" s="15">
        <f>IF(L496&lt;$D$16,$D$13,IF(L496&lt;$E$16,$E$13,$F$13))</f>
        <v/>
      </c>
      <c r="N496" s="15">
        <f>M496-V496</f>
        <v/>
      </c>
      <c r="O496" s="15">
        <f>IF(MOD(L496,$B$11)=0,OFFSET(O496,-$B$11,0)+ $E$2*N496+$E$3*OFFSET(N496,-$B$11,0)+ $E$4*OFFSET(N496,-2* $B$11,0), O495)</f>
        <v/>
      </c>
      <c r="P496" s="15">
        <f>INT((2^$J$12-1)*O496/100)/(2^$J$12-1)*100</f>
        <v/>
      </c>
      <c r="Q496" s="15" t="n">
        <v>0</v>
      </c>
      <c r="R496" s="15">
        <f>P496+Q496</f>
        <v/>
      </c>
      <c r="S496" s="15">
        <f>$I$1*S495-$I$2*S494+$I$3*R475+$I$4*R474</f>
        <v/>
      </c>
      <c r="T496" s="15">
        <f>RAND()*$G$12</f>
        <v/>
      </c>
      <c r="U496" s="15">
        <f>S496+T496</f>
        <v/>
      </c>
      <c r="V496" s="15">
        <f>INT((2^$J$12-1)*U496/100)/(2^$J$12-1)*100</f>
        <v/>
      </c>
      <c r="X496" s="15">
        <f>M496 * 1.05</f>
        <v/>
      </c>
      <c r="Y496" s="15">
        <f>M496 * 0.95</f>
        <v/>
      </c>
      <c r="Z496" s="15">
        <f>IF(AND(V496 &lt;= X496, V496 &gt;= Y496), 1, 0)</f>
        <v/>
      </c>
    </row>
    <row r="497">
      <c r="L497" s="15" t="n">
        <v>495</v>
      </c>
      <c r="M497" s="15">
        <f>IF(L497&lt;$D$16,$D$13,IF(L497&lt;$E$16,$E$13,$F$13))</f>
        <v/>
      </c>
      <c r="N497" s="15">
        <f>M497-V497</f>
        <v/>
      </c>
      <c r="O497" s="15">
        <f>IF(MOD(L497,$B$11)=0,OFFSET(O497,-$B$11,0)+ $E$2*N497+$E$3*OFFSET(N497,-$B$11,0)+ $E$4*OFFSET(N497,-2* $B$11,0), O496)</f>
        <v/>
      </c>
      <c r="P497" s="15">
        <f>INT((2^$J$12-1)*O497/100)/(2^$J$12-1)*100</f>
        <v/>
      </c>
      <c r="Q497" s="15" t="n">
        <v>0</v>
      </c>
      <c r="R497" s="15">
        <f>P497+Q497</f>
        <v/>
      </c>
      <c r="S497" s="15">
        <f>$I$1*S496-$I$2*S495+$I$3*R476+$I$4*R475</f>
        <v/>
      </c>
      <c r="T497" s="15">
        <f>RAND()*$G$12</f>
        <v/>
      </c>
      <c r="U497" s="15">
        <f>S497+T497</f>
        <v/>
      </c>
      <c r="V497" s="15">
        <f>INT((2^$J$12-1)*U497/100)/(2^$J$12-1)*100</f>
        <v/>
      </c>
      <c r="X497" s="15">
        <f>M497 * 1.05</f>
        <v/>
      </c>
      <c r="Y497" s="15">
        <f>M497 * 0.95</f>
        <v/>
      </c>
      <c r="Z497" s="15">
        <f>IF(AND(V497 &lt;= X497, V497 &gt;= Y497), 1, 0)</f>
        <v/>
      </c>
    </row>
    <row r="498">
      <c r="L498" s="15" t="n">
        <v>496</v>
      </c>
      <c r="M498" s="15">
        <f>IF(L498&lt;$D$16,$D$13,IF(L498&lt;$E$16,$E$13,$F$13))</f>
        <v/>
      </c>
      <c r="N498" s="15">
        <f>M498-V498</f>
        <v/>
      </c>
      <c r="O498" s="15">
        <f>IF(MOD(L498,$B$11)=0,OFFSET(O498,-$B$11,0)+ $E$2*N498+$E$3*OFFSET(N498,-$B$11,0)+ $E$4*OFFSET(N498,-2* $B$11,0), O497)</f>
        <v/>
      </c>
      <c r="P498" s="15">
        <f>INT((2^$J$12-1)*O498/100)/(2^$J$12-1)*100</f>
        <v/>
      </c>
      <c r="Q498" s="15" t="n">
        <v>0</v>
      </c>
      <c r="R498" s="15">
        <f>P498+Q498</f>
        <v/>
      </c>
      <c r="S498" s="15">
        <f>$I$1*S497-$I$2*S496+$I$3*R477+$I$4*R476</f>
        <v/>
      </c>
      <c r="T498" s="15">
        <f>RAND()*$G$12</f>
        <v/>
      </c>
      <c r="U498" s="15">
        <f>S498+T498</f>
        <v/>
      </c>
      <c r="V498" s="15">
        <f>INT((2^$J$12-1)*U498/100)/(2^$J$12-1)*100</f>
        <v/>
      </c>
      <c r="X498" s="15">
        <f>M498 * 1.05</f>
        <v/>
      </c>
      <c r="Y498" s="15">
        <f>M498 * 0.95</f>
        <v/>
      </c>
      <c r="Z498" s="15">
        <f>IF(AND(V498 &lt;= X498, V498 &gt;= Y498), 1, 0)</f>
        <v/>
      </c>
    </row>
    <row r="499">
      <c r="L499" s="15" t="n">
        <v>497</v>
      </c>
      <c r="M499" s="15">
        <f>IF(L499&lt;$D$16,$D$13,IF(L499&lt;$E$16,$E$13,$F$13))</f>
        <v/>
      </c>
      <c r="N499" s="15">
        <f>M499-V499</f>
        <v/>
      </c>
      <c r="O499" s="15">
        <f>IF(MOD(L499,$B$11)=0,OFFSET(O499,-$B$11,0)+ $E$2*N499+$E$3*OFFSET(N499,-$B$11,0)+ $E$4*OFFSET(N499,-2* $B$11,0), O498)</f>
        <v/>
      </c>
      <c r="P499" s="15">
        <f>INT((2^$J$12-1)*O499/100)/(2^$J$12-1)*100</f>
        <v/>
      </c>
      <c r="Q499" s="15" t="n">
        <v>0</v>
      </c>
      <c r="R499" s="15">
        <f>P499+Q499</f>
        <v/>
      </c>
      <c r="S499" s="15">
        <f>$I$1*S498-$I$2*S497+$I$3*R478+$I$4*R477</f>
        <v/>
      </c>
      <c r="T499" s="15">
        <f>RAND()*$G$12</f>
        <v/>
      </c>
      <c r="U499" s="15">
        <f>S499+T499</f>
        <v/>
      </c>
      <c r="V499" s="15">
        <f>INT((2^$J$12-1)*U499/100)/(2^$J$12-1)*100</f>
        <v/>
      </c>
      <c r="X499" s="15">
        <f>M499 * 1.05</f>
        <v/>
      </c>
      <c r="Y499" s="15">
        <f>M499 * 0.95</f>
        <v/>
      </c>
      <c r="Z499" s="15">
        <f>IF(AND(V499 &lt;= X499, V499 &gt;= Y499), 1, 0)</f>
        <v/>
      </c>
    </row>
    <row r="500">
      <c r="L500" s="15" t="n">
        <v>498</v>
      </c>
      <c r="M500" s="15">
        <f>IF(L500&lt;$D$16,$D$13,IF(L500&lt;$E$16,$E$13,$F$13))</f>
        <v/>
      </c>
      <c r="N500" s="15">
        <f>M500-V500</f>
        <v/>
      </c>
      <c r="O500" s="15">
        <f>IF(MOD(L500,$B$11)=0,OFFSET(O500,-$B$11,0)+ $E$2*N500+$E$3*OFFSET(N500,-$B$11,0)+ $E$4*OFFSET(N500,-2* $B$11,0), O499)</f>
        <v/>
      </c>
      <c r="P500" s="15">
        <f>INT((2^$J$12-1)*O500/100)/(2^$J$12-1)*100</f>
        <v/>
      </c>
      <c r="Q500" s="15" t="n">
        <v>0</v>
      </c>
      <c r="R500" s="15">
        <f>P500+Q500</f>
        <v/>
      </c>
      <c r="S500" s="15">
        <f>$I$1*S499-$I$2*S498+$I$3*R479+$I$4*R478</f>
        <v/>
      </c>
      <c r="T500" s="15">
        <f>RAND()*$G$12</f>
        <v/>
      </c>
      <c r="U500" s="15">
        <f>S500+T500</f>
        <v/>
      </c>
      <c r="V500" s="15">
        <f>INT((2^$J$12-1)*U500/100)/(2^$J$12-1)*100</f>
        <v/>
      </c>
      <c r="X500" s="15">
        <f>M500 * 1.05</f>
        <v/>
      </c>
      <c r="Y500" s="15">
        <f>M500 * 0.95</f>
        <v/>
      </c>
      <c r="Z500" s="15">
        <f>IF(AND(V500 &lt;= X500, V500 &gt;= Y500), 1, 0)</f>
        <v/>
      </c>
    </row>
    <row r="501">
      <c r="L501" s="15" t="n">
        <v>499</v>
      </c>
      <c r="M501" s="15">
        <f>IF(L501&lt;$D$16,$D$13,IF(L501&lt;$E$16,$E$13,$F$13))</f>
        <v/>
      </c>
      <c r="N501" s="15">
        <f>M501-V501</f>
        <v/>
      </c>
      <c r="O501" s="15">
        <f>IF(MOD(L501,$B$11)=0,OFFSET(O501,-$B$11,0)+ $E$2*N501+$E$3*OFFSET(N501,-$B$11,0)+ $E$4*OFFSET(N501,-2* $B$11,0), O500)</f>
        <v/>
      </c>
      <c r="P501" s="15">
        <f>INT((2^$J$12-1)*O501/100)/(2^$J$12-1)*100</f>
        <v/>
      </c>
      <c r="Q501" s="15" t="n">
        <v>0</v>
      </c>
      <c r="R501" s="15">
        <f>P501+Q501</f>
        <v/>
      </c>
      <c r="S501" s="15">
        <f>$I$1*S500-$I$2*S499+$I$3*R480+$I$4*R479</f>
        <v/>
      </c>
      <c r="T501" s="15">
        <f>RAND()*$G$12</f>
        <v/>
      </c>
      <c r="U501" s="15">
        <f>S501+T501</f>
        <v/>
      </c>
      <c r="V501" s="15">
        <f>INT((2^$J$12-1)*U501/100)/(2^$J$12-1)*100</f>
        <v/>
      </c>
      <c r="X501" s="15">
        <f>M501 * 1.05</f>
        <v/>
      </c>
      <c r="Y501" s="15">
        <f>M501 * 0.95</f>
        <v/>
      </c>
      <c r="Z501" s="15">
        <f>IF(AND(V501 &lt;= X501, V501 &gt;= Y501), 1, 0)</f>
        <v/>
      </c>
    </row>
    <row r="502">
      <c r="L502" s="15" t="n">
        <v>500</v>
      </c>
      <c r="M502" s="15">
        <f>IF(L502&lt;$D$16,$D$13,IF(L502&lt;$E$16,$E$13,$F$13))</f>
        <v/>
      </c>
      <c r="N502" s="15">
        <f>M502-V502</f>
        <v/>
      </c>
      <c r="O502" s="15">
        <f>IF(MOD(L502,$B$11)=0,OFFSET(O502,-$B$11,0)+ $E$2*N502+$E$3*OFFSET(N502,-$B$11,0)+ $E$4*OFFSET(N502,-2* $B$11,0), O501)</f>
        <v/>
      </c>
      <c r="P502" s="15">
        <f>INT((2^$J$12-1)*O502/100)/(2^$J$12-1)*100</f>
        <v/>
      </c>
      <c r="Q502" s="15" t="n">
        <v>0</v>
      </c>
      <c r="R502" s="15">
        <f>P502+Q502</f>
        <v/>
      </c>
      <c r="S502" s="15">
        <f>$I$1*S501-$I$2*S500+$I$3*R481+$I$4*R480</f>
        <v/>
      </c>
      <c r="T502" s="15">
        <f>RAND()*$G$12</f>
        <v/>
      </c>
      <c r="U502" s="15">
        <f>S502+T502</f>
        <v/>
      </c>
      <c r="V502" s="15">
        <f>INT((2^$J$12-1)*U502/100)/(2^$J$12-1)*100</f>
        <v/>
      </c>
      <c r="X502" s="15">
        <f>M502 * 1.05</f>
        <v/>
      </c>
      <c r="Y502" s="15">
        <f>M502 * 0.95</f>
        <v/>
      </c>
      <c r="Z502" s="15">
        <f>IF(AND(V502 &lt;= X502, V502 &gt;= Y502), 1, 0)</f>
        <v/>
      </c>
    </row>
    <row r="503">
      <c r="L503" s="15" t="n">
        <v>501</v>
      </c>
      <c r="M503" s="15">
        <f>IF(L503&lt;$D$16,$D$13,IF(L503&lt;$E$16,$E$13,$F$13))</f>
        <v/>
      </c>
      <c r="N503" s="15">
        <f>M503-V503</f>
        <v/>
      </c>
      <c r="O503" s="15">
        <f>IF(MOD(L503,$B$11)=0,OFFSET(O503,-$B$11,0)+ $E$2*N503+$E$3*OFFSET(N503,-$B$11,0)+ $E$4*OFFSET(N503,-2* $B$11,0), O502)</f>
        <v/>
      </c>
      <c r="P503" s="15">
        <f>INT((2^$J$12-1)*O503/100)/(2^$J$12-1)*100</f>
        <v/>
      </c>
      <c r="Q503" s="15" t="n">
        <v>0</v>
      </c>
      <c r="R503" s="15">
        <f>P503+Q503</f>
        <v/>
      </c>
      <c r="S503" s="15">
        <f>$I$1*S502-$I$2*S501+$I$3*R482+$I$4*R481</f>
        <v/>
      </c>
      <c r="T503" s="15">
        <f>RAND()*$G$12</f>
        <v/>
      </c>
      <c r="U503" s="15">
        <f>S503+T503</f>
        <v/>
      </c>
      <c r="V503" s="15">
        <f>INT((2^$J$12-1)*U503/100)/(2^$J$12-1)*100</f>
        <v/>
      </c>
      <c r="X503" s="15">
        <f>M503 * 1.05</f>
        <v/>
      </c>
      <c r="Y503" s="15">
        <f>M503 * 0.95</f>
        <v/>
      </c>
      <c r="Z503" s="15">
        <f>IF(AND(V503 &lt;= X503, V503 &gt;= Y503), 1, 0)</f>
        <v/>
      </c>
    </row>
    <row r="504">
      <c r="L504" s="15" t="n">
        <v>502</v>
      </c>
      <c r="M504" s="15">
        <f>IF(L504&lt;$D$16,$D$13,IF(L504&lt;$E$16,$E$13,$F$13))</f>
        <v/>
      </c>
      <c r="N504" s="15">
        <f>M504-V504</f>
        <v/>
      </c>
      <c r="O504" s="15">
        <f>IF(MOD(L504,$B$11)=0,OFFSET(O504,-$B$11,0)+ $E$2*N504+$E$3*OFFSET(N504,-$B$11,0)+ $E$4*OFFSET(N504,-2* $B$11,0), O503)</f>
        <v/>
      </c>
      <c r="P504" s="15">
        <f>INT((2^$J$12-1)*O504/100)/(2^$J$12-1)*100</f>
        <v/>
      </c>
      <c r="Q504" s="15" t="n">
        <v>0</v>
      </c>
      <c r="R504" s="15">
        <f>P504+Q504</f>
        <v/>
      </c>
      <c r="S504" s="15">
        <f>$I$1*S503-$I$2*S502+$I$3*R483+$I$4*R482</f>
        <v/>
      </c>
      <c r="T504" s="15">
        <f>RAND()*$G$12</f>
        <v/>
      </c>
      <c r="U504" s="15">
        <f>S504+T504</f>
        <v/>
      </c>
      <c r="V504" s="15">
        <f>INT((2^$J$12-1)*U504/100)/(2^$J$12-1)*100</f>
        <v/>
      </c>
      <c r="X504" s="15">
        <f>M504 * 1.05</f>
        <v/>
      </c>
      <c r="Y504" s="15">
        <f>M504 * 0.95</f>
        <v/>
      </c>
      <c r="Z504" s="15">
        <f>IF(AND(V504 &lt;= X504, V504 &gt;= Y504), 1, 0)</f>
        <v/>
      </c>
    </row>
    <row r="505">
      <c r="L505" s="15" t="n">
        <v>503</v>
      </c>
      <c r="M505" s="15">
        <f>IF(L505&lt;$D$16,$D$13,IF(L505&lt;$E$16,$E$13,$F$13))</f>
        <v/>
      </c>
      <c r="N505" s="15">
        <f>M505-V505</f>
        <v/>
      </c>
      <c r="O505" s="15">
        <f>IF(MOD(L505,$B$11)=0,OFFSET(O505,-$B$11,0)+ $E$2*N505+$E$3*OFFSET(N505,-$B$11,0)+ $E$4*OFFSET(N505,-2* $B$11,0), O504)</f>
        <v/>
      </c>
      <c r="P505" s="15">
        <f>INT((2^$J$12-1)*O505/100)/(2^$J$12-1)*100</f>
        <v/>
      </c>
      <c r="Q505" s="15" t="n">
        <v>0</v>
      </c>
      <c r="R505" s="15">
        <f>P505+Q505</f>
        <v/>
      </c>
      <c r="S505" s="15">
        <f>$I$1*S504-$I$2*S503+$I$3*R484+$I$4*R483</f>
        <v/>
      </c>
      <c r="T505" s="15">
        <f>RAND()*$G$12</f>
        <v/>
      </c>
      <c r="U505" s="15">
        <f>S505+T505</f>
        <v/>
      </c>
      <c r="V505" s="15">
        <f>INT((2^$J$12-1)*U505/100)/(2^$J$12-1)*100</f>
        <v/>
      </c>
      <c r="X505" s="15">
        <f>M505 * 1.05</f>
        <v/>
      </c>
      <c r="Y505" s="15">
        <f>M505 * 0.95</f>
        <v/>
      </c>
      <c r="Z505" s="15">
        <f>IF(AND(V505 &lt;= X505, V505 &gt;= Y505), 1, 0)</f>
        <v/>
      </c>
    </row>
    <row r="506">
      <c r="L506" s="15" t="n">
        <v>504</v>
      </c>
      <c r="M506" s="15">
        <f>IF(L506&lt;$D$16,$D$13,IF(L506&lt;$E$16,$E$13,$F$13))</f>
        <v/>
      </c>
      <c r="N506" s="15">
        <f>M506-V506</f>
        <v/>
      </c>
      <c r="O506" s="15">
        <f>IF(MOD(L506,$B$11)=0,OFFSET(O506,-$B$11,0)+ $E$2*N506+$E$3*OFFSET(N506,-$B$11,0)+ $E$4*OFFSET(N506,-2* $B$11,0), O505)</f>
        <v/>
      </c>
      <c r="P506" s="15">
        <f>INT((2^$J$12-1)*O506/100)/(2^$J$12-1)*100</f>
        <v/>
      </c>
      <c r="Q506" s="15" t="n">
        <v>0</v>
      </c>
      <c r="R506" s="15">
        <f>P506+Q506</f>
        <v/>
      </c>
      <c r="S506" s="15">
        <f>$I$1*S505-$I$2*S504+$I$3*R485+$I$4*R484</f>
        <v/>
      </c>
      <c r="T506" s="15">
        <f>RAND()*$G$12</f>
        <v/>
      </c>
      <c r="U506" s="15">
        <f>S506+T506</f>
        <v/>
      </c>
      <c r="V506" s="15">
        <f>INT((2^$J$12-1)*U506/100)/(2^$J$12-1)*100</f>
        <v/>
      </c>
      <c r="X506" s="15">
        <f>M506 * 1.05</f>
        <v/>
      </c>
      <c r="Y506" s="15">
        <f>M506 * 0.95</f>
        <v/>
      </c>
      <c r="Z506" s="15">
        <f>IF(AND(V506 &lt;= X506, V506 &gt;= Y506), 1, 0)</f>
        <v/>
      </c>
    </row>
    <row r="507">
      <c r="L507" s="15" t="n">
        <v>505</v>
      </c>
      <c r="M507" s="15">
        <f>IF(L507&lt;$D$16,$D$13,IF(L507&lt;$E$16,$E$13,$F$13))</f>
        <v/>
      </c>
      <c r="N507" s="15">
        <f>M507-V507</f>
        <v/>
      </c>
      <c r="O507" s="15">
        <f>IF(MOD(L507,$B$11)=0,OFFSET(O507,-$B$11,0)+ $E$2*N507+$E$3*OFFSET(N507,-$B$11,0)+ $E$4*OFFSET(N507,-2* $B$11,0), O506)</f>
        <v/>
      </c>
      <c r="P507" s="15">
        <f>INT((2^$J$12-1)*O507/100)/(2^$J$12-1)*100</f>
        <v/>
      </c>
      <c r="Q507" s="15" t="n">
        <v>0</v>
      </c>
      <c r="R507" s="15">
        <f>P507+Q507</f>
        <v/>
      </c>
      <c r="S507" s="15">
        <f>$I$1*S506-$I$2*S505+$I$3*R486+$I$4*R485</f>
        <v/>
      </c>
      <c r="T507" s="15">
        <f>RAND()*$G$12</f>
        <v/>
      </c>
      <c r="U507" s="15">
        <f>S507+T507</f>
        <v/>
      </c>
      <c r="V507" s="15">
        <f>INT((2^$J$12-1)*U507/100)/(2^$J$12-1)*100</f>
        <v/>
      </c>
      <c r="X507" s="15">
        <f>M507 * 1.05</f>
        <v/>
      </c>
      <c r="Y507" s="15">
        <f>M507 * 0.95</f>
        <v/>
      </c>
      <c r="Z507" s="15">
        <f>IF(AND(V507 &lt;= X507, V507 &gt;= Y507), 1, 0)</f>
        <v/>
      </c>
    </row>
    <row r="508">
      <c r="L508" s="15" t="n">
        <v>506</v>
      </c>
      <c r="M508" s="15">
        <f>IF(L508&lt;$D$16,$D$13,IF(L508&lt;$E$16,$E$13,$F$13))</f>
        <v/>
      </c>
      <c r="N508" s="15">
        <f>M508-V508</f>
        <v/>
      </c>
      <c r="O508" s="15">
        <f>IF(MOD(L508,$B$11)=0,OFFSET(O508,-$B$11,0)+ $E$2*N508+$E$3*OFFSET(N508,-$B$11,0)+ $E$4*OFFSET(N508,-2* $B$11,0), O507)</f>
        <v/>
      </c>
      <c r="P508" s="15">
        <f>INT((2^$J$12-1)*O508/100)/(2^$J$12-1)*100</f>
        <v/>
      </c>
      <c r="Q508" s="15" t="n">
        <v>0</v>
      </c>
      <c r="R508" s="15">
        <f>P508+Q508</f>
        <v/>
      </c>
      <c r="S508" s="15">
        <f>$I$1*S507-$I$2*S506+$I$3*R487+$I$4*R486</f>
        <v/>
      </c>
      <c r="T508" s="15">
        <f>RAND()*$G$12</f>
        <v/>
      </c>
      <c r="U508" s="15">
        <f>S508+T508</f>
        <v/>
      </c>
      <c r="V508" s="15">
        <f>INT((2^$J$12-1)*U508/100)/(2^$J$12-1)*100</f>
        <v/>
      </c>
      <c r="X508" s="15">
        <f>M508 * 1.05</f>
        <v/>
      </c>
      <c r="Y508" s="15">
        <f>M508 * 0.95</f>
        <v/>
      </c>
      <c r="Z508" s="15">
        <f>IF(AND(V508 &lt;= X508, V508 &gt;= Y508), 1, 0)</f>
        <v/>
      </c>
    </row>
    <row r="509">
      <c r="L509" s="15" t="n">
        <v>507</v>
      </c>
      <c r="M509" s="15">
        <f>IF(L509&lt;$D$16,$D$13,IF(L509&lt;$E$16,$E$13,$F$13))</f>
        <v/>
      </c>
      <c r="N509" s="15">
        <f>M509-V509</f>
        <v/>
      </c>
      <c r="O509" s="15">
        <f>IF(MOD(L509,$B$11)=0,OFFSET(O509,-$B$11,0)+ $E$2*N509+$E$3*OFFSET(N509,-$B$11,0)+ $E$4*OFFSET(N509,-2* $B$11,0), O508)</f>
        <v/>
      </c>
      <c r="P509" s="15">
        <f>INT((2^$J$12-1)*O509/100)/(2^$J$12-1)*100</f>
        <v/>
      </c>
      <c r="Q509" s="15" t="n">
        <v>0</v>
      </c>
      <c r="R509" s="15">
        <f>P509+Q509</f>
        <v/>
      </c>
      <c r="S509" s="15">
        <f>$I$1*S508-$I$2*S507+$I$3*R488+$I$4*R487</f>
        <v/>
      </c>
      <c r="T509" s="15">
        <f>RAND()*$G$12</f>
        <v/>
      </c>
      <c r="U509" s="15">
        <f>S509+T509</f>
        <v/>
      </c>
      <c r="V509" s="15">
        <f>INT((2^$J$12-1)*U509/100)/(2^$J$12-1)*100</f>
        <v/>
      </c>
      <c r="X509" s="15">
        <f>M509 * 1.05</f>
        <v/>
      </c>
      <c r="Y509" s="15">
        <f>M509 * 0.95</f>
        <v/>
      </c>
      <c r="Z509" s="15">
        <f>IF(AND(V509 &lt;= X509, V509 &gt;= Y509), 1, 0)</f>
        <v/>
      </c>
    </row>
    <row r="510">
      <c r="L510" s="15" t="n">
        <v>508</v>
      </c>
      <c r="M510" s="15">
        <f>IF(L510&lt;$D$16,$D$13,IF(L510&lt;$E$16,$E$13,$F$13))</f>
        <v/>
      </c>
      <c r="N510" s="15">
        <f>M510-V510</f>
        <v/>
      </c>
      <c r="O510" s="15">
        <f>IF(MOD(L510,$B$11)=0,OFFSET(O510,-$B$11,0)+ $E$2*N510+$E$3*OFFSET(N510,-$B$11,0)+ $E$4*OFFSET(N510,-2* $B$11,0), O509)</f>
        <v/>
      </c>
      <c r="P510" s="15">
        <f>INT((2^$J$12-1)*O510/100)/(2^$J$12-1)*100</f>
        <v/>
      </c>
      <c r="Q510" s="15" t="n">
        <v>0</v>
      </c>
      <c r="R510" s="15">
        <f>P510+Q510</f>
        <v/>
      </c>
      <c r="S510" s="15">
        <f>$I$1*S509-$I$2*S508+$I$3*R489+$I$4*R488</f>
        <v/>
      </c>
      <c r="T510" s="15">
        <f>RAND()*$G$12</f>
        <v/>
      </c>
      <c r="U510" s="15">
        <f>S510+T510</f>
        <v/>
      </c>
      <c r="V510" s="15">
        <f>INT((2^$J$12-1)*U510/100)/(2^$J$12-1)*100</f>
        <v/>
      </c>
      <c r="X510" s="15">
        <f>M510 * 1.05</f>
        <v/>
      </c>
      <c r="Y510" s="15">
        <f>M510 * 0.95</f>
        <v/>
      </c>
      <c r="Z510" s="15">
        <f>IF(AND(V510 &lt;= X510, V510 &gt;= Y510), 1, 0)</f>
        <v/>
      </c>
    </row>
    <row r="511">
      <c r="L511" s="15" t="n">
        <v>509</v>
      </c>
      <c r="M511" s="15">
        <f>IF(L511&lt;$D$16,$D$13,IF(L511&lt;$E$16,$E$13,$F$13))</f>
        <v/>
      </c>
      <c r="N511" s="15">
        <f>M511-V511</f>
        <v/>
      </c>
      <c r="O511" s="15">
        <f>IF(MOD(L511,$B$11)=0,OFFSET(O511,-$B$11,0)+ $E$2*N511+$E$3*OFFSET(N511,-$B$11,0)+ $E$4*OFFSET(N511,-2* $B$11,0), O510)</f>
        <v/>
      </c>
      <c r="P511" s="15">
        <f>INT((2^$J$12-1)*O511/100)/(2^$J$12-1)*100</f>
        <v/>
      </c>
      <c r="Q511" s="15" t="n">
        <v>0</v>
      </c>
      <c r="R511" s="15">
        <f>P511+Q511</f>
        <v/>
      </c>
      <c r="S511" s="15">
        <f>$I$1*S510-$I$2*S509+$I$3*R490+$I$4*R489</f>
        <v/>
      </c>
      <c r="T511" s="15">
        <f>RAND()*$G$12</f>
        <v/>
      </c>
      <c r="U511" s="15">
        <f>S511+T511</f>
        <v/>
      </c>
      <c r="V511" s="15">
        <f>INT((2^$J$12-1)*U511/100)/(2^$J$12-1)*100</f>
        <v/>
      </c>
      <c r="X511" s="15">
        <f>M511 * 1.05</f>
        <v/>
      </c>
      <c r="Y511" s="15">
        <f>M511 * 0.95</f>
        <v/>
      </c>
      <c r="Z511" s="15">
        <f>IF(AND(V511 &lt;= X511, V511 &gt;= Y511), 1, 0)</f>
        <v/>
      </c>
    </row>
    <row r="512">
      <c r="L512" s="15" t="n">
        <v>510</v>
      </c>
      <c r="M512" s="15">
        <f>IF(L512&lt;$D$16,$D$13,IF(L512&lt;$E$16,$E$13,$F$13))</f>
        <v/>
      </c>
      <c r="N512" s="15">
        <f>M512-V512</f>
        <v/>
      </c>
      <c r="O512" s="15">
        <f>IF(MOD(L512,$B$11)=0,OFFSET(O512,-$B$11,0)+ $E$2*N512+$E$3*OFFSET(N512,-$B$11,0)+ $E$4*OFFSET(N512,-2* $B$11,0), O511)</f>
        <v/>
      </c>
      <c r="P512" s="15">
        <f>INT((2^$J$12-1)*O512/100)/(2^$J$12-1)*100</f>
        <v/>
      </c>
      <c r="Q512" s="15" t="n">
        <v>0</v>
      </c>
      <c r="R512" s="15">
        <f>P512+Q512</f>
        <v/>
      </c>
      <c r="S512" s="15">
        <f>$I$1*S511-$I$2*S510+$I$3*R491+$I$4*R490</f>
        <v/>
      </c>
      <c r="T512" s="15">
        <f>RAND()*$G$12</f>
        <v/>
      </c>
      <c r="U512" s="15">
        <f>S512+T512</f>
        <v/>
      </c>
      <c r="V512" s="15">
        <f>INT((2^$J$12-1)*U512/100)/(2^$J$12-1)*100</f>
        <v/>
      </c>
      <c r="X512" s="15">
        <f>M512 * 1.05</f>
        <v/>
      </c>
      <c r="Y512" s="15">
        <f>M512 * 0.95</f>
        <v/>
      </c>
      <c r="Z512" s="15">
        <f>IF(AND(V512 &lt;= X512, V512 &gt;= Y512), 1, 0)</f>
        <v/>
      </c>
    </row>
    <row r="513">
      <c r="L513" s="15" t="n">
        <v>511</v>
      </c>
      <c r="M513" s="15">
        <f>IF(L513&lt;$D$16,$D$13,IF(L513&lt;$E$16,$E$13,$F$13))</f>
        <v/>
      </c>
      <c r="N513" s="15">
        <f>M513-V513</f>
        <v/>
      </c>
      <c r="O513" s="15">
        <f>IF(MOD(L513,$B$11)=0,OFFSET(O513,-$B$11,0)+ $E$2*N513+$E$3*OFFSET(N513,-$B$11,0)+ $E$4*OFFSET(N513,-2* $B$11,0), O512)</f>
        <v/>
      </c>
      <c r="P513" s="15">
        <f>INT((2^$J$12-1)*O513/100)/(2^$J$12-1)*100</f>
        <v/>
      </c>
      <c r="Q513" s="15" t="n">
        <v>0</v>
      </c>
      <c r="R513" s="15">
        <f>P513+Q513</f>
        <v/>
      </c>
      <c r="S513" s="15">
        <f>$I$1*S512-$I$2*S511+$I$3*R492+$I$4*R491</f>
        <v/>
      </c>
      <c r="T513" s="15">
        <f>RAND()*$G$12</f>
        <v/>
      </c>
      <c r="U513" s="15">
        <f>S513+T513</f>
        <v/>
      </c>
      <c r="V513" s="15">
        <f>INT((2^$J$12-1)*U513/100)/(2^$J$12-1)*100</f>
        <v/>
      </c>
      <c r="X513" s="15">
        <f>M513 * 1.05</f>
        <v/>
      </c>
      <c r="Y513" s="15">
        <f>M513 * 0.95</f>
        <v/>
      </c>
      <c r="Z513" s="15">
        <f>IF(AND(V513 &lt;= X513, V513 &gt;= Y513), 1, 0)</f>
        <v/>
      </c>
    </row>
    <row r="514">
      <c r="L514" s="15" t="n">
        <v>512</v>
      </c>
      <c r="M514" s="15">
        <f>IF(L514&lt;$D$16,$D$13,IF(L514&lt;$E$16,$E$13,$F$13))</f>
        <v/>
      </c>
      <c r="N514" s="15">
        <f>M514-V514</f>
        <v/>
      </c>
      <c r="O514" s="15">
        <f>IF(MOD(L514,$B$11)=0,OFFSET(O514,-$B$11,0)+ $E$2*N514+$E$3*OFFSET(N514,-$B$11,0)+ $E$4*OFFSET(N514,-2* $B$11,0), O513)</f>
        <v/>
      </c>
      <c r="P514" s="15">
        <f>INT((2^$J$12-1)*O514/100)/(2^$J$12-1)*100</f>
        <v/>
      </c>
      <c r="Q514" s="15" t="n">
        <v>0</v>
      </c>
      <c r="R514" s="15">
        <f>P514+Q514</f>
        <v/>
      </c>
      <c r="S514" s="15">
        <f>$I$1*S513-$I$2*S512+$I$3*R493+$I$4*R492</f>
        <v/>
      </c>
      <c r="T514" s="15">
        <f>RAND()*$G$12</f>
        <v/>
      </c>
      <c r="U514" s="15">
        <f>S514+T514</f>
        <v/>
      </c>
      <c r="V514" s="15">
        <f>INT((2^$J$12-1)*U514/100)/(2^$J$12-1)*100</f>
        <v/>
      </c>
      <c r="X514" s="15">
        <f>M514 * 1.05</f>
        <v/>
      </c>
      <c r="Y514" s="15">
        <f>M514 * 0.95</f>
        <v/>
      </c>
      <c r="Z514" s="15">
        <f>IF(AND(V514 &lt;= X514, V514 &gt;= Y514), 1, 0)</f>
        <v/>
      </c>
    </row>
    <row r="515">
      <c r="L515" s="15" t="n">
        <v>513</v>
      </c>
      <c r="M515" s="15">
        <f>IF(L515&lt;$D$16,$D$13,IF(L515&lt;$E$16,$E$13,$F$13))</f>
        <v/>
      </c>
      <c r="N515" s="15">
        <f>M515-V515</f>
        <v/>
      </c>
      <c r="O515" s="15">
        <f>IF(MOD(L515,$B$11)=0,OFFSET(O515,-$B$11,0)+ $E$2*N515+$E$3*OFFSET(N515,-$B$11,0)+ $E$4*OFFSET(N515,-2* $B$11,0), O514)</f>
        <v/>
      </c>
      <c r="P515" s="15">
        <f>INT((2^$J$12-1)*O515/100)/(2^$J$12-1)*100</f>
        <v/>
      </c>
      <c r="Q515" s="15" t="n">
        <v>0</v>
      </c>
      <c r="R515" s="15">
        <f>P515+Q515</f>
        <v/>
      </c>
      <c r="S515" s="15">
        <f>$I$1*S514-$I$2*S513+$I$3*R494+$I$4*R493</f>
        <v/>
      </c>
      <c r="T515" s="15">
        <f>RAND()*$G$12</f>
        <v/>
      </c>
      <c r="U515" s="15">
        <f>S515+T515</f>
        <v/>
      </c>
      <c r="V515" s="15">
        <f>INT((2^$J$12-1)*U515/100)/(2^$J$12-1)*100</f>
        <v/>
      </c>
      <c r="X515" s="15">
        <f>M515 * 1.05</f>
        <v/>
      </c>
      <c r="Y515" s="15">
        <f>M515 * 0.95</f>
        <v/>
      </c>
      <c r="Z515" s="15">
        <f>IF(AND(V515 &lt;= X515, V515 &gt;= Y515), 1, 0)</f>
        <v/>
      </c>
    </row>
    <row r="516">
      <c r="L516" s="15" t="n">
        <v>514</v>
      </c>
      <c r="M516" s="15">
        <f>IF(L516&lt;$D$16,$D$13,IF(L516&lt;$E$16,$E$13,$F$13))</f>
        <v/>
      </c>
      <c r="N516" s="15">
        <f>M516-V516</f>
        <v/>
      </c>
      <c r="O516" s="15">
        <f>IF(MOD(L516,$B$11)=0,OFFSET(O516,-$B$11,0)+ $E$2*N516+$E$3*OFFSET(N516,-$B$11,0)+ $E$4*OFFSET(N516,-2* $B$11,0), O515)</f>
        <v/>
      </c>
      <c r="P516" s="15">
        <f>INT((2^$J$12-1)*O516/100)/(2^$J$12-1)*100</f>
        <v/>
      </c>
      <c r="Q516" s="15" t="n">
        <v>0</v>
      </c>
      <c r="R516" s="15">
        <f>P516+Q516</f>
        <v/>
      </c>
      <c r="S516" s="15">
        <f>$I$1*S515-$I$2*S514+$I$3*R495+$I$4*R494</f>
        <v/>
      </c>
      <c r="T516" s="15">
        <f>RAND()*$G$12</f>
        <v/>
      </c>
      <c r="U516" s="15">
        <f>S516+T516</f>
        <v/>
      </c>
      <c r="V516" s="15">
        <f>INT((2^$J$12-1)*U516/100)/(2^$J$12-1)*100</f>
        <v/>
      </c>
      <c r="X516" s="15">
        <f>M516 * 1.05</f>
        <v/>
      </c>
      <c r="Y516" s="15">
        <f>M516 * 0.95</f>
        <v/>
      </c>
      <c r="Z516" s="15">
        <f>IF(AND(V516 &lt;= X516, V516 &gt;= Y516), 1, 0)</f>
        <v/>
      </c>
    </row>
    <row r="517">
      <c r="L517" s="15" t="n">
        <v>515</v>
      </c>
      <c r="M517" s="15">
        <f>IF(L517&lt;$D$16,$D$13,IF(L517&lt;$E$16,$E$13,$F$13))</f>
        <v/>
      </c>
      <c r="N517" s="15">
        <f>M517-V517</f>
        <v/>
      </c>
      <c r="O517" s="15">
        <f>IF(MOD(L517,$B$11)=0,OFFSET(O517,-$B$11,0)+ $E$2*N517+$E$3*OFFSET(N517,-$B$11,0)+ $E$4*OFFSET(N517,-2* $B$11,0), O516)</f>
        <v/>
      </c>
      <c r="P517" s="15">
        <f>INT((2^$J$12-1)*O517/100)/(2^$J$12-1)*100</f>
        <v/>
      </c>
      <c r="Q517" s="15" t="n">
        <v>0</v>
      </c>
      <c r="R517" s="15">
        <f>P517+Q517</f>
        <v/>
      </c>
      <c r="S517" s="15">
        <f>$I$1*S516-$I$2*S515+$I$3*R496+$I$4*R495</f>
        <v/>
      </c>
      <c r="T517" s="15">
        <f>RAND()*$G$12</f>
        <v/>
      </c>
      <c r="U517" s="15">
        <f>S517+T517</f>
        <v/>
      </c>
      <c r="V517" s="15">
        <f>INT((2^$J$12-1)*U517/100)/(2^$J$12-1)*100</f>
        <v/>
      </c>
      <c r="X517" s="15">
        <f>M517 * 1.05</f>
        <v/>
      </c>
      <c r="Y517" s="15">
        <f>M517 * 0.95</f>
        <v/>
      </c>
      <c r="Z517" s="15">
        <f>IF(AND(V517 &lt;= X517, V517 &gt;= Y517), 1, 0)</f>
        <v/>
      </c>
    </row>
    <row r="518">
      <c r="L518" s="15" t="n">
        <v>516</v>
      </c>
      <c r="M518" s="15">
        <f>IF(L518&lt;$D$16,$D$13,IF(L518&lt;$E$16,$E$13,$F$13))</f>
        <v/>
      </c>
      <c r="N518" s="15">
        <f>M518-V518</f>
        <v/>
      </c>
      <c r="O518" s="15">
        <f>IF(MOD(L518,$B$11)=0,OFFSET(O518,-$B$11,0)+ $E$2*N518+$E$3*OFFSET(N518,-$B$11,0)+ $E$4*OFFSET(N518,-2* $B$11,0), O517)</f>
        <v/>
      </c>
      <c r="P518" s="15">
        <f>INT((2^$J$12-1)*O518/100)/(2^$J$12-1)*100</f>
        <v/>
      </c>
      <c r="Q518" s="15" t="n">
        <v>0</v>
      </c>
      <c r="R518" s="15">
        <f>P518+Q518</f>
        <v/>
      </c>
      <c r="S518" s="15">
        <f>$I$1*S517-$I$2*S516+$I$3*R497+$I$4*R496</f>
        <v/>
      </c>
      <c r="T518" s="15">
        <f>RAND()*$G$12</f>
        <v/>
      </c>
      <c r="U518" s="15">
        <f>S518+T518</f>
        <v/>
      </c>
      <c r="V518" s="15">
        <f>INT((2^$J$12-1)*U518/100)/(2^$J$12-1)*100</f>
        <v/>
      </c>
      <c r="X518" s="15">
        <f>M518 * 1.05</f>
        <v/>
      </c>
      <c r="Y518" s="15">
        <f>M518 * 0.95</f>
        <v/>
      </c>
      <c r="Z518" s="15">
        <f>IF(AND(V518 &lt;= X518, V518 &gt;= Y518), 1, 0)</f>
        <v/>
      </c>
    </row>
    <row r="519">
      <c r="L519" s="15" t="n">
        <v>517</v>
      </c>
      <c r="M519" s="15">
        <f>IF(L519&lt;$D$16,$D$13,IF(L519&lt;$E$16,$E$13,$F$13))</f>
        <v/>
      </c>
      <c r="N519" s="15">
        <f>M519-V519</f>
        <v/>
      </c>
      <c r="O519" s="15">
        <f>IF(MOD(L519,$B$11)=0,OFFSET(O519,-$B$11,0)+ $E$2*N519+$E$3*OFFSET(N519,-$B$11,0)+ $E$4*OFFSET(N519,-2* $B$11,0), O518)</f>
        <v/>
      </c>
      <c r="P519" s="15">
        <f>INT((2^$J$12-1)*O519/100)/(2^$J$12-1)*100</f>
        <v/>
      </c>
      <c r="Q519" s="15" t="n">
        <v>0</v>
      </c>
      <c r="R519" s="15">
        <f>P519+Q519</f>
        <v/>
      </c>
      <c r="S519" s="15">
        <f>$I$1*S518-$I$2*S517+$I$3*R498+$I$4*R497</f>
        <v/>
      </c>
      <c r="T519" s="15">
        <f>RAND()*$G$12</f>
        <v/>
      </c>
      <c r="U519" s="15">
        <f>S519+T519</f>
        <v/>
      </c>
      <c r="V519" s="15">
        <f>INT((2^$J$12-1)*U519/100)/(2^$J$12-1)*100</f>
        <v/>
      </c>
      <c r="X519" s="15">
        <f>M519 * 1.05</f>
        <v/>
      </c>
      <c r="Y519" s="15">
        <f>M519 * 0.95</f>
        <v/>
      </c>
      <c r="Z519" s="15">
        <f>IF(AND(V519 &lt;= X519, V519 &gt;= Y519), 1, 0)</f>
        <v/>
      </c>
    </row>
    <row r="520">
      <c r="L520" s="15" t="n">
        <v>518</v>
      </c>
      <c r="M520" s="15">
        <f>IF(L520&lt;$D$16,$D$13,IF(L520&lt;$E$16,$E$13,$F$13))</f>
        <v/>
      </c>
      <c r="N520" s="15">
        <f>M520-V520</f>
        <v/>
      </c>
      <c r="O520" s="15">
        <f>IF(MOD(L520,$B$11)=0,OFFSET(O520,-$B$11,0)+ $E$2*N520+$E$3*OFFSET(N520,-$B$11,0)+ $E$4*OFFSET(N520,-2* $B$11,0), O519)</f>
        <v/>
      </c>
      <c r="P520" s="15">
        <f>INT((2^$J$12-1)*O520/100)/(2^$J$12-1)*100</f>
        <v/>
      </c>
      <c r="Q520" s="15" t="n">
        <v>0</v>
      </c>
      <c r="R520" s="15">
        <f>P520+Q520</f>
        <v/>
      </c>
      <c r="S520" s="15">
        <f>$I$1*S519-$I$2*S518+$I$3*R499+$I$4*R498</f>
        <v/>
      </c>
      <c r="T520" s="15">
        <f>RAND()*$G$12</f>
        <v/>
      </c>
      <c r="U520" s="15">
        <f>S520+T520</f>
        <v/>
      </c>
      <c r="V520" s="15">
        <f>INT((2^$J$12-1)*U520/100)/(2^$J$12-1)*100</f>
        <v/>
      </c>
      <c r="X520" s="15">
        <f>M520 * 1.05</f>
        <v/>
      </c>
      <c r="Y520" s="15">
        <f>M520 * 0.95</f>
        <v/>
      </c>
      <c r="Z520" s="15">
        <f>IF(AND(V520 &lt;= X520, V520 &gt;= Y520), 1, 0)</f>
        <v/>
      </c>
    </row>
    <row r="521">
      <c r="L521" s="15" t="n">
        <v>519</v>
      </c>
      <c r="M521" s="15">
        <f>IF(L521&lt;$D$16,$D$13,IF(L521&lt;$E$16,$E$13,$F$13))</f>
        <v/>
      </c>
      <c r="N521" s="15">
        <f>M521-V521</f>
        <v/>
      </c>
      <c r="O521" s="15">
        <f>IF(MOD(L521,$B$11)=0,OFFSET(O521,-$B$11,0)+ $E$2*N521+$E$3*OFFSET(N521,-$B$11,0)+ $E$4*OFFSET(N521,-2* $B$11,0), O520)</f>
        <v/>
      </c>
      <c r="P521" s="15">
        <f>INT((2^$J$12-1)*O521/100)/(2^$J$12-1)*100</f>
        <v/>
      </c>
      <c r="Q521" s="15" t="n">
        <v>0</v>
      </c>
      <c r="R521" s="15">
        <f>P521+Q521</f>
        <v/>
      </c>
      <c r="S521" s="15">
        <f>$I$1*S520-$I$2*S519+$I$3*R500+$I$4*R499</f>
        <v/>
      </c>
      <c r="T521" s="15">
        <f>RAND()*$G$12</f>
        <v/>
      </c>
      <c r="U521" s="15">
        <f>S521+T521</f>
        <v/>
      </c>
      <c r="V521" s="15">
        <f>INT((2^$J$12-1)*U521/100)/(2^$J$12-1)*100</f>
        <v/>
      </c>
      <c r="X521" s="15">
        <f>M521 * 1.05</f>
        <v/>
      </c>
      <c r="Y521" s="15">
        <f>M521 * 0.95</f>
        <v/>
      </c>
      <c r="Z521" s="15">
        <f>IF(AND(V521 &lt;= X521, V521 &gt;= Y521), 1, 0)</f>
        <v/>
      </c>
    </row>
    <row r="522">
      <c r="L522" s="15" t="n">
        <v>520</v>
      </c>
      <c r="M522" s="15">
        <f>IF(L522&lt;$D$16,$D$13,IF(L522&lt;$E$16,$E$13,$F$13))</f>
        <v/>
      </c>
      <c r="N522" s="15">
        <f>M522-V522</f>
        <v/>
      </c>
      <c r="O522" s="15">
        <f>IF(MOD(L522,$B$11)=0,OFFSET(O522,-$B$11,0)+ $E$2*N522+$E$3*OFFSET(N522,-$B$11,0)+ $E$4*OFFSET(N522,-2* $B$11,0), O521)</f>
        <v/>
      </c>
      <c r="P522" s="15">
        <f>INT((2^$J$12-1)*O522/100)/(2^$J$12-1)*100</f>
        <v/>
      </c>
      <c r="Q522" s="15" t="n">
        <v>0</v>
      </c>
      <c r="R522" s="15">
        <f>P522+Q522</f>
        <v/>
      </c>
      <c r="S522" s="15">
        <f>$I$1*S521-$I$2*S520+$I$3*R501+$I$4*R500</f>
        <v/>
      </c>
      <c r="T522" s="15">
        <f>RAND()*$G$12</f>
        <v/>
      </c>
      <c r="U522" s="15">
        <f>S522+T522</f>
        <v/>
      </c>
      <c r="V522" s="15">
        <f>INT((2^$J$12-1)*U522/100)/(2^$J$12-1)*100</f>
        <v/>
      </c>
      <c r="X522" s="15">
        <f>M522 * 1.05</f>
        <v/>
      </c>
      <c r="Y522" s="15">
        <f>M522 * 0.95</f>
        <v/>
      </c>
      <c r="Z522" s="15">
        <f>IF(AND(V522 &lt;= X522, V522 &gt;= Y522), 1, 0)</f>
        <v/>
      </c>
    </row>
    <row r="523">
      <c r="L523" s="15" t="n">
        <v>521</v>
      </c>
      <c r="M523" s="15">
        <f>IF(L523&lt;$D$16,$D$13,IF(L523&lt;$E$16,$E$13,$F$13))</f>
        <v/>
      </c>
      <c r="N523" s="15">
        <f>M523-V523</f>
        <v/>
      </c>
      <c r="O523" s="15">
        <f>IF(MOD(L523,$B$11)=0,OFFSET(O523,-$B$11,0)+ $E$2*N523+$E$3*OFFSET(N523,-$B$11,0)+ $E$4*OFFSET(N523,-2* $B$11,0), O522)</f>
        <v/>
      </c>
      <c r="P523" s="15">
        <f>INT((2^$J$12-1)*O523/100)/(2^$J$12-1)*100</f>
        <v/>
      </c>
      <c r="Q523" s="15" t="n">
        <v>0</v>
      </c>
      <c r="R523" s="15">
        <f>P523+Q523</f>
        <v/>
      </c>
      <c r="S523" s="15">
        <f>$I$1*S522-$I$2*S521+$I$3*R502+$I$4*R501</f>
        <v/>
      </c>
      <c r="T523" s="15">
        <f>RAND()*$G$12</f>
        <v/>
      </c>
      <c r="U523" s="15">
        <f>S523+T523</f>
        <v/>
      </c>
      <c r="V523" s="15">
        <f>INT((2^$J$12-1)*U523/100)/(2^$J$12-1)*100</f>
        <v/>
      </c>
      <c r="X523" s="15">
        <f>M523 * 1.05</f>
        <v/>
      </c>
      <c r="Y523" s="15">
        <f>M523 * 0.95</f>
        <v/>
      </c>
      <c r="Z523" s="15">
        <f>IF(AND(V523 &lt;= X523, V523 &gt;= Y523), 1, 0)</f>
        <v/>
      </c>
    </row>
    <row r="524">
      <c r="L524" s="15" t="n">
        <v>522</v>
      </c>
      <c r="M524" s="15">
        <f>IF(L524&lt;$D$16,$D$13,IF(L524&lt;$E$16,$E$13,$F$13))</f>
        <v/>
      </c>
      <c r="N524" s="15">
        <f>M524-V524</f>
        <v/>
      </c>
      <c r="O524" s="15">
        <f>IF(MOD(L524,$B$11)=0,OFFSET(O524,-$B$11,0)+ $E$2*N524+$E$3*OFFSET(N524,-$B$11,0)+ $E$4*OFFSET(N524,-2* $B$11,0), O523)</f>
        <v/>
      </c>
      <c r="P524" s="15">
        <f>INT((2^$J$12-1)*O524/100)/(2^$J$12-1)*100</f>
        <v/>
      </c>
      <c r="Q524" s="15" t="n">
        <v>0</v>
      </c>
      <c r="R524" s="15">
        <f>P524+Q524</f>
        <v/>
      </c>
      <c r="S524" s="15">
        <f>$I$1*S523-$I$2*S522+$I$3*R503+$I$4*R502</f>
        <v/>
      </c>
      <c r="T524" s="15">
        <f>RAND()*$G$12</f>
        <v/>
      </c>
      <c r="U524" s="15">
        <f>S524+T524</f>
        <v/>
      </c>
      <c r="V524" s="15">
        <f>INT((2^$J$12-1)*U524/100)/(2^$J$12-1)*100</f>
        <v/>
      </c>
      <c r="X524" s="15">
        <f>M524 * 1.05</f>
        <v/>
      </c>
      <c r="Y524" s="15">
        <f>M524 * 0.95</f>
        <v/>
      </c>
      <c r="Z524" s="15">
        <f>IF(AND(V524 &lt;= X524, V524 &gt;= Y524), 1, 0)</f>
        <v/>
      </c>
    </row>
    <row r="525">
      <c r="L525" s="15" t="n">
        <v>523</v>
      </c>
      <c r="M525" s="15">
        <f>IF(L525&lt;$D$16,$D$13,IF(L525&lt;$E$16,$E$13,$F$13))</f>
        <v/>
      </c>
      <c r="N525" s="15">
        <f>M525-V525</f>
        <v/>
      </c>
      <c r="O525" s="15">
        <f>IF(MOD(L525,$B$11)=0,OFFSET(O525,-$B$11,0)+ $E$2*N525+$E$3*OFFSET(N525,-$B$11,0)+ $E$4*OFFSET(N525,-2* $B$11,0), O524)</f>
        <v/>
      </c>
      <c r="P525" s="15">
        <f>INT((2^$J$12-1)*O525/100)/(2^$J$12-1)*100</f>
        <v/>
      </c>
      <c r="Q525" s="15" t="n">
        <v>0</v>
      </c>
      <c r="R525" s="15">
        <f>P525+Q525</f>
        <v/>
      </c>
      <c r="S525" s="15">
        <f>$I$1*S524-$I$2*S523+$I$3*R504+$I$4*R503</f>
        <v/>
      </c>
      <c r="T525" s="15">
        <f>RAND()*$G$12</f>
        <v/>
      </c>
      <c r="U525" s="15">
        <f>S525+T525</f>
        <v/>
      </c>
      <c r="V525" s="15">
        <f>INT((2^$J$12-1)*U525/100)/(2^$J$12-1)*100</f>
        <v/>
      </c>
      <c r="X525" s="15">
        <f>M525 * 1.05</f>
        <v/>
      </c>
      <c r="Y525" s="15">
        <f>M525 * 0.95</f>
        <v/>
      </c>
      <c r="Z525" s="15">
        <f>IF(AND(V525 &lt;= X525, V525 &gt;= Y525), 1, 0)</f>
        <v/>
      </c>
    </row>
    <row r="526">
      <c r="L526" s="15" t="n">
        <v>524</v>
      </c>
      <c r="M526" s="15">
        <f>IF(L526&lt;$D$16,$D$13,IF(L526&lt;$E$16,$E$13,$F$13))</f>
        <v/>
      </c>
      <c r="N526" s="15">
        <f>M526-V526</f>
        <v/>
      </c>
      <c r="O526" s="15">
        <f>IF(MOD(L526,$B$11)=0,OFFSET(O526,-$B$11,0)+ $E$2*N526+$E$3*OFFSET(N526,-$B$11,0)+ $E$4*OFFSET(N526,-2* $B$11,0), O525)</f>
        <v/>
      </c>
      <c r="P526" s="15">
        <f>INT((2^$J$12-1)*O526/100)/(2^$J$12-1)*100</f>
        <v/>
      </c>
      <c r="Q526" s="15" t="n">
        <v>0</v>
      </c>
      <c r="R526" s="15">
        <f>P526+Q526</f>
        <v/>
      </c>
      <c r="S526" s="15">
        <f>$I$1*S525-$I$2*S524+$I$3*R505+$I$4*R504</f>
        <v/>
      </c>
      <c r="T526" s="15">
        <f>RAND()*$G$12</f>
        <v/>
      </c>
      <c r="U526" s="15">
        <f>S526+T526</f>
        <v/>
      </c>
      <c r="V526" s="15">
        <f>INT((2^$J$12-1)*U526/100)/(2^$J$12-1)*100</f>
        <v/>
      </c>
      <c r="X526" s="15">
        <f>M526 * 1.05</f>
        <v/>
      </c>
      <c r="Y526" s="15">
        <f>M526 * 0.95</f>
        <v/>
      </c>
      <c r="Z526" s="15">
        <f>IF(AND(V526 &lt;= X526, V526 &gt;= Y526), 1, 0)</f>
        <v/>
      </c>
    </row>
    <row r="527">
      <c r="L527" s="15" t="n">
        <v>525</v>
      </c>
      <c r="M527" s="15">
        <f>IF(L527&lt;$D$16,$D$13,IF(L527&lt;$E$16,$E$13,$F$13))</f>
        <v/>
      </c>
      <c r="N527" s="15">
        <f>M527-V527</f>
        <v/>
      </c>
      <c r="O527" s="15">
        <f>IF(MOD(L527,$B$11)=0,OFFSET(O527,-$B$11,0)+ $E$2*N527+$E$3*OFFSET(N527,-$B$11,0)+ $E$4*OFFSET(N527,-2* $B$11,0), O526)</f>
        <v/>
      </c>
      <c r="P527" s="15">
        <f>INT((2^$J$12-1)*O527/100)/(2^$J$12-1)*100</f>
        <v/>
      </c>
      <c r="Q527" s="15" t="n">
        <v>0</v>
      </c>
      <c r="R527" s="15">
        <f>P527+Q527</f>
        <v/>
      </c>
      <c r="S527" s="15">
        <f>$I$1*S526-$I$2*S525+$I$3*R506+$I$4*R505</f>
        <v/>
      </c>
      <c r="T527" s="15">
        <f>RAND()*$G$12</f>
        <v/>
      </c>
      <c r="U527" s="15">
        <f>S527+T527</f>
        <v/>
      </c>
      <c r="V527" s="15">
        <f>INT((2^$J$12-1)*U527/100)/(2^$J$12-1)*100</f>
        <v/>
      </c>
      <c r="X527" s="15">
        <f>M527 * 1.05</f>
        <v/>
      </c>
      <c r="Y527" s="15">
        <f>M527 * 0.95</f>
        <v/>
      </c>
      <c r="Z527" s="15">
        <f>IF(AND(V527 &lt;= X527, V527 &gt;= Y527), 1, 0)</f>
        <v/>
      </c>
    </row>
    <row r="528">
      <c r="L528" s="15" t="n">
        <v>526</v>
      </c>
      <c r="M528" s="15">
        <f>IF(L528&lt;$D$16,$D$13,IF(L528&lt;$E$16,$E$13,$F$13))</f>
        <v/>
      </c>
      <c r="N528" s="15">
        <f>M528-V528</f>
        <v/>
      </c>
      <c r="O528" s="15">
        <f>IF(MOD(L528,$B$11)=0,OFFSET(O528,-$B$11,0)+ $E$2*N528+$E$3*OFFSET(N528,-$B$11,0)+ $E$4*OFFSET(N528,-2* $B$11,0), O527)</f>
        <v/>
      </c>
      <c r="P528" s="15">
        <f>INT((2^$J$12-1)*O528/100)/(2^$J$12-1)*100</f>
        <v/>
      </c>
      <c r="Q528" s="15" t="n">
        <v>0</v>
      </c>
      <c r="R528" s="15">
        <f>P528+Q528</f>
        <v/>
      </c>
      <c r="S528" s="15">
        <f>$I$1*S527-$I$2*S526+$I$3*R507+$I$4*R506</f>
        <v/>
      </c>
      <c r="T528" s="15">
        <f>RAND()*$G$12</f>
        <v/>
      </c>
      <c r="U528" s="15">
        <f>S528+T528</f>
        <v/>
      </c>
      <c r="V528" s="15">
        <f>INT((2^$J$12-1)*U528/100)/(2^$J$12-1)*100</f>
        <v/>
      </c>
      <c r="X528" s="15">
        <f>M528 * 1.05</f>
        <v/>
      </c>
      <c r="Y528" s="15">
        <f>M528 * 0.95</f>
        <v/>
      </c>
      <c r="Z528" s="15">
        <f>IF(AND(V528 &lt;= X528, V528 &gt;= Y528), 1, 0)</f>
        <v/>
      </c>
    </row>
    <row r="529">
      <c r="L529" s="15" t="n">
        <v>527</v>
      </c>
      <c r="M529" s="15">
        <f>IF(L529&lt;$D$16,$D$13,IF(L529&lt;$E$16,$E$13,$F$13))</f>
        <v/>
      </c>
      <c r="N529" s="15">
        <f>M529-V529</f>
        <v/>
      </c>
      <c r="O529" s="15">
        <f>IF(MOD(L529,$B$11)=0,OFFSET(O529,-$B$11,0)+ $E$2*N529+$E$3*OFFSET(N529,-$B$11,0)+ $E$4*OFFSET(N529,-2* $B$11,0), O528)</f>
        <v/>
      </c>
      <c r="P529" s="15">
        <f>INT((2^$J$12-1)*O529/100)/(2^$J$12-1)*100</f>
        <v/>
      </c>
      <c r="Q529" s="15" t="n">
        <v>0</v>
      </c>
      <c r="R529" s="15">
        <f>P529+Q529</f>
        <v/>
      </c>
      <c r="S529" s="15">
        <f>$I$1*S528-$I$2*S527+$I$3*R508+$I$4*R507</f>
        <v/>
      </c>
      <c r="T529" s="15">
        <f>RAND()*$G$12</f>
        <v/>
      </c>
      <c r="U529" s="15">
        <f>S529+T529</f>
        <v/>
      </c>
      <c r="V529" s="15">
        <f>INT((2^$J$12-1)*U529/100)/(2^$J$12-1)*100</f>
        <v/>
      </c>
      <c r="X529" s="15">
        <f>M529 * 1.05</f>
        <v/>
      </c>
      <c r="Y529" s="15">
        <f>M529 * 0.95</f>
        <v/>
      </c>
      <c r="Z529" s="15">
        <f>IF(AND(V529 &lt;= X529, V529 &gt;= Y529), 1, 0)</f>
        <v/>
      </c>
    </row>
    <row r="530">
      <c r="L530" s="15" t="n">
        <v>528</v>
      </c>
      <c r="M530" s="15">
        <f>IF(L530&lt;$D$16,$D$13,IF(L530&lt;$E$16,$E$13,$F$13))</f>
        <v/>
      </c>
      <c r="N530" s="15">
        <f>M530-V530</f>
        <v/>
      </c>
      <c r="O530" s="15">
        <f>IF(MOD(L530,$B$11)=0,OFFSET(O530,-$B$11,0)+ $E$2*N530+$E$3*OFFSET(N530,-$B$11,0)+ $E$4*OFFSET(N530,-2* $B$11,0), O529)</f>
        <v/>
      </c>
      <c r="P530" s="15">
        <f>INT((2^$J$12-1)*O530/100)/(2^$J$12-1)*100</f>
        <v/>
      </c>
      <c r="Q530" s="15" t="n">
        <v>0</v>
      </c>
      <c r="R530" s="15">
        <f>P530+Q530</f>
        <v/>
      </c>
      <c r="S530" s="15">
        <f>$I$1*S529-$I$2*S528+$I$3*R509+$I$4*R508</f>
        <v/>
      </c>
      <c r="T530" s="15">
        <f>RAND()*$G$12</f>
        <v/>
      </c>
      <c r="U530" s="15">
        <f>S530+T530</f>
        <v/>
      </c>
      <c r="V530" s="15">
        <f>INT((2^$J$12-1)*U530/100)/(2^$J$12-1)*100</f>
        <v/>
      </c>
      <c r="X530" s="15">
        <f>M530 * 1.05</f>
        <v/>
      </c>
      <c r="Y530" s="15">
        <f>M530 * 0.95</f>
        <v/>
      </c>
      <c r="Z530" s="15">
        <f>IF(AND(V530 &lt;= X530, V530 &gt;= Y530), 1, 0)</f>
        <v/>
      </c>
    </row>
    <row r="531">
      <c r="L531" s="15" t="n">
        <v>529</v>
      </c>
      <c r="M531" s="15">
        <f>IF(L531&lt;$D$16,$D$13,IF(L531&lt;$E$16,$E$13,$F$13))</f>
        <v/>
      </c>
      <c r="N531" s="15">
        <f>M531-V531</f>
        <v/>
      </c>
      <c r="O531" s="15">
        <f>IF(MOD(L531,$B$11)=0,OFFSET(O531,-$B$11,0)+ $E$2*N531+$E$3*OFFSET(N531,-$B$11,0)+ $E$4*OFFSET(N531,-2* $B$11,0), O530)</f>
        <v/>
      </c>
      <c r="P531" s="15">
        <f>INT((2^$J$12-1)*O531/100)/(2^$J$12-1)*100</f>
        <v/>
      </c>
      <c r="Q531" s="15" t="n">
        <v>0</v>
      </c>
      <c r="R531" s="15">
        <f>P531+Q531</f>
        <v/>
      </c>
      <c r="S531" s="15">
        <f>$I$1*S530-$I$2*S529+$I$3*R510+$I$4*R509</f>
        <v/>
      </c>
      <c r="T531" s="15">
        <f>RAND()*$G$12</f>
        <v/>
      </c>
      <c r="U531" s="15">
        <f>S531+T531</f>
        <v/>
      </c>
      <c r="V531" s="15">
        <f>INT((2^$J$12-1)*U531/100)/(2^$J$12-1)*100</f>
        <v/>
      </c>
      <c r="X531" s="15">
        <f>M531 * 1.05</f>
        <v/>
      </c>
      <c r="Y531" s="15">
        <f>M531 * 0.95</f>
        <v/>
      </c>
      <c r="Z531" s="15">
        <f>IF(AND(V531 &lt;= X531, V531 &gt;= Y531), 1, 0)</f>
        <v/>
      </c>
    </row>
    <row r="532">
      <c r="L532" s="15" t="n">
        <v>530</v>
      </c>
      <c r="M532" s="15">
        <f>IF(L532&lt;$D$16,$D$13,IF(L532&lt;$E$16,$E$13,$F$13))</f>
        <v/>
      </c>
      <c r="N532" s="15">
        <f>M532-V532</f>
        <v/>
      </c>
      <c r="O532" s="15">
        <f>IF(MOD(L532,$B$11)=0,OFFSET(O532,-$B$11,0)+ $E$2*N532+$E$3*OFFSET(N532,-$B$11,0)+ $E$4*OFFSET(N532,-2* $B$11,0), O531)</f>
        <v/>
      </c>
      <c r="P532" s="15">
        <f>INT((2^$J$12-1)*O532/100)/(2^$J$12-1)*100</f>
        <v/>
      </c>
      <c r="Q532" s="15" t="n">
        <v>0</v>
      </c>
      <c r="R532" s="15">
        <f>P532+Q532</f>
        <v/>
      </c>
      <c r="S532" s="15">
        <f>$I$1*S531-$I$2*S530+$I$3*R511+$I$4*R510</f>
        <v/>
      </c>
      <c r="T532" s="15">
        <f>RAND()*$G$12</f>
        <v/>
      </c>
      <c r="U532" s="15">
        <f>S532+T532</f>
        <v/>
      </c>
      <c r="V532" s="15">
        <f>INT((2^$J$12-1)*U532/100)/(2^$J$12-1)*100</f>
        <v/>
      </c>
      <c r="X532" s="15">
        <f>M532 * 1.05</f>
        <v/>
      </c>
      <c r="Y532" s="15">
        <f>M532 * 0.95</f>
        <v/>
      </c>
      <c r="Z532" s="15">
        <f>IF(AND(V532 &lt;= X532, V532 &gt;= Y532), 1, 0)</f>
        <v/>
      </c>
    </row>
    <row r="533">
      <c r="L533" s="15" t="n">
        <v>531</v>
      </c>
      <c r="M533" s="15">
        <f>IF(L533&lt;$D$16,$D$13,IF(L533&lt;$E$16,$E$13,$F$13))</f>
        <v/>
      </c>
      <c r="N533" s="15">
        <f>M533-V533</f>
        <v/>
      </c>
      <c r="O533" s="15">
        <f>IF(MOD(L533,$B$11)=0,OFFSET(O533,-$B$11,0)+ $E$2*N533+$E$3*OFFSET(N533,-$B$11,0)+ $E$4*OFFSET(N533,-2* $B$11,0), O532)</f>
        <v/>
      </c>
      <c r="P533" s="15">
        <f>INT((2^$J$12-1)*O533/100)/(2^$J$12-1)*100</f>
        <v/>
      </c>
      <c r="Q533" s="15" t="n">
        <v>0</v>
      </c>
      <c r="R533" s="15">
        <f>P533+Q533</f>
        <v/>
      </c>
      <c r="S533" s="15">
        <f>$I$1*S532-$I$2*S531+$I$3*R512+$I$4*R511</f>
        <v/>
      </c>
      <c r="T533" s="15">
        <f>RAND()*$G$12</f>
        <v/>
      </c>
      <c r="U533" s="15">
        <f>S533+T533</f>
        <v/>
      </c>
      <c r="V533" s="15">
        <f>INT((2^$J$12-1)*U533/100)/(2^$J$12-1)*100</f>
        <v/>
      </c>
      <c r="X533" s="15">
        <f>M533 * 1.05</f>
        <v/>
      </c>
      <c r="Y533" s="15">
        <f>M533 * 0.95</f>
        <v/>
      </c>
      <c r="Z533" s="15">
        <f>IF(AND(V533 &lt;= X533, V533 &gt;= Y533), 1, 0)</f>
        <v/>
      </c>
    </row>
    <row r="534">
      <c r="L534" s="15" t="n">
        <v>532</v>
      </c>
      <c r="M534" s="15">
        <f>IF(L534&lt;$D$16,$D$13,IF(L534&lt;$E$16,$E$13,$F$13))</f>
        <v/>
      </c>
      <c r="N534" s="15">
        <f>M534-V534</f>
        <v/>
      </c>
      <c r="O534" s="15">
        <f>IF(MOD(L534,$B$11)=0,OFFSET(O534,-$B$11,0)+ $E$2*N534+$E$3*OFFSET(N534,-$B$11,0)+ $E$4*OFFSET(N534,-2* $B$11,0), O533)</f>
        <v/>
      </c>
      <c r="P534" s="15">
        <f>INT((2^$J$12-1)*O534/100)/(2^$J$12-1)*100</f>
        <v/>
      </c>
      <c r="Q534" s="15" t="n">
        <v>0</v>
      </c>
      <c r="R534" s="15">
        <f>P534+Q534</f>
        <v/>
      </c>
      <c r="S534" s="15">
        <f>$I$1*S533-$I$2*S532+$I$3*R513+$I$4*R512</f>
        <v/>
      </c>
      <c r="T534" s="15">
        <f>RAND()*$G$12</f>
        <v/>
      </c>
      <c r="U534" s="15">
        <f>S534+T534</f>
        <v/>
      </c>
      <c r="V534" s="15">
        <f>INT((2^$J$12-1)*U534/100)/(2^$J$12-1)*100</f>
        <v/>
      </c>
      <c r="X534" s="15">
        <f>M534 * 1.05</f>
        <v/>
      </c>
      <c r="Y534" s="15">
        <f>M534 * 0.95</f>
        <v/>
      </c>
      <c r="Z534" s="15">
        <f>IF(AND(V534 &lt;= X534, V534 &gt;= Y534), 1, 0)</f>
        <v/>
      </c>
    </row>
    <row r="535">
      <c r="L535" s="15" t="n">
        <v>533</v>
      </c>
      <c r="M535" s="15">
        <f>IF(L535&lt;$D$16,$D$13,IF(L535&lt;$E$16,$E$13,$F$13))</f>
        <v/>
      </c>
      <c r="N535" s="15">
        <f>M535-V535</f>
        <v/>
      </c>
      <c r="O535" s="15">
        <f>IF(MOD(L535,$B$11)=0,OFFSET(O535,-$B$11,0)+ $E$2*N535+$E$3*OFFSET(N535,-$B$11,0)+ $E$4*OFFSET(N535,-2* $B$11,0), O534)</f>
        <v/>
      </c>
      <c r="P535" s="15">
        <f>INT((2^$J$12-1)*O535/100)/(2^$J$12-1)*100</f>
        <v/>
      </c>
      <c r="Q535" s="15" t="n">
        <v>0</v>
      </c>
      <c r="R535" s="15">
        <f>P535+Q535</f>
        <v/>
      </c>
      <c r="S535" s="15">
        <f>$I$1*S534-$I$2*S533+$I$3*R514+$I$4*R513</f>
        <v/>
      </c>
      <c r="T535" s="15">
        <f>RAND()*$G$12</f>
        <v/>
      </c>
      <c r="U535" s="15">
        <f>S535+T535</f>
        <v/>
      </c>
      <c r="V535" s="15">
        <f>INT((2^$J$12-1)*U535/100)/(2^$J$12-1)*100</f>
        <v/>
      </c>
      <c r="X535" s="15">
        <f>M535 * 1.05</f>
        <v/>
      </c>
      <c r="Y535" s="15">
        <f>M535 * 0.95</f>
        <v/>
      </c>
      <c r="Z535" s="15">
        <f>IF(AND(V535 &lt;= X535, V535 &gt;= Y535), 1, 0)</f>
        <v/>
      </c>
    </row>
    <row r="536">
      <c r="L536" s="15" t="n">
        <v>534</v>
      </c>
      <c r="M536" s="15">
        <f>IF(L536&lt;$D$16,$D$13,IF(L536&lt;$E$16,$E$13,$F$13))</f>
        <v/>
      </c>
      <c r="N536" s="15">
        <f>M536-V536</f>
        <v/>
      </c>
      <c r="O536" s="15">
        <f>IF(MOD(L536,$B$11)=0,OFFSET(O536,-$B$11,0)+ $E$2*N536+$E$3*OFFSET(N536,-$B$11,0)+ $E$4*OFFSET(N536,-2* $B$11,0), O535)</f>
        <v/>
      </c>
      <c r="P536" s="15">
        <f>INT((2^$J$12-1)*O536/100)/(2^$J$12-1)*100</f>
        <v/>
      </c>
      <c r="Q536" s="15" t="n">
        <v>0</v>
      </c>
      <c r="R536" s="15">
        <f>P536+Q536</f>
        <v/>
      </c>
      <c r="S536" s="15">
        <f>$I$1*S535-$I$2*S534+$I$3*R515+$I$4*R514</f>
        <v/>
      </c>
      <c r="T536" s="15">
        <f>RAND()*$G$12</f>
        <v/>
      </c>
      <c r="U536" s="15">
        <f>S536+T536</f>
        <v/>
      </c>
      <c r="V536" s="15">
        <f>INT((2^$J$12-1)*U536/100)/(2^$J$12-1)*100</f>
        <v/>
      </c>
      <c r="X536" s="15">
        <f>M536 * 1.05</f>
        <v/>
      </c>
      <c r="Y536" s="15">
        <f>M536 * 0.95</f>
        <v/>
      </c>
      <c r="Z536" s="15">
        <f>IF(AND(V536 &lt;= X536, V536 &gt;= Y536), 1, 0)</f>
        <v/>
      </c>
    </row>
    <row r="537">
      <c r="L537" s="15" t="n">
        <v>535</v>
      </c>
      <c r="M537" s="15">
        <f>IF(L537&lt;$D$16,$D$13,IF(L537&lt;$E$16,$E$13,$F$13))</f>
        <v/>
      </c>
      <c r="N537" s="15">
        <f>M537-V537</f>
        <v/>
      </c>
      <c r="O537" s="15">
        <f>IF(MOD(L537,$B$11)=0,OFFSET(O537,-$B$11,0)+ $E$2*N537+$E$3*OFFSET(N537,-$B$11,0)+ $E$4*OFFSET(N537,-2* $B$11,0), O536)</f>
        <v/>
      </c>
      <c r="P537" s="15">
        <f>INT((2^$J$12-1)*O537/100)/(2^$J$12-1)*100</f>
        <v/>
      </c>
      <c r="Q537" s="15" t="n">
        <v>0</v>
      </c>
      <c r="R537" s="15">
        <f>P537+Q537</f>
        <v/>
      </c>
      <c r="S537" s="15">
        <f>$I$1*S536-$I$2*S535+$I$3*R516+$I$4*R515</f>
        <v/>
      </c>
      <c r="T537" s="15">
        <f>RAND()*$G$12</f>
        <v/>
      </c>
      <c r="U537" s="15">
        <f>S537+T537</f>
        <v/>
      </c>
      <c r="V537" s="15">
        <f>INT((2^$J$12-1)*U537/100)/(2^$J$12-1)*100</f>
        <v/>
      </c>
      <c r="X537" s="15">
        <f>M537 * 1.05</f>
        <v/>
      </c>
      <c r="Y537" s="15">
        <f>M537 * 0.95</f>
        <v/>
      </c>
      <c r="Z537" s="15">
        <f>IF(AND(V537 &lt;= X537, V537 &gt;= Y537), 1, 0)</f>
        <v/>
      </c>
    </row>
    <row r="538">
      <c r="L538" s="15" t="n">
        <v>536</v>
      </c>
      <c r="M538" s="15">
        <f>IF(L538&lt;$D$16,$D$13,IF(L538&lt;$E$16,$E$13,$F$13))</f>
        <v/>
      </c>
      <c r="N538" s="15">
        <f>M538-V538</f>
        <v/>
      </c>
      <c r="O538" s="15">
        <f>IF(MOD(L538,$B$11)=0,OFFSET(O538,-$B$11,0)+ $E$2*N538+$E$3*OFFSET(N538,-$B$11,0)+ $E$4*OFFSET(N538,-2* $B$11,0), O537)</f>
        <v/>
      </c>
      <c r="P538" s="15">
        <f>INT((2^$J$12-1)*O538/100)/(2^$J$12-1)*100</f>
        <v/>
      </c>
      <c r="Q538" s="15" t="n">
        <v>0</v>
      </c>
      <c r="R538" s="15">
        <f>P538+Q538</f>
        <v/>
      </c>
      <c r="S538" s="15">
        <f>$I$1*S537-$I$2*S536+$I$3*R517+$I$4*R516</f>
        <v/>
      </c>
      <c r="T538" s="15">
        <f>RAND()*$G$12</f>
        <v/>
      </c>
      <c r="U538" s="15">
        <f>S538+T538</f>
        <v/>
      </c>
      <c r="V538" s="15">
        <f>INT((2^$J$12-1)*U538/100)/(2^$J$12-1)*100</f>
        <v/>
      </c>
      <c r="X538" s="15">
        <f>M538 * 1.05</f>
        <v/>
      </c>
      <c r="Y538" s="15">
        <f>M538 * 0.95</f>
        <v/>
      </c>
      <c r="Z538" s="15">
        <f>IF(AND(V538 &lt;= X538, V538 &gt;= Y538), 1, 0)</f>
        <v/>
      </c>
    </row>
    <row r="539">
      <c r="L539" s="15" t="n">
        <v>537</v>
      </c>
      <c r="M539" s="15">
        <f>IF(L539&lt;$D$16,$D$13,IF(L539&lt;$E$16,$E$13,$F$13))</f>
        <v/>
      </c>
      <c r="N539" s="15">
        <f>M539-V539</f>
        <v/>
      </c>
      <c r="O539" s="15">
        <f>IF(MOD(L539,$B$11)=0,OFFSET(O539,-$B$11,0)+ $E$2*N539+$E$3*OFFSET(N539,-$B$11,0)+ $E$4*OFFSET(N539,-2* $B$11,0), O538)</f>
        <v/>
      </c>
      <c r="P539" s="15">
        <f>INT((2^$J$12-1)*O539/100)/(2^$J$12-1)*100</f>
        <v/>
      </c>
      <c r="Q539" s="15" t="n">
        <v>0</v>
      </c>
      <c r="R539" s="15">
        <f>P539+Q539</f>
        <v/>
      </c>
      <c r="S539" s="15">
        <f>$I$1*S538-$I$2*S537+$I$3*R518+$I$4*R517</f>
        <v/>
      </c>
      <c r="T539" s="15">
        <f>RAND()*$G$12</f>
        <v/>
      </c>
      <c r="U539" s="15">
        <f>S539+T539</f>
        <v/>
      </c>
      <c r="V539" s="15">
        <f>INT((2^$J$12-1)*U539/100)/(2^$J$12-1)*100</f>
        <v/>
      </c>
      <c r="X539" s="15">
        <f>M539 * 1.05</f>
        <v/>
      </c>
      <c r="Y539" s="15">
        <f>M539 * 0.95</f>
        <v/>
      </c>
      <c r="Z539" s="15">
        <f>IF(AND(V539 &lt;= X539, V539 &gt;= Y539), 1, 0)</f>
        <v/>
      </c>
    </row>
    <row r="540">
      <c r="L540" s="15" t="n">
        <v>538</v>
      </c>
      <c r="M540" s="15">
        <f>IF(L540&lt;$D$16,$D$13,IF(L540&lt;$E$16,$E$13,$F$13))</f>
        <v/>
      </c>
      <c r="N540" s="15">
        <f>M540-V540</f>
        <v/>
      </c>
      <c r="O540" s="15">
        <f>IF(MOD(L540,$B$11)=0,OFFSET(O540,-$B$11,0)+ $E$2*N540+$E$3*OFFSET(N540,-$B$11,0)+ $E$4*OFFSET(N540,-2* $B$11,0), O539)</f>
        <v/>
      </c>
      <c r="P540" s="15">
        <f>INT((2^$J$12-1)*O540/100)/(2^$J$12-1)*100</f>
        <v/>
      </c>
      <c r="Q540" s="15" t="n">
        <v>0</v>
      </c>
      <c r="R540" s="15">
        <f>P540+Q540</f>
        <v/>
      </c>
      <c r="S540" s="15">
        <f>$I$1*S539-$I$2*S538+$I$3*R519+$I$4*R518</f>
        <v/>
      </c>
      <c r="T540" s="15">
        <f>RAND()*$G$12</f>
        <v/>
      </c>
      <c r="U540" s="15">
        <f>S540+T540</f>
        <v/>
      </c>
      <c r="V540" s="15">
        <f>INT((2^$J$12-1)*U540/100)/(2^$J$12-1)*100</f>
        <v/>
      </c>
      <c r="X540" s="15">
        <f>M540 * 1.05</f>
        <v/>
      </c>
      <c r="Y540" s="15">
        <f>M540 * 0.95</f>
        <v/>
      </c>
      <c r="Z540" s="15">
        <f>IF(AND(V540 &lt;= X540, V540 &gt;= Y540), 1, 0)</f>
        <v/>
      </c>
    </row>
    <row r="541">
      <c r="L541" s="15" t="n">
        <v>539</v>
      </c>
      <c r="M541" s="15">
        <f>IF(L541&lt;$D$16,$D$13,IF(L541&lt;$E$16,$E$13,$F$13))</f>
        <v/>
      </c>
      <c r="N541" s="15">
        <f>M541-V541</f>
        <v/>
      </c>
      <c r="O541" s="15">
        <f>IF(MOD(L541,$B$11)=0,OFFSET(O541,-$B$11,0)+ $E$2*N541+$E$3*OFFSET(N541,-$B$11,0)+ $E$4*OFFSET(N541,-2* $B$11,0), O540)</f>
        <v/>
      </c>
      <c r="P541" s="15">
        <f>INT((2^$J$12-1)*O541/100)/(2^$J$12-1)*100</f>
        <v/>
      </c>
      <c r="Q541" s="15" t="n">
        <v>0</v>
      </c>
      <c r="R541" s="15">
        <f>P541+Q541</f>
        <v/>
      </c>
      <c r="S541" s="15">
        <f>$I$1*S540-$I$2*S539+$I$3*R520+$I$4*R519</f>
        <v/>
      </c>
      <c r="T541" s="15">
        <f>RAND()*$G$12</f>
        <v/>
      </c>
      <c r="U541" s="15">
        <f>S541+T541</f>
        <v/>
      </c>
      <c r="V541" s="15">
        <f>INT((2^$J$12-1)*U541/100)/(2^$J$12-1)*100</f>
        <v/>
      </c>
      <c r="X541" s="15">
        <f>M541 * 1.05</f>
        <v/>
      </c>
      <c r="Y541" s="15">
        <f>M541 * 0.95</f>
        <v/>
      </c>
      <c r="Z541" s="15">
        <f>IF(AND(V541 &lt;= X541, V541 &gt;= Y541), 1, 0)</f>
        <v/>
      </c>
    </row>
    <row r="542">
      <c r="L542" s="15" t="n">
        <v>540</v>
      </c>
      <c r="M542" s="15">
        <f>IF(L542&lt;$D$16,$D$13,IF(L542&lt;$E$16,$E$13,$F$13))</f>
        <v/>
      </c>
      <c r="N542" s="15">
        <f>M542-V542</f>
        <v/>
      </c>
      <c r="O542" s="15">
        <f>IF(MOD(L542,$B$11)=0,OFFSET(O542,-$B$11,0)+ $E$2*N542+$E$3*OFFSET(N542,-$B$11,0)+ $E$4*OFFSET(N542,-2* $B$11,0), O541)</f>
        <v/>
      </c>
      <c r="P542" s="15">
        <f>INT((2^$J$12-1)*O542/100)/(2^$J$12-1)*100</f>
        <v/>
      </c>
      <c r="Q542" s="15" t="n">
        <v>0</v>
      </c>
      <c r="R542" s="15">
        <f>P542+Q542</f>
        <v/>
      </c>
      <c r="S542" s="15">
        <f>$I$1*S541-$I$2*S540+$I$3*R521+$I$4*R520</f>
        <v/>
      </c>
      <c r="T542" s="15">
        <f>RAND()*$G$12</f>
        <v/>
      </c>
      <c r="U542" s="15">
        <f>S542+T542</f>
        <v/>
      </c>
      <c r="V542" s="15">
        <f>INT((2^$J$12-1)*U542/100)/(2^$J$12-1)*100</f>
        <v/>
      </c>
      <c r="X542" s="15">
        <f>M542 * 1.05</f>
        <v/>
      </c>
      <c r="Y542" s="15">
        <f>M542 * 0.95</f>
        <v/>
      </c>
      <c r="Z542" s="15">
        <f>IF(AND(V542 &lt;= X542, V542 &gt;= Y542), 1, 0)</f>
        <v/>
      </c>
    </row>
    <row r="543">
      <c r="L543" s="15" t="n">
        <v>541</v>
      </c>
      <c r="M543" s="15">
        <f>IF(L543&lt;$D$16,$D$13,IF(L543&lt;$E$16,$E$13,$F$13))</f>
        <v/>
      </c>
      <c r="N543" s="15">
        <f>M543-V543</f>
        <v/>
      </c>
      <c r="O543" s="15">
        <f>IF(MOD(L543,$B$11)=0,OFFSET(O543,-$B$11,0)+ $E$2*N543+$E$3*OFFSET(N543,-$B$11,0)+ $E$4*OFFSET(N543,-2* $B$11,0), O542)</f>
        <v/>
      </c>
      <c r="P543" s="15">
        <f>INT((2^$J$12-1)*O543/100)/(2^$J$12-1)*100</f>
        <v/>
      </c>
      <c r="Q543" s="15" t="n">
        <v>0</v>
      </c>
      <c r="R543" s="15">
        <f>P543+Q543</f>
        <v/>
      </c>
      <c r="S543" s="15">
        <f>$I$1*S542-$I$2*S541+$I$3*R522+$I$4*R521</f>
        <v/>
      </c>
      <c r="T543" s="15">
        <f>RAND()*$G$12</f>
        <v/>
      </c>
      <c r="U543" s="15">
        <f>S543+T543</f>
        <v/>
      </c>
      <c r="V543" s="15">
        <f>INT((2^$J$12-1)*U543/100)/(2^$J$12-1)*100</f>
        <v/>
      </c>
      <c r="X543" s="15">
        <f>M543 * 1.05</f>
        <v/>
      </c>
      <c r="Y543" s="15">
        <f>M543 * 0.95</f>
        <v/>
      </c>
      <c r="Z543" s="15">
        <f>IF(AND(V543 &lt;= X543, V543 &gt;= Y543), 1, 0)</f>
        <v/>
      </c>
    </row>
    <row r="544">
      <c r="L544" s="15" t="n">
        <v>542</v>
      </c>
      <c r="M544" s="15">
        <f>IF(L544&lt;$D$16,$D$13,IF(L544&lt;$E$16,$E$13,$F$13))</f>
        <v/>
      </c>
      <c r="N544" s="15">
        <f>M544-V544</f>
        <v/>
      </c>
      <c r="O544" s="15">
        <f>IF(MOD(L544,$B$11)=0,OFFSET(O544,-$B$11,0)+ $E$2*N544+$E$3*OFFSET(N544,-$B$11,0)+ $E$4*OFFSET(N544,-2* $B$11,0), O543)</f>
        <v/>
      </c>
      <c r="P544" s="15">
        <f>INT((2^$J$12-1)*O544/100)/(2^$J$12-1)*100</f>
        <v/>
      </c>
      <c r="Q544" s="15" t="n">
        <v>0</v>
      </c>
      <c r="R544" s="15">
        <f>P544+Q544</f>
        <v/>
      </c>
      <c r="S544" s="15">
        <f>$I$1*S543-$I$2*S542+$I$3*R523+$I$4*R522</f>
        <v/>
      </c>
      <c r="T544" s="15">
        <f>RAND()*$G$12</f>
        <v/>
      </c>
      <c r="U544" s="15">
        <f>S544+T544</f>
        <v/>
      </c>
      <c r="V544" s="15">
        <f>INT((2^$J$12-1)*U544/100)/(2^$J$12-1)*100</f>
        <v/>
      </c>
      <c r="X544" s="15">
        <f>M544 * 1.05</f>
        <v/>
      </c>
      <c r="Y544" s="15">
        <f>M544 * 0.95</f>
        <v/>
      </c>
      <c r="Z544" s="15">
        <f>IF(AND(V544 &lt;= X544, V544 &gt;= Y544), 1, 0)</f>
        <v/>
      </c>
    </row>
    <row r="545">
      <c r="L545" s="15" t="n">
        <v>543</v>
      </c>
      <c r="M545" s="15">
        <f>IF(L545&lt;$D$16,$D$13,IF(L545&lt;$E$16,$E$13,$F$13))</f>
        <v/>
      </c>
      <c r="N545" s="15">
        <f>M545-V545</f>
        <v/>
      </c>
      <c r="O545" s="15">
        <f>IF(MOD(L545,$B$11)=0,OFFSET(O545,-$B$11,0)+ $E$2*N545+$E$3*OFFSET(N545,-$B$11,0)+ $E$4*OFFSET(N545,-2* $B$11,0), O544)</f>
        <v/>
      </c>
      <c r="P545" s="15">
        <f>INT((2^$J$12-1)*O545/100)/(2^$J$12-1)*100</f>
        <v/>
      </c>
      <c r="Q545" s="15" t="n">
        <v>0</v>
      </c>
      <c r="R545" s="15">
        <f>P545+Q545</f>
        <v/>
      </c>
      <c r="S545" s="15">
        <f>$I$1*S544-$I$2*S543+$I$3*R524+$I$4*R523</f>
        <v/>
      </c>
      <c r="T545" s="15">
        <f>RAND()*$G$12</f>
        <v/>
      </c>
      <c r="U545" s="15">
        <f>S545+T545</f>
        <v/>
      </c>
      <c r="V545" s="15">
        <f>INT((2^$J$12-1)*U545/100)/(2^$J$12-1)*100</f>
        <v/>
      </c>
      <c r="X545" s="15">
        <f>M545 * 1.05</f>
        <v/>
      </c>
      <c r="Y545" s="15">
        <f>M545 * 0.95</f>
        <v/>
      </c>
      <c r="Z545" s="15">
        <f>IF(AND(V545 &lt;= X545, V545 &gt;= Y545), 1, 0)</f>
        <v/>
      </c>
    </row>
    <row r="546">
      <c r="L546" s="15" t="n">
        <v>544</v>
      </c>
      <c r="M546" s="15">
        <f>IF(L546&lt;$D$16,$D$13,IF(L546&lt;$E$16,$E$13,$F$13))</f>
        <v/>
      </c>
      <c r="N546" s="15">
        <f>M546-V546</f>
        <v/>
      </c>
      <c r="O546" s="15">
        <f>IF(MOD(L546,$B$11)=0,OFFSET(O546,-$B$11,0)+ $E$2*N546+$E$3*OFFSET(N546,-$B$11,0)+ $E$4*OFFSET(N546,-2* $B$11,0), O545)</f>
        <v/>
      </c>
      <c r="P546" s="15">
        <f>INT((2^$J$12-1)*O546/100)/(2^$J$12-1)*100</f>
        <v/>
      </c>
      <c r="Q546" s="15" t="n">
        <v>0</v>
      </c>
      <c r="R546" s="15">
        <f>P546+Q546</f>
        <v/>
      </c>
      <c r="S546" s="15">
        <f>$I$1*S545-$I$2*S544+$I$3*R525+$I$4*R524</f>
        <v/>
      </c>
      <c r="T546" s="15">
        <f>RAND()*$G$12</f>
        <v/>
      </c>
      <c r="U546" s="15">
        <f>S546+T546</f>
        <v/>
      </c>
      <c r="V546" s="15">
        <f>INT((2^$J$12-1)*U546/100)/(2^$J$12-1)*100</f>
        <v/>
      </c>
      <c r="X546" s="15">
        <f>M546 * 1.05</f>
        <v/>
      </c>
      <c r="Y546" s="15">
        <f>M546 * 0.95</f>
        <v/>
      </c>
      <c r="Z546" s="15">
        <f>IF(AND(V546 &lt;= X546, V546 &gt;= Y546), 1, 0)</f>
        <v/>
      </c>
    </row>
    <row r="547">
      <c r="L547" s="15" t="n">
        <v>545</v>
      </c>
      <c r="M547" s="15">
        <f>IF(L547&lt;$D$16,$D$13,IF(L547&lt;$E$16,$E$13,$F$13))</f>
        <v/>
      </c>
      <c r="N547" s="15">
        <f>M547-V547</f>
        <v/>
      </c>
      <c r="O547" s="15">
        <f>IF(MOD(L547,$B$11)=0,OFFSET(O547,-$B$11,0)+ $E$2*N547+$E$3*OFFSET(N547,-$B$11,0)+ $E$4*OFFSET(N547,-2* $B$11,0), O546)</f>
        <v/>
      </c>
      <c r="P547" s="15">
        <f>INT((2^$J$12-1)*O547/100)/(2^$J$12-1)*100</f>
        <v/>
      </c>
      <c r="Q547" s="15" t="n">
        <v>0</v>
      </c>
      <c r="R547" s="15">
        <f>P547+Q547</f>
        <v/>
      </c>
      <c r="S547" s="15">
        <f>$I$1*S546-$I$2*S545+$I$3*R526+$I$4*R525</f>
        <v/>
      </c>
      <c r="T547" s="15">
        <f>RAND()*$G$12</f>
        <v/>
      </c>
      <c r="U547" s="15">
        <f>S547+T547</f>
        <v/>
      </c>
      <c r="V547" s="15">
        <f>INT((2^$J$12-1)*U547/100)/(2^$J$12-1)*100</f>
        <v/>
      </c>
      <c r="X547" s="15">
        <f>M547 * 1.05</f>
        <v/>
      </c>
      <c r="Y547" s="15">
        <f>M547 * 0.95</f>
        <v/>
      </c>
      <c r="Z547" s="15">
        <f>IF(AND(V547 &lt;= X547, V547 &gt;= Y547), 1, 0)</f>
        <v/>
      </c>
    </row>
    <row r="548">
      <c r="L548" s="15" t="n">
        <v>546</v>
      </c>
      <c r="M548" s="15">
        <f>IF(L548&lt;$D$16,$D$13,IF(L548&lt;$E$16,$E$13,$F$13))</f>
        <v/>
      </c>
      <c r="N548" s="15">
        <f>M548-V548</f>
        <v/>
      </c>
      <c r="O548" s="15">
        <f>IF(MOD(L548,$B$11)=0,OFFSET(O548,-$B$11,0)+ $E$2*N548+$E$3*OFFSET(N548,-$B$11,0)+ $E$4*OFFSET(N548,-2* $B$11,0), O547)</f>
        <v/>
      </c>
      <c r="P548" s="15">
        <f>INT((2^$J$12-1)*O548/100)/(2^$J$12-1)*100</f>
        <v/>
      </c>
      <c r="Q548" s="15" t="n">
        <v>0</v>
      </c>
      <c r="R548" s="15">
        <f>P548+Q548</f>
        <v/>
      </c>
      <c r="S548" s="15">
        <f>$I$1*S547-$I$2*S546+$I$3*R527+$I$4*R526</f>
        <v/>
      </c>
      <c r="T548" s="15">
        <f>RAND()*$G$12</f>
        <v/>
      </c>
      <c r="U548" s="15">
        <f>S548+T548</f>
        <v/>
      </c>
      <c r="V548" s="15">
        <f>INT((2^$J$12-1)*U548/100)/(2^$J$12-1)*100</f>
        <v/>
      </c>
      <c r="X548" s="15">
        <f>M548 * 1.05</f>
        <v/>
      </c>
      <c r="Y548" s="15">
        <f>M548 * 0.95</f>
        <v/>
      </c>
      <c r="Z548" s="15">
        <f>IF(AND(V548 &lt;= X548, V548 &gt;= Y548), 1, 0)</f>
        <v/>
      </c>
    </row>
    <row r="549">
      <c r="L549" s="15" t="n">
        <v>547</v>
      </c>
      <c r="M549" s="15">
        <f>IF(L549&lt;$D$16,$D$13,IF(L549&lt;$E$16,$E$13,$F$13))</f>
        <v/>
      </c>
      <c r="N549" s="15">
        <f>M549-V549</f>
        <v/>
      </c>
      <c r="O549" s="15">
        <f>IF(MOD(L549,$B$11)=0,OFFSET(O549,-$B$11,0)+ $E$2*N549+$E$3*OFFSET(N549,-$B$11,0)+ $E$4*OFFSET(N549,-2* $B$11,0), O548)</f>
        <v/>
      </c>
      <c r="P549" s="15">
        <f>INT((2^$J$12-1)*O549/100)/(2^$J$12-1)*100</f>
        <v/>
      </c>
      <c r="Q549" s="15" t="n">
        <v>0</v>
      </c>
      <c r="R549" s="15">
        <f>P549+Q549</f>
        <v/>
      </c>
      <c r="S549" s="15">
        <f>$I$1*S548-$I$2*S547+$I$3*R528+$I$4*R527</f>
        <v/>
      </c>
      <c r="T549" s="15">
        <f>RAND()*$G$12</f>
        <v/>
      </c>
      <c r="U549" s="15">
        <f>S549+T549</f>
        <v/>
      </c>
      <c r="V549" s="15">
        <f>INT((2^$J$12-1)*U549/100)/(2^$J$12-1)*100</f>
        <v/>
      </c>
      <c r="X549" s="15">
        <f>M549 * 1.05</f>
        <v/>
      </c>
      <c r="Y549" s="15">
        <f>M549 * 0.95</f>
        <v/>
      </c>
      <c r="Z549" s="15">
        <f>IF(AND(V549 &lt;= X549, V549 &gt;= Y549), 1, 0)</f>
        <v/>
      </c>
    </row>
    <row r="550">
      <c r="L550" s="15" t="n">
        <v>548</v>
      </c>
      <c r="M550" s="15">
        <f>IF(L550&lt;$D$16,$D$13,IF(L550&lt;$E$16,$E$13,$F$13))</f>
        <v/>
      </c>
      <c r="N550" s="15">
        <f>M550-V550</f>
        <v/>
      </c>
      <c r="O550" s="15">
        <f>IF(MOD(L550,$B$11)=0,OFFSET(O550,-$B$11,0)+ $E$2*N550+$E$3*OFFSET(N550,-$B$11,0)+ $E$4*OFFSET(N550,-2* $B$11,0), O549)</f>
        <v/>
      </c>
      <c r="P550" s="15">
        <f>INT((2^$J$12-1)*O550/100)/(2^$J$12-1)*100</f>
        <v/>
      </c>
      <c r="Q550" s="15" t="n">
        <v>0</v>
      </c>
      <c r="R550" s="15">
        <f>P550+Q550</f>
        <v/>
      </c>
      <c r="S550" s="15">
        <f>$I$1*S549-$I$2*S548+$I$3*R529+$I$4*R528</f>
        <v/>
      </c>
      <c r="T550" s="15">
        <f>RAND()*$G$12</f>
        <v/>
      </c>
      <c r="U550" s="15">
        <f>S550+T550</f>
        <v/>
      </c>
      <c r="V550" s="15">
        <f>INT((2^$J$12-1)*U550/100)/(2^$J$12-1)*100</f>
        <v/>
      </c>
      <c r="X550" s="15">
        <f>M550 * 1.05</f>
        <v/>
      </c>
      <c r="Y550" s="15">
        <f>M550 * 0.95</f>
        <v/>
      </c>
      <c r="Z550" s="15">
        <f>IF(AND(V550 &lt;= X550, V550 &gt;= Y550), 1, 0)</f>
        <v/>
      </c>
    </row>
    <row r="551">
      <c r="L551" s="15" t="n">
        <v>549</v>
      </c>
      <c r="M551" s="15">
        <f>IF(L551&lt;$D$16,$D$13,IF(L551&lt;$E$16,$E$13,$F$13))</f>
        <v/>
      </c>
      <c r="N551" s="15">
        <f>M551-V551</f>
        <v/>
      </c>
      <c r="O551" s="15">
        <f>IF(MOD(L551,$B$11)=0,OFFSET(O551,-$B$11,0)+ $E$2*N551+$E$3*OFFSET(N551,-$B$11,0)+ $E$4*OFFSET(N551,-2* $B$11,0), O550)</f>
        <v/>
      </c>
      <c r="P551" s="15">
        <f>INT((2^$J$12-1)*O551/100)/(2^$J$12-1)*100</f>
        <v/>
      </c>
      <c r="Q551" s="15" t="n">
        <v>0</v>
      </c>
      <c r="R551" s="15">
        <f>P551+Q551</f>
        <v/>
      </c>
      <c r="S551" s="15">
        <f>$I$1*S550-$I$2*S549+$I$3*R530+$I$4*R529</f>
        <v/>
      </c>
      <c r="T551" s="15">
        <f>RAND()*$G$12</f>
        <v/>
      </c>
      <c r="U551" s="15">
        <f>S551+T551</f>
        <v/>
      </c>
      <c r="V551" s="15">
        <f>INT((2^$J$12-1)*U551/100)/(2^$J$12-1)*100</f>
        <v/>
      </c>
      <c r="X551" s="15">
        <f>M551 * 1.05</f>
        <v/>
      </c>
      <c r="Y551" s="15">
        <f>M551 * 0.95</f>
        <v/>
      </c>
      <c r="Z551" s="15">
        <f>IF(AND(V551 &lt;= X551, V551 &gt;= Y551), 1, 0)</f>
        <v/>
      </c>
    </row>
    <row r="552">
      <c r="L552" s="15" t="n">
        <v>550</v>
      </c>
      <c r="M552" s="15">
        <f>IF(L552&lt;$D$16,$D$13,IF(L552&lt;$E$16,$E$13,$F$13))</f>
        <v/>
      </c>
      <c r="N552" s="15">
        <f>M552-V552</f>
        <v/>
      </c>
      <c r="O552" s="15">
        <f>IF(MOD(L552,$B$11)=0,OFFSET(O552,-$B$11,0)+ $E$2*N552+$E$3*OFFSET(N552,-$B$11,0)+ $E$4*OFFSET(N552,-2* $B$11,0), O551)</f>
        <v/>
      </c>
      <c r="P552" s="15">
        <f>INT((2^$J$12-1)*O552/100)/(2^$J$12-1)*100</f>
        <v/>
      </c>
      <c r="Q552" s="15" t="n">
        <v>0</v>
      </c>
      <c r="R552" s="15">
        <f>P552+Q552</f>
        <v/>
      </c>
      <c r="S552" s="15">
        <f>$I$1*S551-$I$2*S550+$I$3*R531+$I$4*R530</f>
        <v/>
      </c>
      <c r="T552" s="15">
        <f>RAND()*$G$12</f>
        <v/>
      </c>
      <c r="U552" s="15">
        <f>S552+T552</f>
        <v/>
      </c>
      <c r="V552" s="15">
        <f>INT((2^$J$12-1)*U552/100)/(2^$J$12-1)*100</f>
        <v/>
      </c>
      <c r="X552" s="15">
        <f>M552 * 1.05</f>
        <v/>
      </c>
      <c r="Y552" s="15">
        <f>M552 * 0.95</f>
        <v/>
      </c>
      <c r="Z552" s="15">
        <f>IF(AND(V552 &lt;= X552, V552 &gt;= Y552), 1, 0)</f>
        <v/>
      </c>
    </row>
    <row r="553">
      <c r="L553" s="15" t="n">
        <v>551</v>
      </c>
      <c r="M553" s="15">
        <f>IF(L553&lt;$D$16,$D$13,IF(L553&lt;$E$16,$E$13,$F$13))</f>
        <v/>
      </c>
      <c r="N553" s="15">
        <f>M553-V553</f>
        <v/>
      </c>
      <c r="O553" s="15">
        <f>IF(MOD(L553,$B$11)=0,OFFSET(O553,-$B$11,0)+ $E$2*N553+$E$3*OFFSET(N553,-$B$11,0)+ $E$4*OFFSET(N553,-2* $B$11,0), O552)</f>
        <v/>
      </c>
      <c r="P553" s="15">
        <f>INT((2^$J$12-1)*O553/100)/(2^$J$12-1)*100</f>
        <v/>
      </c>
      <c r="Q553" s="15" t="n">
        <v>0</v>
      </c>
      <c r="R553" s="15">
        <f>P553+Q553</f>
        <v/>
      </c>
      <c r="S553" s="15">
        <f>$I$1*S552-$I$2*S551+$I$3*R532+$I$4*R531</f>
        <v/>
      </c>
      <c r="T553" s="15">
        <f>RAND()*$G$12</f>
        <v/>
      </c>
      <c r="U553" s="15">
        <f>S553+T553</f>
        <v/>
      </c>
      <c r="V553" s="15">
        <f>INT((2^$J$12-1)*U553/100)/(2^$J$12-1)*100</f>
        <v/>
      </c>
      <c r="X553" s="15">
        <f>M553 * 1.05</f>
        <v/>
      </c>
      <c r="Y553" s="15">
        <f>M553 * 0.95</f>
        <v/>
      </c>
      <c r="Z553" s="15">
        <f>IF(AND(V553 &lt;= X553, V553 &gt;= Y553), 1, 0)</f>
        <v/>
      </c>
    </row>
    <row r="554">
      <c r="L554" s="15" t="n">
        <v>552</v>
      </c>
      <c r="M554" s="15">
        <f>IF(L554&lt;$D$16,$D$13,IF(L554&lt;$E$16,$E$13,$F$13))</f>
        <v/>
      </c>
      <c r="N554" s="15">
        <f>M554-V554</f>
        <v/>
      </c>
      <c r="O554" s="15">
        <f>IF(MOD(L554,$B$11)=0,OFFSET(O554,-$B$11,0)+ $E$2*N554+$E$3*OFFSET(N554,-$B$11,0)+ $E$4*OFFSET(N554,-2* $B$11,0), O553)</f>
        <v/>
      </c>
      <c r="P554" s="15">
        <f>INT((2^$J$12-1)*O554/100)/(2^$J$12-1)*100</f>
        <v/>
      </c>
      <c r="Q554" s="15" t="n">
        <v>0</v>
      </c>
      <c r="R554" s="15">
        <f>P554+Q554</f>
        <v/>
      </c>
      <c r="S554" s="15">
        <f>$I$1*S553-$I$2*S552+$I$3*R533+$I$4*R532</f>
        <v/>
      </c>
      <c r="T554" s="15">
        <f>RAND()*$G$12</f>
        <v/>
      </c>
      <c r="U554" s="15">
        <f>S554+T554</f>
        <v/>
      </c>
      <c r="V554" s="15">
        <f>INT((2^$J$12-1)*U554/100)/(2^$J$12-1)*100</f>
        <v/>
      </c>
      <c r="X554" s="15">
        <f>M554 * 1.05</f>
        <v/>
      </c>
      <c r="Y554" s="15">
        <f>M554 * 0.95</f>
        <v/>
      </c>
      <c r="Z554" s="15">
        <f>IF(AND(V554 &lt;= X554, V554 &gt;= Y554), 1, 0)</f>
        <v/>
      </c>
    </row>
    <row r="555">
      <c r="L555" s="15" t="n">
        <v>553</v>
      </c>
      <c r="M555" s="15">
        <f>IF(L555&lt;$D$16,$D$13,IF(L555&lt;$E$16,$E$13,$F$13))</f>
        <v/>
      </c>
      <c r="N555" s="15">
        <f>M555-V555</f>
        <v/>
      </c>
      <c r="O555" s="15">
        <f>IF(MOD(L555,$B$11)=0,OFFSET(O555,-$B$11,0)+ $E$2*N555+$E$3*OFFSET(N555,-$B$11,0)+ $E$4*OFFSET(N555,-2* $B$11,0), O554)</f>
        <v/>
      </c>
      <c r="P555" s="15">
        <f>INT((2^$J$12-1)*O555/100)/(2^$J$12-1)*100</f>
        <v/>
      </c>
      <c r="Q555" s="15" t="n">
        <v>0</v>
      </c>
      <c r="R555" s="15">
        <f>P555+Q555</f>
        <v/>
      </c>
      <c r="S555" s="15">
        <f>$I$1*S554-$I$2*S553+$I$3*R534+$I$4*R533</f>
        <v/>
      </c>
      <c r="T555" s="15">
        <f>RAND()*$G$12</f>
        <v/>
      </c>
      <c r="U555" s="15">
        <f>S555+T555</f>
        <v/>
      </c>
      <c r="V555" s="15">
        <f>INT((2^$J$12-1)*U555/100)/(2^$J$12-1)*100</f>
        <v/>
      </c>
      <c r="X555" s="15">
        <f>M555 * 1.05</f>
        <v/>
      </c>
      <c r="Y555" s="15">
        <f>M555 * 0.95</f>
        <v/>
      </c>
      <c r="Z555" s="15">
        <f>IF(AND(V555 &lt;= X555, V555 &gt;= Y555), 1, 0)</f>
        <v/>
      </c>
    </row>
    <row r="556">
      <c r="L556" s="15" t="n">
        <v>554</v>
      </c>
      <c r="M556" s="15">
        <f>IF(L556&lt;$D$16,$D$13,IF(L556&lt;$E$16,$E$13,$F$13))</f>
        <v/>
      </c>
      <c r="N556" s="15">
        <f>M556-V556</f>
        <v/>
      </c>
      <c r="O556" s="15">
        <f>IF(MOD(L556,$B$11)=0,OFFSET(O556,-$B$11,0)+ $E$2*N556+$E$3*OFFSET(N556,-$B$11,0)+ $E$4*OFFSET(N556,-2* $B$11,0), O555)</f>
        <v/>
      </c>
      <c r="P556" s="15">
        <f>INT((2^$J$12-1)*O556/100)/(2^$J$12-1)*100</f>
        <v/>
      </c>
      <c r="Q556" s="15" t="n">
        <v>0</v>
      </c>
      <c r="R556" s="15">
        <f>P556+Q556</f>
        <v/>
      </c>
      <c r="S556" s="15">
        <f>$I$1*S555-$I$2*S554+$I$3*R535+$I$4*R534</f>
        <v/>
      </c>
      <c r="T556" s="15">
        <f>RAND()*$G$12</f>
        <v/>
      </c>
      <c r="U556" s="15">
        <f>S556+T556</f>
        <v/>
      </c>
      <c r="V556" s="15">
        <f>INT((2^$J$12-1)*U556/100)/(2^$J$12-1)*100</f>
        <v/>
      </c>
      <c r="X556" s="15">
        <f>M556 * 1.05</f>
        <v/>
      </c>
      <c r="Y556" s="15">
        <f>M556 * 0.95</f>
        <v/>
      </c>
      <c r="Z556" s="15">
        <f>IF(AND(V556 &lt;= X556, V556 &gt;= Y556), 1, 0)</f>
        <v/>
      </c>
    </row>
    <row r="557">
      <c r="L557" s="15" t="n">
        <v>555</v>
      </c>
      <c r="M557" s="15">
        <f>IF(L557&lt;$D$16,$D$13,IF(L557&lt;$E$16,$E$13,$F$13))</f>
        <v/>
      </c>
      <c r="N557" s="15">
        <f>M557-V557</f>
        <v/>
      </c>
      <c r="O557" s="15">
        <f>IF(MOD(L557,$B$11)=0,OFFSET(O557,-$B$11,0)+ $E$2*N557+$E$3*OFFSET(N557,-$B$11,0)+ $E$4*OFFSET(N557,-2* $B$11,0), O556)</f>
        <v/>
      </c>
      <c r="P557" s="15">
        <f>INT((2^$J$12-1)*O557/100)/(2^$J$12-1)*100</f>
        <v/>
      </c>
      <c r="Q557" s="15" t="n">
        <v>0</v>
      </c>
      <c r="R557" s="15">
        <f>P557+Q557</f>
        <v/>
      </c>
      <c r="S557" s="15">
        <f>$I$1*S556-$I$2*S555+$I$3*R536+$I$4*R535</f>
        <v/>
      </c>
      <c r="T557" s="15">
        <f>RAND()*$G$12</f>
        <v/>
      </c>
      <c r="U557" s="15">
        <f>S557+T557</f>
        <v/>
      </c>
      <c r="V557" s="15">
        <f>INT((2^$J$12-1)*U557/100)/(2^$J$12-1)*100</f>
        <v/>
      </c>
      <c r="X557" s="15">
        <f>M557 * 1.05</f>
        <v/>
      </c>
      <c r="Y557" s="15">
        <f>M557 * 0.95</f>
        <v/>
      </c>
      <c r="Z557" s="15">
        <f>IF(AND(V557 &lt;= X557, V557 &gt;= Y557), 1, 0)</f>
        <v/>
      </c>
    </row>
    <row r="558">
      <c r="L558" s="15" t="n">
        <v>556</v>
      </c>
      <c r="M558" s="15">
        <f>IF(L558&lt;$D$16,$D$13,IF(L558&lt;$E$16,$E$13,$F$13))</f>
        <v/>
      </c>
      <c r="N558" s="15">
        <f>M558-V558</f>
        <v/>
      </c>
      <c r="O558" s="15">
        <f>IF(MOD(L558,$B$11)=0,OFFSET(O558,-$B$11,0)+ $E$2*N558+$E$3*OFFSET(N558,-$B$11,0)+ $E$4*OFFSET(N558,-2* $B$11,0), O557)</f>
        <v/>
      </c>
      <c r="P558" s="15">
        <f>INT((2^$J$12-1)*O558/100)/(2^$J$12-1)*100</f>
        <v/>
      </c>
      <c r="Q558" s="15" t="n">
        <v>0</v>
      </c>
      <c r="R558" s="15">
        <f>P558+Q558</f>
        <v/>
      </c>
      <c r="S558" s="15">
        <f>$I$1*S557-$I$2*S556+$I$3*R537+$I$4*R536</f>
        <v/>
      </c>
      <c r="T558" s="15">
        <f>RAND()*$G$12</f>
        <v/>
      </c>
      <c r="U558" s="15">
        <f>S558+T558</f>
        <v/>
      </c>
      <c r="V558" s="15">
        <f>INT((2^$J$12-1)*U558/100)/(2^$J$12-1)*100</f>
        <v/>
      </c>
      <c r="X558" s="15">
        <f>M558 * 1.05</f>
        <v/>
      </c>
      <c r="Y558" s="15">
        <f>M558 * 0.95</f>
        <v/>
      </c>
      <c r="Z558" s="15">
        <f>IF(AND(V558 &lt;= X558, V558 &gt;= Y558), 1, 0)</f>
        <v/>
      </c>
    </row>
    <row r="559">
      <c r="L559" s="15" t="n">
        <v>557</v>
      </c>
      <c r="M559" s="15">
        <f>IF(L559&lt;$D$16,$D$13,IF(L559&lt;$E$16,$E$13,$F$13))</f>
        <v/>
      </c>
      <c r="N559" s="15">
        <f>M559-V559</f>
        <v/>
      </c>
      <c r="O559" s="15">
        <f>IF(MOD(L559,$B$11)=0,OFFSET(O559,-$B$11,0)+ $E$2*N559+$E$3*OFFSET(N559,-$B$11,0)+ $E$4*OFFSET(N559,-2* $B$11,0), O558)</f>
        <v/>
      </c>
      <c r="P559" s="15">
        <f>INT((2^$J$12-1)*O559/100)/(2^$J$12-1)*100</f>
        <v/>
      </c>
      <c r="Q559" s="15" t="n">
        <v>0</v>
      </c>
      <c r="R559" s="15">
        <f>P559+Q559</f>
        <v/>
      </c>
      <c r="S559" s="15">
        <f>$I$1*S558-$I$2*S557+$I$3*R538+$I$4*R537</f>
        <v/>
      </c>
      <c r="T559" s="15">
        <f>RAND()*$G$12</f>
        <v/>
      </c>
      <c r="U559" s="15">
        <f>S559+T559</f>
        <v/>
      </c>
      <c r="V559" s="15">
        <f>INT((2^$J$12-1)*U559/100)/(2^$J$12-1)*100</f>
        <v/>
      </c>
      <c r="X559" s="15">
        <f>M559 * 1.05</f>
        <v/>
      </c>
      <c r="Y559" s="15">
        <f>M559 * 0.95</f>
        <v/>
      </c>
      <c r="Z559" s="15">
        <f>IF(AND(V559 &lt;= X559, V559 &gt;= Y559), 1, 0)</f>
        <v/>
      </c>
    </row>
    <row r="560">
      <c r="L560" s="15" t="n">
        <v>558</v>
      </c>
      <c r="M560" s="15">
        <f>IF(L560&lt;$D$16,$D$13,IF(L560&lt;$E$16,$E$13,$F$13))</f>
        <v/>
      </c>
      <c r="N560" s="15">
        <f>M560-V560</f>
        <v/>
      </c>
      <c r="O560" s="15">
        <f>IF(MOD(L560,$B$11)=0,OFFSET(O560,-$B$11,0)+ $E$2*N560+$E$3*OFFSET(N560,-$B$11,0)+ $E$4*OFFSET(N560,-2* $B$11,0), O559)</f>
        <v/>
      </c>
      <c r="P560" s="15">
        <f>INT((2^$J$12-1)*O560/100)/(2^$J$12-1)*100</f>
        <v/>
      </c>
      <c r="Q560" s="15" t="n">
        <v>0</v>
      </c>
      <c r="R560" s="15">
        <f>P560+Q560</f>
        <v/>
      </c>
      <c r="S560" s="15">
        <f>$I$1*S559-$I$2*S558+$I$3*R539+$I$4*R538</f>
        <v/>
      </c>
      <c r="T560" s="15">
        <f>RAND()*$G$12</f>
        <v/>
      </c>
      <c r="U560" s="15">
        <f>S560+T560</f>
        <v/>
      </c>
      <c r="V560" s="15">
        <f>INT((2^$J$12-1)*U560/100)/(2^$J$12-1)*100</f>
        <v/>
      </c>
      <c r="X560" s="15">
        <f>M560 * 1.05</f>
        <v/>
      </c>
      <c r="Y560" s="15">
        <f>M560 * 0.95</f>
        <v/>
      </c>
      <c r="Z560" s="15">
        <f>IF(AND(V560 &lt;= X560, V560 &gt;= Y560), 1, 0)</f>
        <v/>
      </c>
    </row>
    <row r="561">
      <c r="L561" s="15" t="n">
        <v>559</v>
      </c>
      <c r="M561" s="15">
        <f>IF(L561&lt;$D$16,$D$13,IF(L561&lt;$E$16,$E$13,$F$13))</f>
        <v/>
      </c>
      <c r="N561" s="15">
        <f>M561-V561</f>
        <v/>
      </c>
      <c r="O561" s="15">
        <f>IF(MOD(L561,$B$11)=0,OFFSET(O561,-$B$11,0)+ $E$2*N561+$E$3*OFFSET(N561,-$B$11,0)+ $E$4*OFFSET(N561,-2* $B$11,0), O560)</f>
        <v/>
      </c>
      <c r="P561" s="15">
        <f>INT((2^$J$12-1)*O561/100)/(2^$J$12-1)*100</f>
        <v/>
      </c>
      <c r="Q561" s="15" t="n">
        <v>0</v>
      </c>
      <c r="R561" s="15">
        <f>P561+Q561</f>
        <v/>
      </c>
      <c r="S561" s="15">
        <f>$I$1*S560-$I$2*S559+$I$3*R540+$I$4*R539</f>
        <v/>
      </c>
      <c r="T561" s="15">
        <f>RAND()*$G$12</f>
        <v/>
      </c>
      <c r="U561" s="15">
        <f>S561+T561</f>
        <v/>
      </c>
      <c r="V561" s="15">
        <f>INT((2^$J$12-1)*U561/100)/(2^$J$12-1)*100</f>
        <v/>
      </c>
      <c r="X561" s="15">
        <f>M561 * 1.05</f>
        <v/>
      </c>
      <c r="Y561" s="15">
        <f>M561 * 0.95</f>
        <v/>
      </c>
      <c r="Z561" s="15">
        <f>IF(AND(V561 &lt;= X561, V561 &gt;= Y561), 1, 0)</f>
        <v/>
      </c>
    </row>
    <row r="562">
      <c r="L562" s="15" t="n">
        <v>560</v>
      </c>
      <c r="M562" s="15">
        <f>IF(L562&lt;$D$16,$D$13,IF(L562&lt;$E$16,$E$13,$F$13))</f>
        <v/>
      </c>
      <c r="N562" s="15">
        <f>M562-V562</f>
        <v/>
      </c>
      <c r="O562" s="15">
        <f>IF(MOD(L562,$B$11)=0,OFFSET(O562,-$B$11,0)+ $E$2*N562+$E$3*OFFSET(N562,-$B$11,0)+ $E$4*OFFSET(N562,-2* $B$11,0), O561)</f>
        <v/>
      </c>
      <c r="P562" s="15">
        <f>INT((2^$J$12-1)*O562/100)/(2^$J$12-1)*100</f>
        <v/>
      </c>
      <c r="Q562" s="15" t="n">
        <v>0</v>
      </c>
      <c r="R562" s="15">
        <f>P562+Q562</f>
        <v/>
      </c>
      <c r="S562" s="15">
        <f>$I$1*S561-$I$2*S560+$I$3*R541+$I$4*R540</f>
        <v/>
      </c>
      <c r="T562" s="15">
        <f>RAND()*$G$12</f>
        <v/>
      </c>
      <c r="U562" s="15">
        <f>S562+T562</f>
        <v/>
      </c>
      <c r="V562" s="15">
        <f>INT((2^$J$12-1)*U562/100)/(2^$J$12-1)*100</f>
        <v/>
      </c>
      <c r="X562" s="15">
        <f>M562 * 1.05</f>
        <v/>
      </c>
      <c r="Y562" s="15">
        <f>M562 * 0.95</f>
        <v/>
      </c>
      <c r="Z562" s="15">
        <f>IF(AND(V562 &lt;= X562, V562 &gt;= Y562), 1, 0)</f>
        <v/>
      </c>
    </row>
    <row r="563">
      <c r="L563" s="15" t="n">
        <v>561</v>
      </c>
      <c r="M563" s="15">
        <f>IF(L563&lt;$D$16,$D$13,IF(L563&lt;$E$16,$E$13,$F$13))</f>
        <v/>
      </c>
      <c r="N563" s="15">
        <f>M563-V563</f>
        <v/>
      </c>
      <c r="O563" s="15">
        <f>IF(MOD(L563,$B$11)=0,OFFSET(O563,-$B$11,0)+ $E$2*N563+$E$3*OFFSET(N563,-$B$11,0)+ $E$4*OFFSET(N563,-2* $B$11,0), O562)</f>
        <v/>
      </c>
      <c r="P563" s="15">
        <f>INT((2^$J$12-1)*O563/100)/(2^$J$12-1)*100</f>
        <v/>
      </c>
      <c r="Q563" s="15" t="n">
        <v>0</v>
      </c>
      <c r="R563" s="15">
        <f>P563+Q563</f>
        <v/>
      </c>
      <c r="S563" s="15">
        <f>$I$1*S562-$I$2*S561+$I$3*R542+$I$4*R541</f>
        <v/>
      </c>
      <c r="T563" s="15">
        <f>RAND()*$G$12</f>
        <v/>
      </c>
      <c r="U563" s="15">
        <f>S563+T563</f>
        <v/>
      </c>
      <c r="V563" s="15">
        <f>INT((2^$J$12-1)*U563/100)/(2^$J$12-1)*100</f>
        <v/>
      </c>
      <c r="X563" s="15">
        <f>M563 * 1.05</f>
        <v/>
      </c>
      <c r="Y563" s="15">
        <f>M563 * 0.95</f>
        <v/>
      </c>
      <c r="Z563" s="15">
        <f>IF(AND(V563 &lt;= X563, V563 &gt;= Y563), 1, 0)</f>
        <v/>
      </c>
    </row>
    <row r="564">
      <c r="L564" s="15" t="n">
        <v>562</v>
      </c>
      <c r="M564" s="15">
        <f>IF(L564&lt;$D$16,$D$13,IF(L564&lt;$E$16,$E$13,$F$13))</f>
        <v/>
      </c>
      <c r="N564" s="15">
        <f>M564-V564</f>
        <v/>
      </c>
      <c r="O564" s="15">
        <f>IF(MOD(L564,$B$11)=0,OFFSET(O564,-$B$11,0)+ $E$2*N564+$E$3*OFFSET(N564,-$B$11,0)+ $E$4*OFFSET(N564,-2* $B$11,0), O563)</f>
        <v/>
      </c>
      <c r="P564" s="15">
        <f>INT((2^$J$12-1)*O564/100)/(2^$J$12-1)*100</f>
        <v/>
      </c>
      <c r="Q564" s="15" t="n">
        <v>0</v>
      </c>
      <c r="R564" s="15">
        <f>P564+Q564</f>
        <v/>
      </c>
      <c r="S564" s="15">
        <f>$I$1*S563-$I$2*S562+$I$3*R543+$I$4*R542</f>
        <v/>
      </c>
      <c r="T564" s="15">
        <f>RAND()*$G$12</f>
        <v/>
      </c>
      <c r="U564" s="15">
        <f>S564+T564</f>
        <v/>
      </c>
      <c r="V564" s="15">
        <f>INT((2^$J$12-1)*U564/100)/(2^$J$12-1)*100</f>
        <v/>
      </c>
      <c r="X564" s="15">
        <f>M564 * 1.05</f>
        <v/>
      </c>
      <c r="Y564" s="15">
        <f>M564 * 0.95</f>
        <v/>
      </c>
      <c r="Z564" s="15">
        <f>IF(AND(V564 &lt;= X564, V564 &gt;= Y564), 1, 0)</f>
        <v/>
      </c>
    </row>
    <row r="565">
      <c r="L565" s="15" t="n">
        <v>563</v>
      </c>
      <c r="M565" s="15">
        <f>IF(L565&lt;$D$16,$D$13,IF(L565&lt;$E$16,$E$13,$F$13))</f>
        <v/>
      </c>
      <c r="N565" s="15">
        <f>M565-V565</f>
        <v/>
      </c>
      <c r="O565" s="15">
        <f>IF(MOD(L565,$B$11)=0,OFFSET(O565,-$B$11,0)+ $E$2*N565+$E$3*OFFSET(N565,-$B$11,0)+ $E$4*OFFSET(N565,-2* $B$11,0), O564)</f>
        <v/>
      </c>
      <c r="P565" s="15">
        <f>INT((2^$J$12-1)*O565/100)/(2^$J$12-1)*100</f>
        <v/>
      </c>
      <c r="Q565" s="15" t="n">
        <v>0</v>
      </c>
      <c r="R565" s="15">
        <f>P565+Q565</f>
        <v/>
      </c>
      <c r="S565" s="15">
        <f>$I$1*S564-$I$2*S563+$I$3*R544+$I$4*R543</f>
        <v/>
      </c>
      <c r="T565" s="15">
        <f>RAND()*$G$12</f>
        <v/>
      </c>
      <c r="U565" s="15">
        <f>S565+T565</f>
        <v/>
      </c>
      <c r="V565" s="15">
        <f>INT((2^$J$12-1)*U565/100)/(2^$J$12-1)*100</f>
        <v/>
      </c>
      <c r="X565" s="15">
        <f>M565 * 1.05</f>
        <v/>
      </c>
      <c r="Y565" s="15">
        <f>M565 * 0.95</f>
        <v/>
      </c>
      <c r="Z565" s="15">
        <f>IF(AND(V565 &lt;= X565, V565 &gt;= Y565), 1, 0)</f>
        <v/>
      </c>
    </row>
    <row r="566">
      <c r="L566" s="15" t="n">
        <v>564</v>
      </c>
      <c r="M566" s="15">
        <f>IF(L566&lt;$D$16,$D$13,IF(L566&lt;$E$16,$E$13,$F$13))</f>
        <v/>
      </c>
      <c r="N566" s="15">
        <f>M566-V566</f>
        <v/>
      </c>
      <c r="O566" s="15">
        <f>IF(MOD(L566,$B$11)=0,OFFSET(O566,-$B$11,0)+ $E$2*N566+$E$3*OFFSET(N566,-$B$11,0)+ $E$4*OFFSET(N566,-2* $B$11,0), O565)</f>
        <v/>
      </c>
      <c r="P566" s="15">
        <f>INT((2^$J$12-1)*O566/100)/(2^$J$12-1)*100</f>
        <v/>
      </c>
      <c r="Q566" s="15" t="n">
        <v>0</v>
      </c>
      <c r="R566" s="15">
        <f>P566+Q566</f>
        <v/>
      </c>
      <c r="S566" s="15">
        <f>$I$1*S565-$I$2*S564+$I$3*R545+$I$4*R544</f>
        <v/>
      </c>
      <c r="T566" s="15">
        <f>RAND()*$G$12</f>
        <v/>
      </c>
      <c r="U566" s="15">
        <f>S566+T566</f>
        <v/>
      </c>
      <c r="V566" s="15">
        <f>INT((2^$J$12-1)*U566/100)/(2^$J$12-1)*100</f>
        <v/>
      </c>
      <c r="X566" s="15">
        <f>M566 * 1.05</f>
        <v/>
      </c>
      <c r="Y566" s="15">
        <f>M566 * 0.95</f>
        <v/>
      </c>
      <c r="Z566" s="15">
        <f>IF(AND(V566 &lt;= X566, V566 &gt;= Y566), 1, 0)</f>
        <v/>
      </c>
    </row>
    <row r="567">
      <c r="L567" s="15" t="n">
        <v>565</v>
      </c>
      <c r="M567" s="15">
        <f>IF(L567&lt;$D$16,$D$13,IF(L567&lt;$E$16,$E$13,$F$13))</f>
        <v/>
      </c>
      <c r="N567" s="15">
        <f>M567-V567</f>
        <v/>
      </c>
      <c r="O567" s="15">
        <f>IF(MOD(L567,$B$11)=0,OFFSET(O567,-$B$11,0)+ $E$2*N567+$E$3*OFFSET(N567,-$B$11,0)+ $E$4*OFFSET(N567,-2* $B$11,0), O566)</f>
        <v/>
      </c>
      <c r="P567" s="15">
        <f>INT((2^$J$12-1)*O567/100)/(2^$J$12-1)*100</f>
        <v/>
      </c>
      <c r="Q567" s="15" t="n">
        <v>0</v>
      </c>
      <c r="R567" s="15">
        <f>P567+Q567</f>
        <v/>
      </c>
      <c r="S567" s="15">
        <f>$I$1*S566-$I$2*S565+$I$3*R546+$I$4*R545</f>
        <v/>
      </c>
      <c r="T567" s="15">
        <f>RAND()*$G$12</f>
        <v/>
      </c>
      <c r="U567" s="15">
        <f>S567+T567</f>
        <v/>
      </c>
      <c r="V567" s="15">
        <f>INT((2^$J$12-1)*U567/100)/(2^$J$12-1)*100</f>
        <v/>
      </c>
      <c r="X567" s="15">
        <f>M567 * 1.05</f>
        <v/>
      </c>
      <c r="Y567" s="15">
        <f>M567 * 0.95</f>
        <v/>
      </c>
      <c r="Z567" s="15">
        <f>IF(AND(V567 &lt;= X567, V567 &gt;= Y567), 1, 0)</f>
        <v/>
      </c>
    </row>
    <row r="568">
      <c r="L568" s="15" t="n">
        <v>566</v>
      </c>
      <c r="M568" s="15">
        <f>IF(L568&lt;$D$16,$D$13,IF(L568&lt;$E$16,$E$13,$F$13))</f>
        <v/>
      </c>
      <c r="N568" s="15">
        <f>M568-V568</f>
        <v/>
      </c>
      <c r="O568" s="15">
        <f>IF(MOD(L568,$B$11)=0,OFFSET(O568,-$B$11,0)+ $E$2*N568+$E$3*OFFSET(N568,-$B$11,0)+ $E$4*OFFSET(N568,-2* $B$11,0), O567)</f>
        <v/>
      </c>
      <c r="P568" s="15">
        <f>INT((2^$J$12-1)*O568/100)/(2^$J$12-1)*100</f>
        <v/>
      </c>
      <c r="Q568" s="15" t="n">
        <v>0</v>
      </c>
      <c r="R568" s="15">
        <f>P568+Q568</f>
        <v/>
      </c>
      <c r="S568" s="15">
        <f>$I$1*S567-$I$2*S566+$I$3*R547+$I$4*R546</f>
        <v/>
      </c>
      <c r="T568" s="15">
        <f>RAND()*$G$12</f>
        <v/>
      </c>
      <c r="U568" s="15">
        <f>S568+T568</f>
        <v/>
      </c>
      <c r="V568" s="15">
        <f>INT((2^$J$12-1)*U568/100)/(2^$J$12-1)*100</f>
        <v/>
      </c>
      <c r="X568" s="15">
        <f>M568 * 1.05</f>
        <v/>
      </c>
      <c r="Y568" s="15">
        <f>M568 * 0.95</f>
        <v/>
      </c>
      <c r="Z568" s="15">
        <f>IF(AND(V568 &lt;= X568, V568 &gt;= Y568), 1, 0)</f>
        <v/>
      </c>
    </row>
    <row r="569">
      <c r="L569" s="15" t="n">
        <v>567</v>
      </c>
      <c r="M569" s="15">
        <f>IF(L569&lt;$D$16,$D$13,IF(L569&lt;$E$16,$E$13,$F$13))</f>
        <v/>
      </c>
      <c r="N569" s="15">
        <f>M569-V569</f>
        <v/>
      </c>
      <c r="O569" s="15">
        <f>IF(MOD(L569,$B$11)=0,OFFSET(O569,-$B$11,0)+ $E$2*N569+$E$3*OFFSET(N569,-$B$11,0)+ $E$4*OFFSET(N569,-2* $B$11,0), O568)</f>
        <v/>
      </c>
      <c r="P569" s="15">
        <f>INT((2^$J$12-1)*O569/100)/(2^$J$12-1)*100</f>
        <v/>
      </c>
      <c r="Q569" s="15" t="n">
        <v>0</v>
      </c>
      <c r="R569" s="15">
        <f>P569+Q569</f>
        <v/>
      </c>
      <c r="S569" s="15">
        <f>$I$1*S568-$I$2*S567+$I$3*R548+$I$4*R547</f>
        <v/>
      </c>
      <c r="T569" s="15">
        <f>RAND()*$G$12</f>
        <v/>
      </c>
      <c r="U569" s="15">
        <f>S569+T569</f>
        <v/>
      </c>
      <c r="V569" s="15">
        <f>INT((2^$J$12-1)*U569/100)/(2^$J$12-1)*100</f>
        <v/>
      </c>
      <c r="X569" s="15">
        <f>M569 * 1.05</f>
        <v/>
      </c>
      <c r="Y569" s="15">
        <f>M569 * 0.95</f>
        <v/>
      </c>
      <c r="Z569" s="15">
        <f>IF(AND(V569 &lt;= X569, V569 &gt;= Y569), 1, 0)</f>
        <v/>
      </c>
    </row>
    <row r="570">
      <c r="L570" s="15" t="n">
        <v>568</v>
      </c>
      <c r="M570" s="15">
        <f>IF(L570&lt;$D$16,$D$13,IF(L570&lt;$E$16,$E$13,$F$13))</f>
        <v/>
      </c>
      <c r="N570" s="15">
        <f>M570-V570</f>
        <v/>
      </c>
      <c r="O570" s="15">
        <f>IF(MOD(L570,$B$11)=0,OFFSET(O570,-$B$11,0)+ $E$2*N570+$E$3*OFFSET(N570,-$B$11,0)+ $E$4*OFFSET(N570,-2* $B$11,0), O569)</f>
        <v/>
      </c>
      <c r="P570" s="15">
        <f>INT((2^$J$12-1)*O570/100)/(2^$J$12-1)*100</f>
        <v/>
      </c>
      <c r="Q570" s="15" t="n">
        <v>0</v>
      </c>
      <c r="R570" s="15">
        <f>P570+Q570</f>
        <v/>
      </c>
      <c r="S570" s="15">
        <f>$I$1*S569-$I$2*S568+$I$3*R549+$I$4*R548</f>
        <v/>
      </c>
      <c r="T570" s="15">
        <f>RAND()*$G$12</f>
        <v/>
      </c>
      <c r="U570" s="15">
        <f>S570+T570</f>
        <v/>
      </c>
      <c r="V570" s="15">
        <f>INT((2^$J$12-1)*U570/100)/(2^$J$12-1)*100</f>
        <v/>
      </c>
      <c r="X570" s="15">
        <f>M570 * 1.05</f>
        <v/>
      </c>
      <c r="Y570" s="15">
        <f>M570 * 0.95</f>
        <v/>
      </c>
      <c r="Z570" s="15">
        <f>IF(AND(V570 &lt;= X570, V570 &gt;= Y570), 1, 0)</f>
        <v/>
      </c>
    </row>
    <row r="571">
      <c r="L571" s="15" t="n">
        <v>569</v>
      </c>
      <c r="M571" s="15">
        <f>IF(L571&lt;$D$16,$D$13,IF(L571&lt;$E$16,$E$13,$F$13))</f>
        <v/>
      </c>
      <c r="N571" s="15">
        <f>M571-V571</f>
        <v/>
      </c>
      <c r="O571" s="15">
        <f>IF(MOD(L571,$B$11)=0,OFFSET(O571,-$B$11,0)+ $E$2*N571+$E$3*OFFSET(N571,-$B$11,0)+ $E$4*OFFSET(N571,-2* $B$11,0), O570)</f>
        <v/>
      </c>
      <c r="P571" s="15">
        <f>INT((2^$J$12-1)*O571/100)/(2^$J$12-1)*100</f>
        <v/>
      </c>
      <c r="Q571" s="15" t="n">
        <v>0</v>
      </c>
      <c r="R571" s="15">
        <f>P571+Q571</f>
        <v/>
      </c>
      <c r="S571" s="15">
        <f>$I$1*S570-$I$2*S569+$I$3*R550+$I$4*R549</f>
        <v/>
      </c>
      <c r="T571" s="15">
        <f>RAND()*$G$12</f>
        <v/>
      </c>
      <c r="U571" s="15">
        <f>S571+T571</f>
        <v/>
      </c>
      <c r="V571" s="15">
        <f>INT((2^$J$12-1)*U571/100)/(2^$J$12-1)*100</f>
        <v/>
      </c>
      <c r="X571" s="15">
        <f>M571 * 1.05</f>
        <v/>
      </c>
      <c r="Y571" s="15">
        <f>M571 * 0.95</f>
        <v/>
      </c>
      <c r="Z571" s="15">
        <f>IF(AND(V571 &lt;= X571, V571 &gt;= Y571), 1, 0)</f>
        <v/>
      </c>
    </row>
    <row r="572">
      <c r="L572" s="15" t="n">
        <v>570</v>
      </c>
      <c r="M572" s="15">
        <f>IF(L572&lt;$D$16,$D$13,IF(L572&lt;$E$16,$E$13,$F$13))</f>
        <v/>
      </c>
      <c r="N572" s="15">
        <f>M572-V572</f>
        <v/>
      </c>
      <c r="O572" s="15">
        <f>IF(MOD(L572,$B$11)=0,OFFSET(O572,-$B$11,0)+ $E$2*N572+$E$3*OFFSET(N572,-$B$11,0)+ $E$4*OFFSET(N572,-2* $B$11,0), O571)</f>
        <v/>
      </c>
      <c r="P572" s="15">
        <f>INT((2^$J$12-1)*O572/100)/(2^$J$12-1)*100</f>
        <v/>
      </c>
      <c r="Q572" s="15" t="n">
        <v>0</v>
      </c>
      <c r="R572" s="15">
        <f>P572+Q572</f>
        <v/>
      </c>
      <c r="S572" s="15">
        <f>$I$1*S571-$I$2*S570+$I$3*R551+$I$4*R550</f>
        <v/>
      </c>
      <c r="T572" s="15">
        <f>RAND()*$G$12</f>
        <v/>
      </c>
      <c r="U572" s="15">
        <f>S572+T572</f>
        <v/>
      </c>
      <c r="V572" s="15">
        <f>INT((2^$J$12-1)*U572/100)/(2^$J$12-1)*100</f>
        <v/>
      </c>
      <c r="X572" s="15">
        <f>M572 * 1.05</f>
        <v/>
      </c>
      <c r="Y572" s="15">
        <f>M572 * 0.95</f>
        <v/>
      </c>
      <c r="Z572" s="15">
        <f>IF(AND(V572 &lt;= X572, V572 &gt;= Y572), 1, 0)</f>
        <v/>
      </c>
    </row>
    <row r="573">
      <c r="L573" s="15" t="n">
        <v>571</v>
      </c>
      <c r="M573" s="15">
        <f>IF(L573&lt;$D$16,$D$13,IF(L573&lt;$E$16,$E$13,$F$13))</f>
        <v/>
      </c>
      <c r="N573" s="15">
        <f>M573-V573</f>
        <v/>
      </c>
      <c r="O573" s="15">
        <f>IF(MOD(L573,$B$11)=0,OFFSET(O573,-$B$11,0)+ $E$2*N573+$E$3*OFFSET(N573,-$B$11,0)+ $E$4*OFFSET(N573,-2* $B$11,0), O572)</f>
        <v/>
      </c>
      <c r="P573" s="15">
        <f>INT((2^$J$12-1)*O573/100)/(2^$J$12-1)*100</f>
        <v/>
      </c>
      <c r="Q573" s="15" t="n">
        <v>0</v>
      </c>
      <c r="R573" s="15">
        <f>P573+Q573</f>
        <v/>
      </c>
      <c r="S573" s="15">
        <f>$I$1*S572-$I$2*S571+$I$3*R552+$I$4*R551</f>
        <v/>
      </c>
      <c r="T573" s="15">
        <f>RAND()*$G$12</f>
        <v/>
      </c>
      <c r="U573" s="15">
        <f>S573+T573</f>
        <v/>
      </c>
      <c r="V573" s="15">
        <f>INT((2^$J$12-1)*U573/100)/(2^$J$12-1)*100</f>
        <v/>
      </c>
      <c r="X573" s="15">
        <f>M573 * 1.05</f>
        <v/>
      </c>
      <c r="Y573" s="15">
        <f>M573 * 0.95</f>
        <v/>
      </c>
      <c r="Z573" s="15">
        <f>IF(AND(V573 &lt;= X573, V573 &gt;= Y573), 1, 0)</f>
        <v/>
      </c>
    </row>
    <row r="574">
      <c r="L574" s="15" t="n">
        <v>572</v>
      </c>
      <c r="M574" s="15">
        <f>IF(L574&lt;$D$16,$D$13,IF(L574&lt;$E$16,$E$13,$F$13))</f>
        <v/>
      </c>
      <c r="N574" s="15">
        <f>M574-V574</f>
        <v/>
      </c>
      <c r="O574" s="15">
        <f>IF(MOD(L574,$B$11)=0,OFFSET(O574,-$B$11,0)+ $E$2*N574+$E$3*OFFSET(N574,-$B$11,0)+ $E$4*OFFSET(N574,-2* $B$11,0), O573)</f>
        <v/>
      </c>
      <c r="P574" s="15">
        <f>INT((2^$J$12-1)*O574/100)/(2^$J$12-1)*100</f>
        <v/>
      </c>
      <c r="Q574" s="15" t="n">
        <v>0</v>
      </c>
      <c r="R574" s="15">
        <f>P574+Q574</f>
        <v/>
      </c>
      <c r="S574" s="15">
        <f>$I$1*S573-$I$2*S572+$I$3*R553+$I$4*R552</f>
        <v/>
      </c>
      <c r="T574" s="15">
        <f>RAND()*$G$12</f>
        <v/>
      </c>
      <c r="U574" s="15">
        <f>S574+T574</f>
        <v/>
      </c>
      <c r="V574" s="15">
        <f>INT((2^$J$12-1)*U574/100)/(2^$J$12-1)*100</f>
        <v/>
      </c>
      <c r="X574" s="15">
        <f>M574 * 1.05</f>
        <v/>
      </c>
      <c r="Y574" s="15">
        <f>M574 * 0.95</f>
        <v/>
      </c>
      <c r="Z574" s="15">
        <f>IF(AND(V574 &lt;= X574, V574 &gt;= Y574), 1, 0)</f>
        <v/>
      </c>
    </row>
    <row r="575">
      <c r="L575" s="15" t="n">
        <v>573</v>
      </c>
      <c r="M575" s="15">
        <f>IF(L575&lt;$D$16,$D$13,IF(L575&lt;$E$16,$E$13,$F$13))</f>
        <v/>
      </c>
      <c r="N575" s="15">
        <f>M575-V575</f>
        <v/>
      </c>
      <c r="O575" s="15">
        <f>IF(MOD(L575,$B$11)=0,OFFSET(O575,-$B$11,0)+ $E$2*N575+$E$3*OFFSET(N575,-$B$11,0)+ $E$4*OFFSET(N575,-2* $B$11,0), O574)</f>
        <v/>
      </c>
      <c r="P575" s="15">
        <f>INT((2^$J$12-1)*O575/100)/(2^$J$12-1)*100</f>
        <v/>
      </c>
      <c r="Q575" s="15" t="n">
        <v>0</v>
      </c>
      <c r="R575" s="15">
        <f>P575+Q575</f>
        <v/>
      </c>
      <c r="S575" s="15">
        <f>$I$1*S574-$I$2*S573+$I$3*R554+$I$4*R553</f>
        <v/>
      </c>
      <c r="T575" s="15">
        <f>RAND()*$G$12</f>
        <v/>
      </c>
      <c r="U575" s="15">
        <f>S575+T575</f>
        <v/>
      </c>
      <c r="V575" s="15">
        <f>INT((2^$J$12-1)*U575/100)/(2^$J$12-1)*100</f>
        <v/>
      </c>
      <c r="X575" s="15">
        <f>M575 * 1.05</f>
        <v/>
      </c>
      <c r="Y575" s="15">
        <f>M575 * 0.95</f>
        <v/>
      </c>
      <c r="Z575" s="15">
        <f>IF(AND(V575 &lt;= X575, V575 &gt;= Y575), 1, 0)</f>
        <v/>
      </c>
    </row>
    <row r="576">
      <c r="L576" s="15" t="n">
        <v>574</v>
      </c>
      <c r="M576" s="15">
        <f>IF(L576&lt;$D$16,$D$13,IF(L576&lt;$E$16,$E$13,$F$13))</f>
        <v/>
      </c>
      <c r="N576" s="15">
        <f>M576-V576</f>
        <v/>
      </c>
      <c r="O576" s="15">
        <f>IF(MOD(L576,$B$11)=0,OFFSET(O576,-$B$11,0)+ $E$2*N576+$E$3*OFFSET(N576,-$B$11,0)+ $E$4*OFFSET(N576,-2* $B$11,0), O575)</f>
        <v/>
      </c>
      <c r="P576" s="15">
        <f>INT((2^$J$12-1)*O576/100)/(2^$J$12-1)*100</f>
        <v/>
      </c>
      <c r="Q576" s="15" t="n">
        <v>0</v>
      </c>
      <c r="R576" s="15">
        <f>P576+Q576</f>
        <v/>
      </c>
      <c r="S576" s="15">
        <f>$I$1*S575-$I$2*S574+$I$3*R555+$I$4*R554</f>
        <v/>
      </c>
      <c r="T576" s="15">
        <f>RAND()*$G$12</f>
        <v/>
      </c>
      <c r="U576" s="15">
        <f>S576+T576</f>
        <v/>
      </c>
      <c r="V576" s="15">
        <f>INT((2^$J$12-1)*U576/100)/(2^$J$12-1)*100</f>
        <v/>
      </c>
      <c r="X576" s="15">
        <f>M576 * 1.05</f>
        <v/>
      </c>
      <c r="Y576" s="15">
        <f>M576 * 0.95</f>
        <v/>
      </c>
      <c r="Z576" s="15">
        <f>IF(AND(V576 &lt;= X576, V576 &gt;= Y576), 1, 0)</f>
        <v/>
      </c>
    </row>
    <row r="577">
      <c r="L577" s="15" t="n">
        <v>575</v>
      </c>
      <c r="M577" s="15">
        <f>IF(L577&lt;$D$16,$D$13,IF(L577&lt;$E$16,$E$13,$F$13))</f>
        <v/>
      </c>
      <c r="N577" s="15">
        <f>M577-V577</f>
        <v/>
      </c>
      <c r="O577" s="15">
        <f>IF(MOD(L577,$B$11)=0,OFFSET(O577,-$B$11,0)+ $E$2*N577+$E$3*OFFSET(N577,-$B$11,0)+ $E$4*OFFSET(N577,-2* $B$11,0), O576)</f>
        <v/>
      </c>
      <c r="P577" s="15">
        <f>INT((2^$J$12-1)*O577/100)/(2^$J$12-1)*100</f>
        <v/>
      </c>
      <c r="Q577" s="15" t="n">
        <v>0</v>
      </c>
      <c r="R577" s="15">
        <f>P577+Q577</f>
        <v/>
      </c>
      <c r="S577" s="15">
        <f>$I$1*S576-$I$2*S575+$I$3*R556+$I$4*R555</f>
        <v/>
      </c>
      <c r="T577" s="15">
        <f>RAND()*$G$12</f>
        <v/>
      </c>
      <c r="U577" s="15">
        <f>S577+T577</f>
        <v/>
      </c>
      <c r="V577" s="15">
        <f>INT((2^$J$12-1)*U577/100)/(2^$J$12-1)*100</f>
        <v/>
      </c>
      <c r="X577" s="15">
        <f>M577 * 1.05</f>
        <v/>
      </c>
      <c r="Y577" s="15">
        <f>M577 * 0.95</f>
        <v/>
      </c>
      <c r="Z577" s="15">
        <f>IF(AND(V577 &lt;= X577, V577 &gt;= Y577), 1, 0)</f>
        <v/>
      </c>
    </row>
    <row r="578">
      <c r="L578" s="15" t="n">
        <v>576</v>
      </c>
      <c r="M578" s="15">
        <f>IF(L578&lt;$D$16,$D$13,IF(L578&lt;$E$16,$E$13,$F$13))</f>
        <v/>
      </c>
      <c r="N578" s="15">
        <f>M578-V578</f>
        <v/>
      </c>
      <c r="O578" s="15">
        <f>IF(MOD(L578,$B$11)=0,OFFSET(O578,-$B$11,0)+ $E$2*N578+$E$3*OFFSET(N578,-$B$11,0)+ $E$4*OFFSET(N578,-2* $B$11,0), O577)</f>
        <v/>
      </c>
      <c r="P578" s="15">
        <f>INT((2^$J$12-1)*O578/100)/(2^$J$12-1)*100</f>
        <v/>
      </c>
      <c r="Q578" s="15" t="n">
        <v>0</v>
      </c>
      <c r="R578" s="15">
        <f>P578+Q578</f>
        <v/>
      </c>
      <c r="S578" s="15">
        <f>$I$1*S577-$I$2*S576+$I$3*R557+$I$4*R556</f>
        <v/>
      </c>
      <c r="T578" s="15">
        <f>RAND()*$G$12</f>
        <v/>
      </c>
      <c r="U578" s="15">
        <f>S578+T578</f>
        <v/>
      </c>
      <c r="V578" s="15">
        <f>INT((2^$J$12-1)*U578/100)/(2^$J$12-1)*100</f>
        <v/>
      </c>
      <c r="X578" s="15">
        <f>M578 * 1.05</f>
        <v/>
      </c>
      <c r="Y578" s="15">
        <f>M578 * 0.95</f>
        <v/>
      </c>
      <c r="Z578" s="15">
        <f>IF(AND(V578 &lt;= X578, V578 &gt;= Y578), 1, 0)</f>
        <v/>
      </c>
    </row>
    <row r="579">
      <c r="L579" s="15" t="n">
        <v>577</v>
      </c>
      <c r="M579" s="15">
        <f>IF(L579&lt;$D$16,$D$13,IF(L579&lt;$E$16,$E$13,$F$13))</f>
        <v/>
      </c>
      <c r="N579" s="15">
        <f>M579-V579</f>
        <v/>
      </c>
      <c r="O579" s="15">
        <f>IF(MOD(L579,$B$11)=0,OFFSET(O579,-$B$11,0)+ $E$2*N579+$E$3*OFFSET(N579,-$B$11,0)+ $E$4*OFFSET(N579,-2* $B$11,0), O578)</f>
        <v/>
      </c>
      <c r="P579" s="15">
        <f>INT((2^$J$12-1)*O579/100)/(2^$J$12-1)*100</f>
        <v/>
      </c>
      <c r="Q579" s="15" t="n">
        <v>0</v>
      </c>
      <c r="R579" s="15">
        <f>P579+Q579</f>
        <v/>
      </c>
      <c r="S579" s="15">
        <f>$I$1*S578-$I$2*S577+$I$3*R558+$I$4*R557</f>
        <v/>
      </c>
      <c r="T579" s="15">
        <f>RAND()*$G$12</f>
        <v/>
      </c>
      <c r="U579" s="15">
        <f>S579+T579</f>
        <v/>
      </c>
      <c r="V579" s="15">
        <f>INT((2^$J$12-1)*U579/100)/(2^$J$12-1)*100</f>
        <v/>
      </c>
      <c r="X579" s="15">
        <f>M579 * 1.05</f>
        <v/>
      </c>
      <c r="Y579" s="15">
        <f>M579 * 0.95</f>
        <v/>
      </c>
      <c r="Z579" s="15">
        <f>IF(AND(V579 &lt;= X579, V579 &gt;= Y579), 1, 0)</f>
        <v/>
      </c>
    </row>
    <row r="580">
      <c r="L580" s="15" t="n">
        <v>578</v>
      </c>
      <c r="M580" s="15">
        <f>IF(L580&lt;$D$16,$D$13,IF(L580&lt;$E$16,$E$13,$F$13))</f>
        <v/>
      </c>
      <c r="N580" s="15">
        <f>M580-V580</f>
        <v/>
      </c>
      <c r="O580" s="15">
        <f>IF(MOD(L580,$B$11)=0,OFFSET(O580,-$B$11,0)+ $E$2*N580+$E$3*OFFSET(N580,-$B$11,0)+ $E$4*OFFSET(N580,-2* $B$11,0), O579)</f>
        <v/>
      </c>
      <c r="P580" s="15">
        <f>INT((2^$J$12-1)*O580/100)/(2^$J$12-1)*100</f>
        <v/>
      </c>
      <c r="Q580" s="15" t="n">
        <v>0</v>
      </c>
      <c r="R580" s="15">
        <f>P580+Q580</f>
        <v/>
      </c>
      <c r="S580" s="15">
        <f>$I$1*S579-$I$2*S578+$I$3*R559+$I$4*R558</f>
        <v/>
      </c>
      <c r="T580" s="15">
        <f>RAND()*$G$12</f>
        <v/>
      </c>
      <c r="U580" s="15">
        <f>S580+T580</f>
        <v/>
      </c>
      <c r="V580" s="15">
        <f>INT((2^$J$12-1)*U580/100)/(2^$J$12-1)*100</f>
        <v/>
      </c>
      <c r="X580" s="15">
        <f>M580 * 1.05</f>
        <v/>
      </c>
      <c r="Y580" s="15">
        <f>M580 * 0.95</f>
        <v/>
      </c>
      <c r="Z580" s="15">
        <f>IF(AND(V580 &lt;= X580, V580 &gt;= Y580), 1, 0)</f>
        <v/>
      </c>
    </row>
    <row r="581">
      <c r="L581" s="15" t="n">
        <v>579</v>
      </c>
      <c r="M581" s="15">
        <f>IF(L581&lt;$D$16,$D$13,IF(L581&lt;$E$16,$E$13,$F$13))</f>
        <v/>
      </c>
      <c r="N581" s="15">
        <f>M581-V581</f>
        <v/>
      </c>
      <c r="O581" s="15">
        <f>IF(MOD(L581,$B$11)=0,OFFSET(O581,-$B$11,0)+ $E$2*N581+$E$3*OFFSET(N581,-$B$11,0)+ $E$4*OFFSET(N581,-2* $B$11,0), O580)</f>
        <v/>
      </c>
      <c r="P581" s="15">
        <f>INT((2^$J$12-1)*O581/100)/(2^$J$12-1)*100</f>
        <v/>
      </c>
      <c r="Q581" s="15" t="n">
        <v>0</v>
      </c>
      <c r="R581" s="15">
        <f>P581+Q581</f>
        <v/>
      </c>
      <c r="S581" s="15">
        <f>$I$1*S580-$I$2*S579+$I$3*R560+$I$4*R559</f>
        <v/>
      </c>
      <c r="T581" s="15">
        <f>RAND()*$G$12</f>
        <v/>
      </c>
      <c r="U581" s="15">
        <f>S581+T581</f>
        <v/>
      </c>
      <c r="V581" s="15">
        <f>INT((2^$J$12-1)*U581/100)/(2^$J$12-1)*100</f>
        <v/>
      </c>
      <c r="X581" s="15">
        <f>M581 * 1.05</f>
        <v/>
      </c>
      <c r="Y581" s="15">
        <f>M581 * 0.95</f>
        <v/>
      </c>
      <c r="Z581" s="15">
        <f>IF(AND(V581 &lt;= X581, V581 &gt;= Y581), 1, 0)</f>
        <v/>
      </c>
    </row>
    <row r="582">
      <c r="L582" s="15" t="n">
        <v>580</v>
      </c>
      <c r="M582" s="15">
        <f>IF(L582&lt;$D$16,$D$13,IF(L582&lt;$E$16,$E$13,$F$13))</f>
        <v/>
      </c>
      <c r="N582" s="15">
        <f>M582-V582</f>
        <v/>
      </c>
      <c r="O582" s="15">
        <f>IF(MOD(L582,$B$11)=0,OFFSET(O582,-$B$11,0)+ $E$2*N582+$E$3*OFFSET(N582,-$B$11,0)+ $E$4*OFFSET(N582,-2* $B$11,0), O581)</f>
        <v/>
      </c>
      <c r="P582" s="15">
        <f>INT((2^$J$12-1)*O582/100)/(2^$J$12-1)*100</f>
        <v/>
      </c>
      <c r="Q582" s="15" t="n">
        <v>0</v>
      </c>
      <c r="R582" s="15">
        <f>P582+Q582</f>
        <v/>
      </c>
      <c r="S582" s="15">
        <f>$I$1*S581-$I$2*S580+$I$3*R561+$I$4*R560</f>
        <v/>
      </c>
      <c r="T582" s="15">
        <f>RAND()*$G$12</f>
        <v/>
      </c>
      <c r="U582" s="15">
        <f>S582+T582</f>
        <v/>
      </c>
      <c r="V582" s="15">
        <f>INT((2^$J$12-1)*U582/100)/(2^$J$12-1)*100</f>
        <v/>
      </c>
      <c r="X582" s="15">
        <f>M582 * 1.05</f>
        <v/>
      </c>
      <c r="Y582" s="15">
        <f>M582 * 0.95</f>
        <v/>
      </c>
      <c r="Z582" s="15">
        <f>IF(AND(V582 &lt;= X582, V582 &gt;= Y582), 1, 0)</f>
        <v/>
      </c>
    </row>
    <row r="583">
      <c r="L583" s="15" t="n">
        <v>581</v>
      </c>
      <c r="M583" s="15">
        <f>IF(L583&lt;$D$16,$D$13,IF(L583&lt;$E$16,$E$13,$F$13))</f>
        <v/>
      </c>
      <c r="N583" s="15">
        <f>M583-V583</f>
        <v/>
      </c>
      <c r="O583" s="15">
        <f>IF(MOD(L583,$B$11)=0,OFFSET(O583,-$B$11,0)+ $E$2*N583+$E$3*OFFSET(N583,-$B$11,0)+ $E$4*OFFSET(N583,-2* $B$11,0), O582)</f>
        <v/>
      </c>
      <c r="P583" s="15">
        <f>INT((2^$J$12-1)*O583/100)/(2^$J$12-1)*100</f>
        <v/>
      </c>
      <c r="Q583" s="15" t="n">
        <v>0</v>
      </c>
      <c r="R583" s="15">
        <f>P583+Q583</f>
        <v/>
      </c>
      <c r="S583" s="15">
        <f>$I$1*S582-$I$2*S581+$I$3*R562+$I$4*R561</f>
        <v/>
      </c>
      <c r="T583" s="15">
        <f>RAND()*$G$12</f>
        <v/>
      </c>
      <c r="U583" s="15">
        <f>S583+T583</f>
        <v/>
      </c>
      <c r="V583" s="15">
        <f>INT((2^$J$12-1)*U583/100)/(2^$J$12-1)*100</f>
        <v/>
      </c>
      <c r="X583" s="15">
        <f>M583 * 1.05</f>
        <v/>
      </c>
      <c r="Y583" s="15">
        <f>M583 * 0.95</f>
        <v/>
      </c>
      <c r="Z583" s="15">
        <f>IF(AND(V583 &lt;= X583, V583 &gt;= Y583), 1, 0)</f>
        <v/>
      </c>
    </row>
    <row r="584">
      <c r="L584" s="15" t="n">
        <v>582</v>
      </c>
      <c r="M584" s="15">
        <f>IF(L584&lt;$D$16,$D$13,IF(L584&lt;$E$16,$E$13,$F$13))</f>
        <v/>
      </c>
      <c r="N584" s="15">
        <f>M584-V584</f>
        <v/>
      </c>
      <c r="O584" s="15">
        <f>IF(MOD(L584,$B$11)=0,OFFSET(O584,-$B$11,0)+ $E$2*N584+$E$3*OFFSET(N584,-$B$11,0)+ $E$4*OFFSET(N584,-2* $B$11,0), O583)</f>
        <v/>
      </c>
      <c r="P584" s="15">
        <f>INT((2^$J$12-1)*O584/100)/(2^$J$12-1)*100</f>
        <v/>
      </c>
      <c r="Q584" s="15" t="n">
        <v>0</v>
      </c>
      <c r="R584" s="15">
        <f>P584+Q584</f>
        <v/>
      </c>
      <c r="S584" s="15">
        <f>$I$1*S583-$I$2*S582+$I$3*R563+$I$4*R562</f>
        <v/>
      </c>
      <c r="T584" s="15">
        <f>RAND()*$G$12</f>
        <v/>
      </c>
      <c r="U584" s="15">
        <f>S584+T584</f>
        <v/>
      </c>
      <c r="V584" s="15">
        <f>INT((2^$J$12-1)*U584/100)/(2^$J$12-1)*100</f>
        <v/>
      </c>
      <c r="X584" s="15">
        <f>M584 * 1.05</f>
        <v/>
      </c>
      <c r="Y584" s="15">
        <f>M584 * 0.95</f>
        <v/>
      </c>
      <c r="Z584" s="15">
        <f>IF(AND(V584 &lt;= X584, V584 &gt;= Y584), 1, 0)</f>
        <v/>
      </c>
    </row>
    <row r="585">
      <c r="L585" s="15" t="n">
        <v>583</v>
      </c>
      <c r="M585" s="15">
        <f>IF(L585&lt;$D$16,$D$13,IF(L585&lt;$E$16,$E$13,$F$13))</f>
        <v/>
      </c>
      <c r="N585" s="15">
        <f>M585-V585</f>
        <v/>
      </c>
      <c r="O585" s="15">
        <f>IF(MOD(L585,$B$11)=0,OFFSET(O585,-$B$11,0)+ $E$2*N585+$E$3*OFFSET(N585,-$B$11,0)+ $E$4*OFFSET(N585,-2* $B$11,0), O584)</f>
        <v/>
      </c>
      <c r="P585" s="15">
        <f>INT((2^$J$12-1)*O585/100)/(2^$J$12-1)*100</f>
        <v/>
      </c>
      <c r="Q585" s="15" t="n">
        <v>0</v>
      </c>
      <c r="R585" s="15">
        <f>P585+Q585</f>
        <v/>
      </c>
      <c r="S585" s="15">
        <f>$I$1*S584-$I$2*S583+$I$3*R564+$I$4*R563</f>
        <v/>
      </c>
      <c r="T585" s="15">
        <f>RAND()*$G$12</f>
        <v/>
      </c>
      <c r="U585" s="15">
        <f>S585+T585</f>
        <v/>
      </c>
      <c r="V585" s="15">
        <f>INT((2^$J$12-1)*U585/100)/(2^$J$12-1)*100</f>
        <v/>
      </c>
      <c r="X585" s="15">
        <f>M585 * 1.05</f>
        <v/>
      </c>
      <c r="Y585" s="15">
        <f>M585 * 0.95</f>
        <v/>
      </c>
      <c r="Z585" s="15">
        <f>IF(AND(V585 &lt;= X585, V585 &gt;= Y585), 1, 0)</f>
        <v/>
      </c>
    </row>
    <row r="586">
      <c r="L586" s="15" t="n">
        <v>584</v>
      </c>
      <c r="M586" s="15">
        <f>IF(L586&lt;$D$16,$D$13,IF(L586&lt;$E$16,$E$13,$F$13))</f>
        <v/>
      </c>
      <c r="N586" s="15">
        <f>M586-V586</f>
        <v/>
      </c>
      <c r="O586" s="15">
        <f>IF(MOD(L586,$B$11)=0,OFFSET(O586,-$B$11,0)+ $E$2*N586+$E$3*OFFSET(N586,-$B$11,0)+ $E$4*OFFSET(N586,-2* $B$11,0), O585)</f>
        <v/>
      </c>
      <c r="P586" s="15">
        <f>INT((2^$J$12-1)*O586/100)/(2^$J$12-1)*100</f>
        <v/>
      </c>
      <c r="Q586" s="15" t="n">
        <v>0</v>
      </c>
      <c r="R586" s="15">
        <f>P586+Q586</f>
        <v/>
      </c>
      <c r="S586" s="15">
        <f>$I$1*S585-$I$2*S584+$I$3*R565+$I$4*R564</f>
        <v/>
      </c>
      <c r="T586" s="15">
        <f>RAND()*$G$12</f>
        <v/>
      </c>
      <c r="U586" s="15">
        <f>S586+T586</f>
        <v/>
      </c>
      <c r="V586" s="15">
        <f>INT((2^$J$12-1)*U586/100)/(2^$J$12-1)*100</f>
        <v/>
      </c>
      <c r="X586" s="15">
        <f>M586 * 1.05</f>
        <v/>
      </c>
      <c r="Y586" s="15">
        <f>M586 * 0.95</f>
        <v/>
      </c>
      <c r="Z586" s="15">
        <f>IF(AND(V586 &lt;= X586, V586 &gt;= Y586), 1, 0)</f>
        <v/>
      </c>
    </row>
    <row r="587">
      <c r="L587" s="15" t="n">
        <v>585</v>
      </c>
      <c r="M587" s="15">
        <f>IF(L587&lt;$D$16,$D$13,IF(L587&lt;$E$16,$E$13,$F$13))</f>
        <v/>
      </c>
      <c r="N587" s="15">
        <f>M587-V587</f>
        <v/>
      </c>
      <c r="O587" s="15">
        <f>IF(MOD(L587,$B$11)=0,OFFSET(O587,-$B$11,0)+ $E$2*N587+$E$3*OFFSET(N587,-$B$11,0)+ $E$4*OFFSET(N587,-2* $B$11,0), O586)</f>
        <v/>
      </c>
      <c r="P587" s="15">
        <f>INT((2^$J$12-1)*O587/100)/(2^$J$12-1)*100</f>
        <v/>
      </c>
      <c r="Q587" s="15" t="n">
        <v>0</v>
      </c>
      <c r="R587" s="15">
        <f>P587+Q587</f>
        <v/>
      </c>
      <c r="S587" s="15">
        <f>$I$1*S586-$I$2*S585+$I$3*R566+$I$4*R565</f>
        <v/>
      </c>
      <c r="T587" s="15">
        <f>RAND()*$G$12</f>
        <v/>
      </c>
      <c r="U587" s="15">
        <f>S587+T587</f>
        <v/>
      </c>
      <c r="V587" s="15">
        <f>INT((2^$J$12-1)*U587/100)/(2^$J$12-1)*100</f>
        <v/>
      </c>
      <c r="X587" s="15">
        <f>M587 * 1.05</f>
        <v/>
      </c>
      <c r="Y587" s="15">
        <f>M587 * 0.95</f>
        <v/>
      </c>
      <c r="Z587" s="15">
        <f>IF(AND(V587 &lt;= X587, V587 &gt;= Y587), 1, 0)</f>
        <v/>
      </c>
    </row>
    <row r="588">
      <c r="L588" s="15" t="n">
        <v>586</v>
      </c>
      <c r="M588" s="15">
        <f>IF(L588&lt;$D$16,$D$13,IF(L588&lt;$E$16,$E$13,$F$13))</f>
        <v/>
      </c>
      <c r="N588" s="15">
        <f>M588-V588</f>
        <v/>
      </c>
      <c r="O588" s="15">
        <f>IF(MOD(L588,$B$11)=0,OFFSET(O588,-$B$11,0)+ $E$2*N588+$E$3*OFFSET(N588,-$B$11,0)+ $E$4*OFFSET(N588,-2* $B$11,0), O587)</f>
        <v/>
      </c>
      <c r="P588" s="15">
        <f>INT((2^$J$12-1)*O588/100)/(2^$J$12-1)*100</f>
        <v/>
      </c>
      <c r="Q588" s="15" t="n">
        <v>0</v>
      </c>
      <c r="R588" s="15">
        <f>P588+Q588</f>
        <v/>
      </c>
      <c r="S588" s="15">
        <f>$I$1*S587-$I$2*S586+$I$3*R567+$I$4*R566</f>
        <v/>
      </c>
      <c r="T588" s="15">
        <f>RAND()*$G$12</f>
        <v/>
      </c>
      <c r="U588" s="15">
        <f>S588+T588</f>
        <v/>
      </c>
      <c r="V588" s="15">
        <f>INT((2^$J$12-1)*U588/100)/(2^$J$12-1)*100</f>
        <v/>
      </c>
      <c r="X588" s="15">
        <f>M588 * 1.05</f>
        <v/>
      </c>
      <c r="Y588" s="15">
        <f>M588 * 0.95</f>
        <v/>
      </c>
      <c r="Z588" s="15">
        <f>IF(AND(V588 &lt;= X588, V588 &gt;= Y588), 1, 0)</f>
        <v/>
      </c>
    </row>
    <row r="589">
      <c r="L589" s="15" t="n">
        <v>587</v>
      </c>
      <c r="M589" s="15">
        <f>IF(L589&lt;$D$16,$D$13,IF(L589&lt;$E$16,$E$13,$F$13))</f>
        <v/>
      </c>
      <c r="N589" s="15">
        <f>M589-V589</f>
        <v/>
      </c>
      <c r="O589" s="15">
        <f>IF(MOD(L589,$B$11)=0,OFFSET(O589,-$B$11,0)+ $E$2*N589+$E$3*OFFSET(N589,-$B$11,0)+ $E$4*OFFSET(N589,-2* $B$11,0), O588)</f>
        <v/>
      </c>
      <c r="P589" s="15">
        <f>INT((2^$J$12-1)*O589/100)/(2^$J$12-1)*100</f>
        <v/>
      </c>
      <c r="Q589" s="15" t="n">
        <v>0</v>
      </c>
      <c r="R589" s="15">
        <f>P589+Q589</f>
        <v/>
      </c>
      <c r="S589" s="15">
        <f>$I$1*S588-$I$2*S587+$I$3*R568+$I$4*R567</f>
        <v/>
      </c>
      <c r="T589" s="15">
        <f>RAND()*$G$12</f>
        <v/>
      </c>
      <c r="U589" s="15">
        <f>S589+T589</f>
        <v/>
      </c>
      <c r="V589" s="15">
        <f>INT((2^$J$12-1)*U589/100)/(2^$J$12-1)*100</f>
        <v/>
      </c>
      <c r="X589" s="15">
        <f>M589 * 1.05</f>
        <v/>
      </c>
      <c r="Y589" s="15">
        <f>M589 * 0.95</f>
        <v/>
      </c>
      <c r="Z589" s="15">
        <f>IF(AND(V589 &lt;= X589, V589 &gt;= Y589), 1, 0)</f>
        <v/>
      </c>
    </row>
    <row r="590">
      <c r="L590" s="15" t="n">
        <v>588</v>
      </c>
      <c r="M590" s="15">
        <f>IF(L590&lt;$D$16,$D$13,IF(L590&lt;$E$16,$E$13,$F$13))</f>
        <v/>
      </c>
      <c r="N590" s="15">
        <f>M590-V590</f>
        <v/>
      </c>
      <c r="O590" s="15">
        <f>IF(MOD(L590,$B$11)=0,OFFSET(O590,-$B$11,0)+ $E$2*N590+$E$3*OFFSET(N590,-$B$11,0)+ $E$4*OFFSET(N590,-2* $B$11,0), O589)</f>
        <v/>
      </c>
      <c r="P590" s="15">
        <f>INT((2^$J$12-1)*O590/100)/(2^$J$12-1)*100</f>
        <v/>
      </c>
      <c r="Q590" s="15" t="n">
        <v>0</v>
      </c>
      <c r="R590" s="15">
        <f>P590+Q590</f>
        <v/>
      </c>
      <c r="S590" s="15">
        <f>$I$1*S589-$I$2*S588+$I$3*R569+$I$4*R568</f>
        <v/>
      </c>
      <c r="T590" s="15">
        <f>RAND()*$G$12</f>
        <v/>
      </c>
      <c r="U590" s="15">
        <f>S590+T590</f>
        <v/>
      </c>
      <c r="V590" s="15">
        <f>INT((2^$J$12-1)*U590/100)/(2^$J$12-1)*100</f>
        <v/>
      </c>
      <c r="X590" s="15">
        <f>M590 * 1.05</f>
        <v/>
      </c>
      <c r="Y590" s="15">
        <f>M590 * 0.95</f>
        <v/>
      </c>
      <c r="Z590" s="15">
        <f>IF(AND(V590 &lt;= X590, V590 &gt;= Y590), 1, 0)</f>
        <v/>
      </c>
    </row>
    <row r="591">
      <c r="L591" s="15" t="n">
        <v>589</v>
      </c>
      <c r="M591" s="15">
        <f>IF(L591&lt;$D$16,$D$13,IF(L591&lt;$E$16,$E$13,$F$13))</f>
        <v/>
      </c>
      <c r="N591" s="15">
        <f>M591-V591</f>
        <v/>
      </c>
      <c r="O591" s="15">
        <f>IF(MOD(L591,$B$11)=0,OFFSET(O591,-$B$11,0)+ $E$2*N591+$E$3*OFFSET(N591,-$B$11,0)+ $E$4*OFFSET(N591,-2* $B$11,0), O590)</f>
        <v/>
      </c>
      <c r="P591" s="15">
        <f>INT((2^$J$12-1)*O591/100)/(2^$J$12-1)*100</f>
        <v/>
      </c>
      <c r="Q591" s="15" t="n">
        <v>0</v>
      </c>
      <c r="R591" s="15">
        <f>P591+Q591</f>
        <v/>
      </c>
      <c r="S591" s="15">
        <f>$I$1*S590-$I$2*S589+$I$3*R570+$I$4*R569</f>
        <v/>
      </c>
      <c r="T591" s="15">
        <f>RAND()*$G$12</f>
        <v/>
      </c>
      <c r="U591" s="15">
        <f>S591+T591</f>
        <v/>
      </c>
      <c r="V591" s="15">
        <f>INT((2^$J$12-1)*U591/100)/(2^$J$12-1)*100</f>
        <v/>
      </c>
      <c r="X591" s="15">
        <f>M591 * 1.05</f>
        <v/>
      </c>
      <c r="Y591" s="15">
        <f>M591 * 0.95</f>
        <v/>
      </c>
      <c r="Z591" s="15">
        <f>IF(AND(V591 &lt;= X591, V591 &gt;= Y591), 1, 0)</f>
        <v/>
      </c>
    </row>
    <row r="592">
      <c r="L592" s="15" t="n">
        <v>590</v>
      </c>
      <c r="M592" s="15">
        <f>IF(L592&lt;$D$16,$D$13,IF(L592&lt;$E$16,$E$13,$F$13))</f>
        <v/>
      </c>
      <c r="N592" s="15">
        <f>M592-V592</f>
        <v/>
      </c>
      <c r="O592" s="15">
        <f>IF(MOD(L592,$B$11)=0,OFFSET(O592,-$B$11,0)+ $E$2*N592+$E$3*OFFSET(N592,-$B$11,0)+ $E$4*OFFSET(N592,-2* $B$11,0), O591)</f>
        <v/>
      </c>
      <c r="P592" s="15">
        <f>INT((2^$J$12-1)*O592/100)/(2^$J$12-1)*100</f>
        <v/>
      </c>
      <c r="Q592" s="15" t="n">
        <v>0</v>
      </c>
      <c r="R592" s="15">
        <f>P592+Q592</f>
        <v/>
      </c>
      <c r="S592" s="15">
        <f>$I$1*S591-$I$2*S590+$I$3*R571+$I$4*R570</f>
        <v/>
      </c>
      <c r="T592" s="15">
        <f>RAND()*$G$12</f>
        <v/>
      </c>
      <c r="U592" s="15">
        <f>S592+T592</f>
        <v/>
      </c>
      <c r="V592" s="15">
        <f>INT((2^$J$12-1)*U592/100)/(2^$J$12-1)*100</f>
        <v/>
      </c>
      <c r="X592" s="15">
        <f>M592 * 1.05</f>
        <v/>
      </c>
      <c r="Y592" s="15">
        <f>M592 * 0.95</f>
        <v/>
      </c>
      <c r="Z592" s="15">
        <f>IF(AND(V592 &lt;= X592, V592 &gt;= Y592), 1, 0)</f>
        <v/>
      </c>
    </row>
    <row r="593">
      <c r="L593" s="15" t="n">
        <v>591</v>
      </c>
      <c r="M593" s="15">
        <f>IF(L593&lt;$D$16,$D$13,IF(L593&lt;$E$16,$E$13,$F$13))</f>
        <v/>
      </c>
      <c r="N593" s="15">
        <f>M593-V593</f>
        <v/>
      </c>
      <c r="O593" s="15">
        <f>IF(MOD(L593,$B$11)=0,OFFSET(O593,-$B$11,0)+ $E$2*N593+$E$3*OFFSET(N593,-$B$11,0)+ $E$4*OFFSET(N593,-2* $B$11,0), O592)</f>
        <v/>
      </c>
      <c r="P593" s="15">
        <f>INT((2^$J$12-1)*O593/100)/(2^$J$12-1)*100</f>
        <v/>
      </c>
      <c r="Q593" s="15" t="n">
        <v>0</v>
      </c>
      <c r="R593" s="15">
        <f>P593+Q593</f>
        <v/>
      </c>
      <c r="S593" s="15">
        <f>$I$1*S592-$I$2*S591+$I$3*R572+$I$4*R571</f>
        <v/>
      </c>
      <c r="T593" s="15">
        <f>RAND()*$G$12</f>
        <v/>
      </c>
      <c r="U593" s="15">
        <f>S593+T593</f>
        <v/>
      </c>
      <c r="V593" s="15">
        <f>INT((2^$J$12-1)*U593/100)/(2^$J$12-1)*100</f>
        <v/>
      </c>
      <c r="X593" s="15">
        <f>M593 * 1.05</f>
        <v/>
      </c>
      <c r="Y593" s="15">
        <f>M593 * 0.95</f>
        <v/>
      </c>
      <c r="Z593" s="15">
        <f>IF(AND(V593 &lt;= X593, V593 &gt;= Y593), 1, 0)</f>
        <v/>
      </c>
    </row>
    <row r="594">
      <c r="L594" s="15" t="n">
        <v>592</v>
      </c>
      <c r="M594" s="15">
        <f>IF(L594&lt;$D$16,$D$13,IF(L594&lt;$E$16,$E$13,$F$13))</f>
        <v/>
      </c>
      <c r="N594" s="15">
        <f>M594-V594</f>
        <v/>
      </c>
      <c r="O594" s="15">
        <f>IF(MOD(L594,$B$11)=0,OFFSET(O594,-$B$11,0)+ $E$2*N594+$E$3*OFFSET(N594,-$B$11,0)+ $E$4*OFFSET(N594,-2* $B$11,0), O593)</f>
        <v/>
      </c>
      <c r="P594" s="15">
        <f>INT((2^$J$12-1)*O594/100)/(2^$J$12-1)*100</f>
        <v/>
      </c>
      <c r="Q594" s="15" t="n">
        <v>0</v>
      </c>
      <c r="R594" s="15">
        <f>P594+Q594</f>
        <v/>
      </c>
      <c r="S594" s="15">
        <f>$I$1*S593-$I$2*S592+$I$3*R573+$I$4*R572</f>
        <v/>
      </c>
      <c r="T594" s="15">
        <f>RAND()*$G$12</f>
        <v/>
      </c>
      <c r="U594" s="15">
        <f>S594+T594</f>
        <v/>
      </c>
      <c r="V594" s="15">
        <f>INT((2^$J$12-1)*U594/100)/(2^$J$12-1)*100</f>
        <v/>
      </c>
      <c r="X594" s="15">
        <f>M594 * 1.05</f>
        <v/>
      </c>
      <c r="Y594" s="15">
        <f>M594 * 0.95</f>
        <v/>
      </c>
      <c r="Z594" s="15">
        <f>IF(AND(V594 &lt;= X594, V594 &gt;= Y594), 1, 0)</f>
        <v/>
      </c>
    </row>
    <row r="595">
      <c r="L595" s="15" t="n">
        <v>593</v>
      </c>
      <c r="M595" s="15">
        <f>IF(L595&lt;$D$16,$D$13,IF(L595&lt;$E$16,$E$13,$F$13))</f>
        <v/>
      </c>
      <c r="N595" s="15">
        <f>M595-V595</f>
        <v/>
      </c>
      <c r="O595" s="15">
        <f>IF(MOD(L595,$B$11)=0,OFFSET(O595,-$B$11,0)+ $E$2*N595+$E$3*OFFSET(N595,-$B$11,0)+ $E$4*OFFSET(N595,-2* $B$11,0), O594)</f>
        <v/>
      </c>
      <c r="P595" s="15">
        <f>INT((2^$J$12-1)*O595/100)/(2^$J$12-1)*100</f>
        <v/>
      </c>
      <c r="Q595" s="15" t="n">
        <v>0</v>
      </c>
      <c r="R595" s="15">
        <f>P595+Q595</f>
        <v/>
      </c>
      <c r="S595" s="15">
        <f>$I$1*S594-$I$2*S593+$I$3*R574+$I$4*R573</f>
        <v/>
      </c>
      <c r="T595" s="15">
        <f>RAND()*$G$12</f>
        <v/>
      </c>
      <c r="U595" s="15">
        <f>S595+T595</f>
        <v/>
      </c>
      <c r="V595" s="15">
        <f>INT((2^$J$12-1)*U595/100)/(2^$J$12-1)*100</f>
        <v/>
      </c>
      <c r="X595" s="15">
        <f>M595 * 1.05</f>
        <v/>
      </c>
      <c r="Y595" s="15">
        <f>M595 * 0.95</f>
        <v/>
      </c>
      <c r="Z595" s="15">
        <f>IF(AND(V595 &lt;= X595, V595 &gt;= Y595), 1, 0)</f>
        <v/>
      </c>
    </row>
    <row r="596">
      <c r="L596" s="15" t="n">
        <v>594</v>
      </c>
      <c r="M596" s="15">
        <f>IF(L596&lt;$D$16,$D$13,IF(L596&lt;$E$16,$E$13,$F$13))</f>
        <v/>
      </c>
      <c r="N596" s="15">
        <f>M596-V596</f>
        <v/>
      </c>
      <c r="O596" s="15">
        <f>IF(MOD(L596,$B$11)=0,OFFSET(O596,-$B$11,0)+ $E$2*N596+$E$3*OFFSET(N596,-$B$11,0)+ $E$4*OFFSET(N596,-2* $B$11,0), O595)</f>
        <v/>
      </c>
      <c r="P596" s="15">
        <f>INT((2^$J$12-1)*O596/100)/(2^$J$12-1)*100</f>
        <v/>
      </c>
      <c r="Q596" s="15" t="n">
        <v>0</v>
      </c>
      <c r="R596" s="15">
        <f>P596+Q596</f>
        <v/>
      </c>
      <c r="S596" s="15">
        <f>$I$1*S595-$I$2*S594+$I$3*R575+$I$4*R574</f>
        <v/>
      </c>
      <c r="T596" s="15">
        <f>RAND()*$G$12</f>
        <v/>
      </c>
      <c r="U596" s="15">
        <f>S596+T596</f>
        <v/>
      </c>
      <c r="V596" s="15">
        <f>INT((2^$J$12-1)*U596/100)/(2^$J$12-1)*100</f>
        <v/>
      </c>
      <c r="X596" s="15">
        <f>M596 * 1.05</f>
        <v/>
      </c>
      <c r="Y596" s="15">
        <f>M596 * 0.95</f>
        <v/>
      </c>
      <c r="Z596" s="15">
        <f>IF(AND(V596 &lt;= X596, V596 &gt;= Y596), 1, 0)</f>
        <v/>
      </c>
    </row>
    <row r="597">
      <c r="L597" s="15" t="n">
        <v>595</v>
      </c>
      <c r="M597" s="15">
        <f>IF(L597&lt;$D$16,$D$13,IF(L597&lt;$E$16,$E$13,$F$13))</f>
        <v/>
      </c>
      <c r="N597" s="15">
        <f>M597-V597</f>
        <v/>
      </c>
      <c r="O597" s="15">
        <f>IF(MOD(L597,$B$11)=0,OFFSET(O597,-$B$11,0)+ $E$2*N597+$E$3*OFFSET(N597,-$B$11,0)+ $E$4*OFFSET(N597,-2* $B$11,0), O596)</f>
        <v/>
      </c>
      <c r="P597" s="15">
        <f>INT((2^$J$12-1)*O597/100)/(2^$J$12-1)*100</f>
        <v/>
      </c>
      <c r="Q597" s="15" t="n">
        <v>0</v>
      </c>
      <c r="R597" s="15">
        <f>P597+Q597</f>
        <v/>
      </c>
      <c r="S597" s="15">
        <f>$I$1*S596-$I$2*S595+$I$3*R576+$I$4*R575</f>
        <v/>
      </c>
      <c r="T597" s="15">
        <f>RAND()*$G$12</f>
        <v/>
      </c>
      <c r="U597" s="15">
        <f>S597+T597</f>
        <v/>
      </c>
      <c r="V597" s="15">
        <f>INT((2^$J$12-1)*U597/100)/(2^$J$12-1)*100</f>
        <v/>
      </c>
      <c r="X597" s="15">
        <f>M597 * 1.05</f>
        <v/>
      </c>
      <c r="Y597" s="15">
        <f>M597 * 0.95</f>
        <v/>
      </c>
      <c r="Z597" s="15">
        <f>IF(AND(V597 &lt;= X597, V597 &gt;= Y597), 1, 0)</f>
        <v/>
      </c>
    </row>
    <row r="598">
      <c r="L598" s="15" t="n">
        <v>596</v>
      </c>
      <c r="M598" s="15">
        <f>IF(L598&lt;$D$16,$D$13,IF(L598&lt;$E$16,$E$13,$F$13))</f>
        <v/>
      </c>
      <c r="N598" s="15">
        <f>M598-V598</f>
        <v/>
      </c>
      <c r="O598" s="15">
        <f>IF(MOD(L598,$B$11)=0,OFFSET(O598,-$B$11,0)+ $E$2*N598+$E$3*OFFSET(N598,-$B$11,0)+ $E$4*OFFSET(N598,-2* $B$11,0), O597)</f>
        <v/>
      </c>
      <c r="P598" s="15">
        <f>INT((2^$J$12-1)*O598/100)/(2^$J$12-1)*100</f>
        <v/>
      </c>
      <c r="Q598" s="15" t="n">
        <v>0</v>
      </c>
      <c r="R598" s="15">
        <f>P598+Q598</f>
        <v/>
      </c>
      <c r="S598" s="15">
        <f>$I$1*S597-$I$2*S596+$I$3*R577+$I$4*R576</f>
        <v/>
      </c>
      <c r="T598" s="15">
        <f>RAND()*$G$12</f>
        <v/>
      </c>
      <c r="U598" s="15">
        <f>S598+T598</f>
        <v/>
      </c>
      <c r="V598" s="15">
        <f>INT((2^$J$12-1)*U598/100)/(2^$J$12-1)*100</f>
        <v/>
      </c>
      <c r="X598" s="15">
        <f>M598 * 1.05</f>
        <v/>
      </c>
      <c r="Y598" s="15">
        <f>M598 * 0.95</f>
        <v/>
      </c>
      <c r="Z598" s="15">
        <f>IF(AND(V598 &lt;= X598, V598 &gt;= Y598), 1, 0)</f>
        <v/>
      </c>
    </row>
    <row r="599">
      <c r="L599" s="15" t="n">
        <v>597</v>
      </c>
      <c r="M599" s="15">
        <f>IF(L599&lt;$D$16,$D$13,IF(L599&lt;$E$16,$E$13,$F$13))</f>
        <v/>
      </c>
      <c r="N599" s="15">
        <f>M599-V599</f>
        <v/>
      </c>
      <c r="O599" s="15">
        <f>IF(MOD(L599,$B$11)=0,OFFSET(O599,-$B$11,0)+ $E$2*N599+$E$3*OFFSET(N599,-$B$11,0)+ $E$4*OFFSET(N599,-2* $B$11,0), O598)</f>
        <v/>
      </c>
      <c r="P599" s="15">
        <f>INT((2^$J$12-1)*O599/100)/(2^$J$12-1)*100</f>
        <v/>
      </c>
      <c r="Q599" s="15" t="n">
        <v>0</v>
      </c>
      <c r="R599" s="15">
        <f>P599+Q599</f>
        <v/>
      </c>
      <c r="S599" s="15">
        <f>$I$1*S598-$I$2*S597+$I$3*R578+$I$4*R577</f>
        <v/>
      </c>
      <c r="T599" s="15">
        <f>RAND()*$G$12</f>
        <v/>
      </c>
      <c r="U599" s="15">
        <f>S599+T599</f>
        <v/>
      </c>
      <c r="V599" s="15">
        <f>INT((2^$J$12-1)*U599/100)/(2^$J$12-1)*100</f>
        <v/>
      </c>
      <c r="X599" s="15">
        <f>M599 * 1.05</f>
        <v/>
      </c>
      <c r="Y599" s="15">
        <f>M599 * 0.95</f>
        <v/>
      </c>
      <c r="Z599" s="15">
        <f>IF(AND(V599 &lt;= X599, V599 &gt;= Y599), 1, 0)</f>
        <v/>
      </c>
    </row>
    <row r="600">
      <c r="L600" s="15" t="n">
        <v>598</v>
      </c>
      <c r="M600" s="15">
        <f>IF(L600&lt;$D$16,$D$13,IF(L600&lt;$E$16,$E$13,$F$13))</f>
        <v/>
      </c>
      <c r="N600" s="15">
        <f>M600-V600</f>
        <v/>
      </c>
      <c r="O600" s="15">
        <f>IF(MOD(L600,$B$11)=0,OFFSET(O600,-$B$11,0)+ $E$2*N600+$E$3*OFFSET(N600,-$B$11,0)+ $E$4*OFFSET(N600,-2* $B$11,0), O599)</f>
        <v/>
      </c>
      <c r="P600" s="15">
        <f>INT((2^$J$12-1)*O600/100)/(2^$J$12-1)*100</f>
        <v/>
      </c>
      <c r="Q600" s="15" t="n">
        <v>0</v>
      </c>
      <c r="R600" s="15">
        <f>P600+Q600</f>
        <v/>
      </c>
      <c r="S600" s="15">
        <f>$I$1*S599-$I$2*S598+$I$3*R579+$I$4*R578</f>
        <v/>
      </c>
      <c r="T600" s="15">
        <f>RAND()*$G$12</f>
        <v/>
      </c>
      <c r="U600" s="15">
        <f>S600+T600</f>
        <v/>
      </c>
      <c r="V600" s="15">
        <f>INT((2^$J$12-1)*U600/100)/(2^$J$12-1)*100</f>
        <v/>
      </c>
      <c r="X600" s="15">
        <f>M600 * 1.05</f>
        <v/>
      </c>
      <c r="Y600" s="15">
        <f>M600 * 0.95</f>
        <v/>
      </c>
      <c r="Z600" s="15">
        <f>IF(AND(V600 &lt;= X600, V600 &gt;= Y600), 1, 0)</f>
        <v/>
      </c>
    </row>
    <row r="601">
      <c r="L601" s="15" t="n">
        <v>599</v>
      </c>
      <c r="M601" s="15">
        <f>IF(L601&lt;$D$16,$D$13,IF(L601&lt;$E$16,$E$13,$F$13))</f>
        <v/>
      </c>
      <c r="N601" s="15">
        <f>M601-V601</f>
        <v/>
      </c>
      <c r="O601" s="15">
        <f>IF(MOD(L601,$B$11)=0,OFFSET(O601,-$B$11,0)+ $E$2*N601+$E$3*OFFSET(N601,-$B$11,0)+ $E$4*OFFSET(N601,-2* $B$11,0), O600)</f>
        <v/>
      </c>
      <c r="P601" s="15">
        <f>INT((2^$J$12-1)*O601/100)/(2^$J$12-1)*100</f>
        <v/>
      </c>
      <c r="Q601" s="15" t="n">
        <v>0</v>
      </c>
      <c r="R601" s="15">
        <f>P601+Q601</f>
        <v/>
      </c>
      <c r="S601" s="15">
        <f>$I$1*S600-$I$2*S599+$I$3*R580+$I$4*R579</f>
        <v/>
      </c>
      <c r="T601" s="15">
        <f>RAND()*$G$12</f>
        <v/>
      </c>
      <c r="U601" s="15">
        <f>S601+T601</f>
        <v/>
      </c>
      <c r="V601" s="15">
        <f>INT((2^$J$12-1)*U601/100)/(2^$J$12-1)*100</f>
        <v/>
      </c>
      <c r="X601" s="15">
        <f>M601 * 1.05</f>
        <v/>
      </c>
      <c r="Y601" s="15">
        <f>M601 * 0.95</f>
        <v/>
      </c>
      <c r="Z601" s="15">
        <f>IF(AND(V601 &lt;= X601, V601 &gt;= Y601), 1, 0)</f>
        <v/>
      </c>
    </row>
    <row r="602">
      <c r="L602" s="15" t="n">
        <v>600</v>
      </c>
      <c r="M602" s="15">
        <f>IF(L602&lt;$D$16,$D$13,IF(L602&lt;$E$16,$E$13,$F$13))</f>
        <v/>
      </c>
      <c r="N602" s="15">
        <f>M602-V602</f>
        <v/>
      </c>
      <c r="O602" s="15">
        <f>IF(MOD(L602,$B$11)=0,OFFSET(O602,-$B$11,0)+ $E$2*N602+$E$3*OFFSET(N602,-$B$11,0)+ $E$4*OFFSET(N602,-2* $B$11,0), O601)</f>
        <v/>
      </c>
      <c r="P602" s="15">
        <f>INT((2^$J$12-1)*O602/100)/(2^$J$12-1)*100</f>
        <v/>
      </c>
      <c r="Q602" s="15" t="n">
        <v>0</v>
      </c>
      <c r="R602" s="15">
        <f>P602+Q602</f>
        <v/>
      </c>
      <c r="S602" s="15">
        <f>$I$1*S601-$I$2*S600+$I$3*R581+$I$4*R580</f>
        <v/>
      </c>
      <c r="T602" s="15">
        <f>RAND()*$G$12</f>
        <v/>
      </c>
      <c r="U602" s="15">
        <f>S602+T602</f>
        <v/>
      </c>
      <c r="V602" s="15">
        <f>INT((2^$J$12-1)*U602/100)/(2^$J$12-1)*100</f>
        <v/>
      </c>
      <c r="X602" s="15">
        <f>M602 * 1.05</f>
        <v/>
      </c>
      <c r="Y602" s="15">
        <f>M602 * 0.95</f>
        <v/>
      </c>
      <c r="Z602" s="15">
        <f>IF(AND(V602 &lt;= X602, V602 &gt;= Y602), 1, 0)</f>
        <v/>
      </c>
    </row>
    <row r="603">
      <c r="L603" s="15" t="n">
        <v>601</v>
      </c>
      <c r="M603" s="15">
        <f>IF(L603&lt;$D$16,$D$13,IF(L603&lt;$E$16,$E$13,$F$13))</f>
        <v/>
      </c>
      <c r="N603" s="15">
        <f>M603-V603</f>
        <v/>
      </c>
      <c r="O603" s="15">
        <f>IF(MOD(L603,$B$11)=0,OFFSET(O603,-$B$11,0)+ $E$2*N603+$E$3*OFFSET(N603,-$B$11,0)+ $E$4*OFFSET(N603,-2* $B$11,0), O602)</f>
        <v/>
      </c>
      <c r="P603" s="15">
        <f>INT((2^$J$12-1)*O603/100)/(2^$J$12-1)*100</f>
        <v/>
      </c>
      <c r="Q603" s="15" t="n">
        <v>0</v>
      </c>
      <c r="R603" s="15">
        <f>P603+Q603</f>
        <v/>
      </c>
      <c r="S603" s="15">
        <f>$I$1*S602-$I$2*S601+$I$3*R582+$I$4*R581</f>
        <v/>
      </c>
      <c r="T603" s="15">
        <f>RAND()*$G$12</f>
        <v/>
      </c>
      <c r="U603" s="15">
        <f>S603+T603</f>
        <v/>
      </c>
      <c r="V603" s="15">
        <f>INT((2^$J$12-1)*U603/100)/(2^$J$12-1)*100</f>
        <v/>
      </c>
      <c r="X603" s="15">
        <f>M603 * 1.05</f>
        <v/>
      </c>
      <c r="Y603" s="15">
        <f>M603 * 0.95</f>
        <v/>
      </c>
      <c r="Z603" s="15">
        <f>IF(AND(V603 &lt;= X603, V603 &gt;= Y603), 1, 0)</f>
        <v/>
      </c>
    </row>
    <row r="604">
      <c r="L604" s="15" t="n">
        <v>602</v>
      </c>
      <c r="M604" s="15">
        <f>IF(L604&lt;$D$16,$D$13,IF(L604&lt;$E$16,$E$13,$F$13))</f>
        <v/>
      </c>
      <c r="N604" s="15">
        <f>M604-V604</f>
        <v/>
      </c>
      <c r="O604" s="15">
        <f>IF(MOD(L604,$B$11)=0,OFFSET(O604,-$B$11,0)+ $E$2*N604+$E$3*OFFSET(N604,-$B$11,0)+ $E$4*OFFSET(N604,-2* $B$11,0), O603)</f>
        <v/>
      </c>
      <c r="P604" s="15">
        <f>INT((2^$J$12-1)*O604/100)/(2^$J$12-1)*100</f>
        <v/>
      </c>
      <c r="Q604" s="15" t="n">
        <v>0</v>
      </c>
      <c r="R604" s="15">
        <f>P604+Q604</f>
        <v/>
      </c>
      <c r="S604" s="15">
        <f>$I$1*S603-$I$2*S602+$I$3*R583+$I$4*R582</f>
        <v/>
      </c>
      <c r="T604" s="15">
        <f>RAND()*$G$12</f>
        <v/>
      </c>
      <c r="U604" s="15">
        <f>S604+T604</f>
        <v/>
      </c>
      <c r="V604" s="15">
        <f>INT((2^$J$12-1)*U604/100)/(2^$J$12-1)*100</f>
        <v/>
      </c>
      <c r="X604" s="15">
        <f>M604 * 1.05</f>
        <v/>
      </c>
      <c r="Y604" s="15">
        <f>M604 * 0.95</f>
        <v/>
      </c>
      <c r="Z604" s="15">
        <f>IF(AND(V604 &lt;= X604, V604 &gt;= Y604), 1, 0)</f>
        <v/>
      </c>
    </row>
    <row r="605">
      <c r="L605" s="15" t="n">
        <v>603</v>
      </c>
      <c r="M605" s="15">
        <f>IF(L605&lt;$D$16,$D$13,IF(L605&lt;$E$16,$E$13,$F$13))</f>
        <v/>
      </c>
      <c r="N605" s="15">
        <f>M605-V605</f>
        <v/>
      </c>
      <c r="O605" s="15">
        <f>IF(MOD(L605,$B$11)=0,OFFSET(O605,-$B$11,0)+ $E$2*N605+$E$3*OFFSET(N605,-$B$11,0)+ $E$4*OFFSET(N605,-2* $B$11,0), O604)</f>
        <v/>
      </c>
      <c r="P605" s="15">
        <f>INT((2^$J$12-1)*O605/100)/(2^$J$12-1)*100</f>
        <v/>
      </c>
      <c r="Q605" s="15" t="n">
        <v>0</v>
      </c>
      <c r="R605" s="15">
        <f>P605+Q605</f>
        <v/>
      </c>
      <c r="S605" s="15">
        <f>$I$1*S604-$I$2*S603+$I$3*R584+$I$4*R583</f>
        <v/>
      </c>
      <c r="T605" s="15">
        <f>RAND()*$G$12</f>
        <v/>
      </c>
      <c r="U605" s="15">
        <f>S605+T605</f>
        <v/>
      </c>
      <c r="V605" s="15">
        <f>INT((2^$J$12-1)*U605/100)/(2^$J$12-1)*100</f>
        <v/>
      </c>
      <c r="X605" s="15">
        <f>M605 * 1.05</f>
        <v/>
      </c>
      <c r="Y605" s="15">
        <f>M605 * 0.95</f>
        <v/>
      </c>
      <c r="Z605" s="15">
        <f>IF(AND(V605 &lt;= X605, V605 &gt;= Y605), 1, 0)</f>
        <v/>
      </c>
    </row>
    <row r="606">
      <c r="L606" s="15" t="n">
        <v>604</v>
      </c>
      <c r="M606" s="15">
        <f>IF(L606&lt;$D$16,$D$13,IF(L606&lt;$E$16,$E$13,$F$13))</f>
        <v/>
      </c>
      <c r="N606" s="15">
        <f>M606-V606</f>
        <v/>
      </c>
      <c r="O606" s="15">
        <f>IF(MOD(L606,$B$11)=0,OFFSET(O606,-$B$11,0)+ $E$2*N606+$E$3*OFFSET(N606,-$B$11,0)+ $E$4*OFFSET(N606,-2* $B$11,0), O605)</f>
        <v/>
      </c>
      <c r="P606" s="15">
        <f>INT((2^$J$12-1)*O606/100)/(2^$J$12-1)*100</f>
        <v/>
      </c>
      <c r="Q606" s="15" t="n">
        <v>0</v>
      </c>
      <c r="R606" s="15">
        <f>P606+Q606</f>
        <v/>
      </c>
      <c r="S606" s="15">
        <f>$I$1*S605-$I$2*S604+$I$3*R585+$I$4*R584</f>
        <v/>
      </c>
      <c r="T606" s="15">
        <f>RAND()*$G$12</f>
        <v/>
      </c>
      <c r="U606" s="15">
        <f>S606+T606</f>
        <v/>
      </c>
      <c r="V606" s="15">
        <f>INT((2^$J$12-1)*U606/100)/(2^$J$12-1)*100</f>
        <v/>
      </c>
      <c r="X606" s="15">
        <f>M606 * 1.05</f>
        <v/>
      </c>
      <c r="Y606" s="15">
        <f>M606 * 0.95</f>
        <v/>
      </c>
      <c r="Z606" s="15">
        <f>IF(AND(V606 &lt;= X606, V606 &gt;= Y606), 1, 0)</f>
        <v/>
      </c>
    </row>
    <row r="607">
      <c r="L607" s="15" t="n">
        <v>605</v>
      </c>
      <c r="M607" s="15">
        <f>IF(L607&lt;$D$16,$D$13,IF(L607&lt;$E$16,$E$13,$F$13))</f>
        <v/>
      </c>
      <c r="N607" s="15">
        <f>M607-V607</f>
        <v/>
      </c>
      <c r="O607" s="15">
        <f>IF(MOD(L607,$B$11)=0,OFFSET(O607,-$B$11,0)+ $E$2*N607+$E$3*OFFSET(N607,-$B$11,0)+ $E$4*OFFSET(N607,-2* $B$11,0), O606)</f>
        <v/>
      </c>
      <c r="P607" s="15">
        <f>INT((2^$J$12-1)*O607/100)/(2^$J$12-1)*100</f>
        <v/>
      </c>
      <c r="Q607" s="15" t="n">
        <v>0</v>
      </c>
      <c r="R607" s="15">
        <f>P607+Q607</f>
        <v/>
      </c>
      <c r="S607" s="15">
        <f>$I$1*S606-$I$2*S605+$I$3*R586+$I$4*R585</f>
        <v/>
      </c>
      <c r="T607" s="15">
        <f>RAND()*$G$12</f>
        <v/>
      </c>
      <c r="U607" s="15">
        <f>S607+T607</f>
        <v/>
      </c>
      <c r="V607" s="15">
        <f>INT((2^$J$12-1)*U607/100)/(2^$J$12-1)*100</f>
        <v/>
      </c>
      <c r="X607" s="15">
        <f>M607 * 1.05</f>
        <v/>
      </c>
      <c r="Y607" s="15">
        <f>M607 * 0.95</f>
        <v/>
      </c>
      <c r="Z607" s="15">
        <f>IF(AND(V607 &lt;= X607, V607 &gt;= Y607), 1, 0)</f>
        <v/>
      </c>
    </row>
    <row r="608">
      <c r="L608" s="15" t="n">
        <v>606</v>
      </c>
      <c r="M608" s="15">
        <f>IF(L608&lt;$D$16,$D$13,IF(L608&lt;$E$16,$E$13,$F$13))</f>
        <v/>
      </c>
      <c r="N608" s="15">
        <f>M608-V608</f>
        <v/>
      </c>
      <c r="O608" s="15">
        <f>IF(MOD(L608,$B$11)=0,OFFSET(O608,-$B$11,0)+ $E$2*N608+$E$3*OFFSET(N608,-$B$11,0)+ $E$4*OFFSET(N608,-2* $B$11,0), O607)</f>
        <v/>
      </c>
      <c r="P608" s="15">
        <f>INT((2^$J$12-1)*O608/100)/(2^$J$12-1)*100</f>
        <v/>
      </c>
      <c r="Q608" s="15" t="n">
        <v>0</v>
      </c>
      <c r="R608" s="15">
        <f>P608+Q608</f>
        <v/>
      </c>
      <c r="S608" s="15">
        <f>$I$1*S607-$I$2*S606+$I$3*R587+$I$4*R586</f>
        <v/>
      </c>
      <c r="T608" s="15">
        <f>RAND()*$G$12</f>
        <v/>
      </c>
      <c r="U608" s="15">
        <f>S608+T608</f>
        <v/>
      </c>
      <c r="V608" s="15">
        <f>INT((2^$J$12-1)*U608/100)/(2^$J$12-1)*100</f>
        <v/>
      </c>
      <c r="X608" s="15">
        <f>M608 * 1.05</f>
        <v/>
      </c>
      <c r="Y608" s="15">
        <f>M608 * 0.95</f>
        <v/>
      </c>
      <c r="Z608" s="15">
        <f>IF(AND(V608 &lt;= X608, V608 &gt;= Y608), 1, 0)</f>
        <v/>
      </c>
    </row>
    <row r="609">
      <c r="L609" s="15" t="n">
        <v>607</v>
      </c>
      <c r="M609" s="15">
        <f>IF(L609&lt;$D$16,$D$13,IF(L609&lt;$E$16,$E$13,$F$13))</f>
        <v/>
      </c>
      <c r="N609" s="15">
        <f>M609-V609</f>
        <v/>
      </c>
      <c r="O609" s="15">
        <f>IF(MOD(L609,$B$11)=0,OFFSET(O609,-$B$11,0)+ $E$2*N609+$E$3*OFFSET(N609,-$B$11,0)+ $E$4*OFFSET(N609,-2* $B$11,0), O608)</f>
        <v/>
      </c>
      <c r="P609" s="15">
        <f>INT((2^$J$12-1)*O609/100)/(2^$J$12-1)*100</f>
        <v/>
      </c>
      <c r="Q609" s="15" t="n">
        <v>0</v>
      </c>
      <c r="R609" s="15">
        <f>P609+Q609</f>
        <v/>
      </c>
      <c r="S609" s="15">
        <f>$I$1*S608-$I$2*S607+$I$3*R588+$I$4*R587</f>
        <v/>
      </c>
      <c r="T609" s="15">
        <f>RAND()*$G$12</f>
        <v/>
      </c>
      <c r="U609" s="15">
        <f>S609+T609</f>
        <v/>
      </c>
      <c r="V609" s="15">
        <f>INT((2^$J$12-1)*U609/100)/(2^$J$12-1)*100</f>
        <v/>
      </c>
      <c r="X609" s="15">
        <f>M609 * 1.05</f>
        <v/>
      </c>
      <c r="Y609" s="15">
        <f>M609 * 0.95</f>
        <v/>
      </c>
      <c r="Z609" s="15">
        <f>IF(AND(V609 &lt;= X609, V609 &gt;= Y609), 1, 0)</f>
        <v/>
      </c>
    </row>
    <row r="610">
      <c r="L610" s="15" t="n">
        <v>608</v>
      </c>
      <c r="M610" s="15">
        <f>IF(L610&lt;$D$16,$D$13,IF(L610&lt;$E$16,$E$13,$F$13))</f>
        <v/>
      </c>
      <c r="N610" s="15">
        <f>M610-V610</f>
        <v/>
      </c>
      <c r="O610" s="15">
        <f>IF(MOD(L610,$B$11)=0,OFFSET(O610,-$B$11,0)+ $E$2*N610+$E$3*OFFSET(N610,-$B$11,0)+ $E$4*OFFSET(N610,-2* $B$11,0), O609)</f>
        <v/>
      </c>
      <c r="P610" s="15">
        <f>INT((2^$J$12-1)*O610/100)/(2^$J$12-1)*100</f>
        <v/>
      </c>
      <c r="Q610" s="15" t="n">
        <v>0</v>
      </c>
      <c r="R610" s="15">
        <f>P610+Q610</f>
        <v/>
      </c>
      <c r="S610" s="15">
        <f>$I$1*S609-$I$2*S608+$I$3*R589+$I$4*R588</f>
        <v/>
      </c>
      <c r="T610" s="15">
        <f>RAND()*$G$12</f>
        <v/>
      </c>
      <c r="U610" s="15">
        <f>S610+T610</f>
        <v/>
      </c>
      <c r="V610" s="15">
        <f>INT((2^$J$12-1)*U610/100)/(2^$J$12-1)*100</f>
        <v/>
      </c>
      <c r="X610" s="15">
        <f>M610 * 1.05</f>
        <v/>
      </c>
      <c r="Y610" s="15">
        <f>M610 * 0.95</f>
        <v/>
      </c>
      <c r="Z610" s="15">
        <f>IF(AND(V610 &lt;= X610, V610 &gt;= Y610), 1, 0)</f>
        <v/>
      </c>
    </row>
    <row r="611">
      <c r="L611" s="15" t="n">
        <v>609</v>
      </c>
      <c r="M611" s="15">
        <f>IF(L611&lt;$D$16,$D$13,IF(L611&lt;$E$16,$E$13,$F$13))</f>
        <v/>
      </c>
      <c r="N611" s="15">
        <f>M611-V611</f>
        <v/>
      </c>
      <c r="O611" s="15">
        <f>IF(MOD(L611,$B$11)=0,OFFSET(O611,-$B$11,0)+ $E$2*N611+$E$3*OFFSET(N611,-$B$11,0)+ $E$4*OFFSET(N611,-2* $B$11,0), O610)</f>
        <v/>
      </c>
      <c r="P611" s="15">
        <f>INT((2^$J$12-1)*O611/100)/(2^$J$12-1)*100</f>
        <v/>
      </c>
      <c r="Q611" s="15" t="n">
        <v>0</v>
      </c>
      <c r="R611" s="15">
        <f>P611+Q611</f>
        <v/>
      </c>
      <c r="S611" s="15">
        <f>$I$1*S610-$I$2*S609+$I$3*R590+$I$4*R589</f>
        <v/>
      </c>
      <c r="T611" s="15">
        <f>RAND()*$G$12</f>
        <v/>
      </c>
      <c r="U611" s="15">
        <f>S611+T611</f>
        <v/>
      </c>
      <c r="V611" s="15">
        <f>INT((2^$J$12-1)*U611/100)/(2^$J$12-1)*100</f>
        <v/>
      </c>
      <c r="X611" s="15">
        <f>M611 * 1.05</f>
        <v/>
      </c>
      <c r="Y611" s="15">
        <f>M611 * 0.95</f>
        <v/>
      </c>
      <c r="Z611" s="15">
        <f>IF(AND(V611 &lt;= X611, V611 &gt;= Y611), 1, 0)</f>
        <v/>
      </c>
    </row>
    <row r="612">
      <c r="L612" s="15" t="n">
        <v>610</v>
      </c>
      <c r="M612" s="15">
        <f>IF(L612&lt;$D$16,$D$13,IF(L612&lt;$E$16,$E$13,$F$13))</f>
        <v/>
      </c>
      <c r="N612" s="15">
        <f>M612-V612</f>
        <v/>
      </c>
      <c r="O612" s="15">
        <f>IF(MOD(L612,$B$11)=0,OFFSET(O612,-$B$11,0)+ $E$2*N612+$E$3*OFFSET(N612,-$B$11,0)+ $E$4*OFFSET(N612,-2* $B$11,0), O611)</f>
        <v/>
      </c>
      <c r="P612" s="15">
        <f>INT((2^$J$12-1)*O612/100)/(2^$J$12-1)*100</f>
        <v/>
      </c>
      <c r="Q612" s="15" t="n">
        <v>0</v>
      </c>
      <c r="R612" s="15">
        <f>P612+Q612</f>
        <v/>
      </c>
      <c r="S612" s="15">
        <f>$I$1*S611-$I$2*S610+$I$3*R591+$I$4*R590</f>
        <v/>
      </c>
      <c r="T612" s="15">
        <f>RAND()*$G$12</f>
        <v/>
      </c>
      <c r="U612" s="15">
        <f>S612+T612</f>
        <v/>
      </c>
      <c r="V612" s="15">
        <f>INT((2^$J$12-1)*U612/100)/(2^$J$12-1)*100</f>
        <v/>
      </c>
      <c r="X612" s="15">
        <f>M612 * 1.05</f>
        <v/>
      </c>
      <c r="Y612" s="15">
        <f>M612 * 0.95</f>
        <v/>
      </c>
      <c r="Z612" s="15">
        <f>IF(AND(V612 &lt;= X612, V612 &gt;= Y612), 1, 0)</f>
        <v/>
      </c>
    </row>
    <row r="613">
      <c r="L613" s="15" t="n">
        <v>611</v>
      </c>
      <c r="M613" s="15">
        <f>IF(L613&lt;$D$16,$D$13,IF(L613&lt;$E$16,$E$13,$F$13))</f>
        <v/>
      </c>
      <c r="N613" s="15">
        <f>M613-V613</f>
        <v/>
      </c>
      <c r="O613" s="15">
        <f>IF(MOD(L613,$B$11)=0,OFFSET(O613,-$B$11,0)+ $E$2*N613+$E$3*OFFSET(N613,-$B$11,0)+ $E$4*OFFSET(N613,-2* $B$11,0), O612)</f>
        <v/>
      </c>
      <c r="P613" s="15">
        <f>INT((2^$J$12-1)*O613/100)/(2^$J$12-1)*100</f>
        <v/>
      </c>
      <c r="Q613" s="15" t="n">
        <v>0</v>
      </c>
      <c r="R613" s="15">
        <f>P613+Q613</f>
        <v/>
      </c>
      <c r="S613" s="15">
        <f>$I$1*S612-$I$2*S611+$I$3*R592+$I$4*R591</f>
        <v/>
      </c>
      <c r="T613" s="15">
        <f>RAND()*$G$12</f>
        <v/>
      </c>
      <c r="U613" s="15">
        <f>S613+T613</f>
        <v/>
      </c>
      <c r="V613" s="15">
        <f>INT((2^$J$12-1)*U613/100)/(2^$J$12-1)*100</f>
        <v/>
      </c>
      <c r="X613" s="15">
        <f>M613 * 1.05</f>
        <v/>
      </c>
      <c r="Y613" s="15">
        <f>M613 * 0.95</f>
        <v/>
      </c>
      <c r="Z613" s="15">
        <f>IF(AND(V613 &lt;= X613, V613 &gt;= Y613), 1, 0)</f>
        <v/>
      </c>
    </row>
    <row r="614">
      <c r="L614" s="15" t="n">
        <v>612</v>
      </c>
      <c r="M614" s="15">
        <f>IF(L614&lt;$D$16,$D$13,IF(L614&lt;$E$16,$E$13,$F$13))</f>
        <v/>
      </c>
      <c r="N614" s="15">
        <f>M614-V614</f>
        <v/>
      </c>
      <c r="O614" s="15">
        <f>IF(MOD(L614,$B$11)=0,OFFSET(O614,-$B$11,0)+ $E$2*N614+$E$3*OFFSET(N614,-$B$11,0)+ $E$4*OFFSET(N614,-2* $B$11,0), O613)</f>
        <v/>
      </c>
      <c r="P614" s="15">
        <f>INT((2^$J$12-1)*O614/100)/(2^$J$12-1)*100</f>
        <v/>
      </c>
      <c r="Q614" s="15" t="n">
        <v>0</v>
      </c>
      <c r="R614" s="15">
        <f>P614+Q614</f>
        <v/>
      </c>
      <c r="S614" s="15">
        <f>$I$1*S613-$I$2*S612+$I$3*R593+$I$4*R592</f>
        <v/>
      </c>
      <c r="T614" s="15">
        <f>RAND()*$G$12</f>
        <v/>
      </c>
      <c r="U614" s="15">
        <f>S614+T614</f>
        <v/>
      </c>
      <c r="V614" s="15">
        <f>INT((2^$J$12-1)*U614/100)/(2^$J$12-1)*100</f>
        <v/>
      </c>
      <c r="X614" s="15">
        <f>M614 * 1.05</f>
        <v/>
      </c>
      <c r="Y614" s="15">
        <f>M614 * 0.95</f>
        <v/>
      </c>
      <c r="Z614" s="15">
        <f>IF(AND(V614 &lt;= X614, V614 &gt;= Y614), 1, 0)</f>
        <v/>
      </c>
    </row>
    <row r="615">
      <c r="L615" s="15" t="n">
        <v>613</v>
      </c>
      <c r="M615" s="15">
        <f>IF(L615&lt;$D$16,$D$13,IF(L615&lt;$E$16,$E$13,$F$13))</f>
        <v/>
      </c>
      <c r="N615" s="15">
        <f>M615-V615</f>
        <v/>
      </c>
      <c r="O615" s="15">
        <f>IF(MOD(L615,$B$11)=0,OFFSET(O615,-$B$11,0)+ $E$2*N615+$E$3*OFFSET(N615,-$B$11,0)+ $E$4*OFFSET(N615,-2* $B$11,0), O614)</f>
        <v/>
      </c>
      <c r="P615" s="15">
        <f>INT((2^$J$12-1)*O615/100)/(2^$J$12-1)*100</f>
        <v/>
      </c>
      <c r="Q615" s="15" t="n">
        <v>0</v>
      </c>
      <c r="R615" s="15">
        <f>P615+Q615</f>
        <v/>
      </c>
      <c r="S615" s="15">
        <f>$I$1*S614-$I$2*S613+$I$3*R594+$I$4*R593</f>
        <v/>
      </c>
      <c r="T615" s="15">
        <f>RAND()*$G$12</f>
        <v/>
      </c>
      <c r="U615" s="15">
        <f>S615+T615</f>
        <v/>
      </c>
      <c r="V615" s="15">
        <f>INT((2^$J$12-1)*U615/100)/(2^$J$12-1)*100</f>
        <v/>
      </c>
      <c r="X615" s="15">
        <f>M615 * 1.05</f>
        <v/>
      </c>
      <c r="Y615" s="15">
        <f>M615 * 0.95</f>
        <v/>
      </c>
      <c r="Z615" s="15">
        <f>IF(AND(V615 &lt;= X615, V615 &gt;= Y615), 1, 0)</f>
        <v/>
      </c>
    </row>
    <row r="616">
      <c r="L616" s="15" t="n">
        <v>614</v>
      </c>
      <c r="M616" s="15">
        <f>IF(L616&lt;$D$16,$D$13,IF(L616&lt;$E$16,$E$13,$F$13))</f>
        <v/>
      </c>
      <c r="N616" s="15">
        <f>M616-V616</f>
        <v/>
      </c>
      <c r="O616" s="15">
        <f>IF(MOD(L616,$B$11)=0,OFFSET(O616,-$B$11,0)+ $E$2*N616+$E$3*OFFSET(N616,-$B$11,0)+ $E$4*OFFSET(N616,-2* $B$11,0), O615)</f>
        <v/>
      </c>
      <c r="P616" s="15">
        <f>INT((2^$J$12-1)*O616/100)/(2^$J$12-1)*100</f>
        <v/>
      </c>
      <c r="Q616" s="15" t="n">
        <v>0</v>
      </c>
      <c r="R616" s="15">
        <f>P616+Q616</f>
        <v/>
      </c>
      <c r="S616" s="15">
        <f>$I$1*S615-$I$2*S614+$I$3*R595+$I$4*R594</f>
        <v/>
      </c>
      <c r="T616" s="15">
        <f>RAND()*$G$12</f>
        <v/>
      </c>
      <c r="U616" s="15">
        <f>S616+T616</f>
        <v/>
      </c>
      <c r="V616" s="15">
        <f>INT((2^$J$12-1)*U616/100)/(2^$J$12-1)*100</f>
        <v/>
      </c>
      <c r="X616" s="15">
        <f>M616 * 1.05</f>
        <v/>
      </c>
      <c r="Y616" s="15">
        <f>M616 * 0.95</f>
        <v/>
      </c>
      <c r="Z616" s="15">
        <f>IF(AND(V616 &lt;= X616, V616 &gt;= Y616), 1, 0)</f>
        <v/>
      </c>
    </row>
    <row r="617">
      <c r="L617" s="15" t="n">
        <v>615</v>
      </c>
      <c r="M617" s="15">
        <f>IF(L617&lt;$D$16,$D$13,IF(L617&lt;$E$16,$E$13,$F$13))</f>
        <v/>
      </c>
      <c r="N617" s="15">
        <f>M617-V617</f>
        <v/>
      </c>
      <c r="O617" s="15">
        <f>IF(MOD(L617,$B$11)=0,OFFSET(O617,-$B$11,0)+ $E$2*N617+$E$3*OFFSET(N617,-$B$11,0)+ $E$4*OFFSET(N617,-2* $B$11,0), O616)</f>
        <v/>
      </c>
      <c r="P617" s="15">
        <f>INT((2^$J$12-1)*O617/100)/(2^$J$12-1)*100</f>
        <v/>
      </c>
      <c r="Q617" s="15" t="n">
        <v>0</v>
      </c>
      <c r="R617" s="15">
        <f>P617+Q617</f>
        <v/>
      </c>
      <c r="S617" s="15">
        <f>$I$1*S616-$I$2*S615+$I$3*R596+$I$4*R595</f>
        <v/>
      </c>
      <c r="T617" s="15">
        <f>RAND()*$G$12</f>
        <v/>
      </c>
      <c r="U617" s="15">
        <f>S617+T617</f>
        <v/>
      </c>
      <c r="V617" s="15">
        <f>INT((2^$J$12-1)*U617/100)/(2^$J$12-1)*100</f>
        <v/>
      </c>
      <c r="X617" s="15">
        <f>M617 * 1.05</f>
        <v/>
      </c>
      <c r="Y617" s="15">
        <f>M617 * 0.95</f>
        <v/>
      </c>
      <c r="Z617" s="15">
        <f>IF(AND(V617 &lt;= X617, V617 &gt;= Y617), 1, 0)</f>
        <v/>
      </c>
    </row>
    <row r="618">
      <c r="L618" s="15" t="n">
        <v>616</v>
      </c>
      <c r="M618" s="15">
        <f>IF(L618&lt;$D$16,$D$13,IF(L618&lt;$E$16,$E$13,$F$13))</f>
        <v/>
      </c>
      <c r="N618" s="15">
        <f>M618-V618</f>
        <v/>
      </c>
      <c r="O618" s="15">
        <f>IF(MOD(L618,$B$11)=0,OFFSET(O618,-$B$11,0)+ $E$2*N618+$E$3*OFFSET(N618,-$B$11,0)+ $E$4*OFFSET(N618,-2* $B$11,0), O617)</f>
        <v/>
      </c>
      <c r="P618" s="15">
        <f>INT((2^$J$12-1)*O618/100)/(2^$J$12-1)*100</f>
        <v/>
      </c>
      <c r="Q618" s="15" t="n">
        <v>0</v>
      </c>
      <c r="R618" s="15">
        <f>P618+Q618</f>
        <v/>
      </c>
      <c r="S618" s="15">
        <f>$I$1*S617-$I$2*S616+$I$3*R597+$I$4*R596</f>
        <v/>
      </c>
      <c r="T618" s="15">
        <f>RAND()*$G$12</f>
        <v/>
      </c>
      <c r="U618" s="15">
        <f>S618+T618</f>
        <v/>
      </c>
      <c r="V618" s="15">
        <f>INT((2^$J$12-1)*U618/100)/(2^$J$12-1)*100</f>
        <v/>
      </c>
      <c r="X618" s="15">
        <f>M618 * 1.05</f>
        <v/>
      </c>
      <c r="Y618" s="15">
        <f>M618 * 0.95</f>
        <v/>
      </c>
      <c r="Z618" s="15">
        <f>IF(AND(V618 &lt;= X618, V618 &gt;= Y618), 1, 0)</f>
        <v/>
      </c>
    </row>
    <row r="619">
      <c r="L619" s="15" t="n">
        <v>617</v>
      </c>
      <c r="M619" s="15">
        <f>IF(L619&lt;$D$16,$D$13,IF(L619&lt;$E$16,$E$13,$F$13))</f>
        <v/>
      </c>
      <c r="N619" s="15">
        <f>M619-V619</f>
        <v/>
      </c>
      <c r="O619" s="15">
        <f>IF(MOD(L619,$B$11)=0,OFFSET(O619,-$B$11,0)+ $E$2*N619+$E$3*OFFSET(N619,-$B$11,0)+ $E$4*OFFSET(N619,-2* $B$11,0), O618)</f>
        <v/>
      </c>
      <c r="P619" s="15">
        <f>INT((2^$J$12-1)*O619/100)/(2^$J$12-1)*100</f>
        <v/>
      </c>
      <c r="Q619" s="15" t="n">
        <v>0</v>
      </c>
      <c r="R619" s="15">
        <f>P619+Q619</f>
        <v/>
      </c>
      <c r="S619" s="15">
        <f>$I$1*S618-$I$2*S617+$I$3*R598+$I$4*R597</f>
        <v/>
      </c>
      <c r="T619" s="15">
        <f>RAND()*$G$12</f>
        <v/>
      </c>
      <c r="U619" s="15">
        <f>S619+T619</f>
        <v/>
      </c>
      <c r="V619" s="15">
        <f>INT((2^$J$12-1)*U619/100)/(2^$J$12-1)*100</f>
        <v/>
      </c>
      <c r="X619" s="15">
        <f>M619 * 1.05</f>
        <v/>
      </c>
      <c r="Y619" s="15">
        <f>M619 * 0.95</f>
        <v/>
      </c>
      <c r="Z619" s="15">
        <f>IF(AND(V619 &lt;= X619, V619 &gt;= Y619), 1, 0)</f>
        <v/>
      </c>
    </row>
    <row r="620">
      <c r="L620" s="15" t="n">
        <v>618</v>
      </c>
      <c r="M620" s="15">
        <f>IF(L620&lt;$D$16,$D$13,IF(L620&lt;$E$16,$E$13,$F$13))</f>
        <v/>
      </c>
      <c r="N620" s="15">
        <f>M620-V620</f>
        <v/>
      </c>
      <c r="O620" s="15">
        <f>IF(MOD(L620,$B$11)=0,OFFSET(O620,-$B$11,0)+ $E$2*N620+$E$3*OFFSET(N620,-$B$11,0)+ $E$4*OFFSET(N620,-2* $B$11,0), O619)</f>
        <v/>
      </c>
      <c r="P620" s="15">
        <f>INT((2^$J$12-1)*O620/100)/(2^$J$12-1)*100</f>
        <v/>
      </c>
      <c r="Q620" s="15" t="n">
        <v>0</v>
      </c>
      <c r="R620" s="15">
        <f>P620+Q620</f>
        <v/>
      </c>
      <c r="S620" s="15">
        <f>$I$1*S619-$I$2*S618+$I$3*R599+$I$4*R598</f>
        <v/>
      </c>
      <c r="T620" s="15">
        <f>RAND()*$G$12</f>
        <v/>
      </c>
      <c r="U620" s="15">
        <f>S620+T620</f>
        <v/>
      </c>
      <c r="V620" s="15">
        <f>INT((2^$J$12-1)*U620/100)/(2^$J$12-1)*100</f>
        <v/>
      </c>
      <c r="X620" s="15">
        <f>M620 * 1.05</f>
        <v/>
      </c>
      <c r="Y620" s="15">
        <f>M620 * 0.95</f>
        <v/>
      </c>
      <c r="Z620" s="15">
        <f>IF(AND(V620 &lt;= X620, V620 &gt;= Y620), 1, 0)</f>
        <v/>
      </c>
    </row>
    <row r="621">
      <c r="L621" s="15" t="n">
        <v>619</v>
      </c>
      <c r="M621" s="15">
        <f>IF(L621&lt;$D$16,$D$13,IF(L621&lt;$E$16,$E$13,$F$13))</f>
        <v/>
      </c>
      <c r="N621" s="15">
        <f>M621-V621</f>
        <v/>
      </c>
      <c r="O621" s="15">
        <f>IF(MOD(L621,$B$11)=0,OFFSET(O621,-$B$11,0)+ $E$2*N621+$E$3*OFFSET(N621,-$B$11,0)+ $E$4*OFFSET(N621,-2* $B$11,0), O620)</f>
        <v/>
      </c>
      <c r="P621" s="15">
        <f>INT((2^$J$12-1)*O621/100)/(2^$J$12-1)*100</f>
        <v/>
      </c>
      <c r="Q621" s="15" t="n">
        <v>0</v>
      </c>
      <c r="R621" s="15">
        <f>P621+Q621</f>
        <v/>
      </c>
      <c r="S621" s="15">
        <f>$I$1*S620-$I$2*S619+$I$3*R600+$I$4*R599</f>
        <v/>
      </c>
      <c r="T621" s="15">
        <f>RAND()*$G$12</f>
        <v/>
      </c>
      <c r="U621" s="15">
        <f>S621+T621</f>
        <v/>
      </c>
      <c r="V621" s="15">
        <f>INT((2^$J$12-1)*U621/100)/(2^$J$12-1)*100</f>
        <v/>
      </c>
      <c r="X621" s="15">
        <f>M621 * 1.05</f>
        <v/>
      </c>
      <c r="Y621" s="15">
        <f>M621 * 0.95</f>
        <v/>
      </c>
      <c r="Z621" s="15">
        <f>IF(AND(V621 &lt;= X621, V621 &gt;= Y621), 1, 0)</f>
        <v/>
      </c>
    </row>
    <row r="622">
      <c r="L622" s="15" t="n">
        <v>620</v>
      </c>
      <c r="M622" s="15">
        <f>IF(L622&lt;$D$16,$D$13,IF(L622&lt;$E$16,$E$13,$F$13))</f>
        <v/>
      </c>
      <c r="N622" s="15">
        <f>M622-V622</f>
        <v/>
      </c>
      <c r="O622" s="15">
        <f>IF(MOD(L622,$B$11)=0,OFFSET(O622,-$B$11,0)+ $E$2*N622+$E$3*OFFSET(N622,-$B$11,0)+ $E$4*OFFSET(N622,-2* $B$11,0), O621)</f>
        <v/>
      </c>
      <c r="P622" s="15">
        <f>INT((2^$J$12-1)*O622/100)/(2^$J$12-1)*100</f>
        <v/>
      </c>
      <c r="Q622" s="15" t="n">
        <v>0</v>
      </c>
      <c r="R622" s="15">
        <f>P622+Q622</f>
        <v/>
      </c>
      <c r="S622" s="15">
        <f>$I$1*S621-$I$2*S620+$I$3*R601+$I$4*R600</f>
        <v/>
      </c>
      <c r="T622" s="15">
        <f>RAND()*$G$12</f>
        <v/>
      </c>
      <c r="U622" s="15">
        <f>S622+T622</f>
        <v/>
      </c>
      <c r="V622" s="15">
        <f>INT((2^$J$12-1)*U622/100)/(2^$J$12-1)*100</f>
        <v/>
      </c>
      <c r="X622" s="15">
        <f>M622 * 1.05</f>
        <v/>
      </c>
      <c r="Y622" s="15">
        <f>M622 * 0.95</f>
        <v/>
      </c>
      <c r="Z622" s="15">
        <f>IF(AND(V622 &lt;= X622, V622 &gt;= Y622), 1, 0)</f>
        <v/>
      </c>
    </row>
    <row r="623">
      <c r="L623" s="15" t="n">
        <v>621</v>
      </c>
      <c r="M623" s="15">
        <f>IF(L623&lt;$D$16,$D$13,IF(L623&lt;$E$16,$E$13,$F$13))</f>
        <v/>
      </c>
      <c r="N623" s="15">
        <f>M623-V623</f>
        <v/>
      </c>
      <c r="O623" s="15">
        <f>IF(MOD(L623,$B$11)=0,OFFSET(O623,-$B$11,0)+ $E$2*N623+$E$3*OFFSET(N623,-$B$11,0)+ $E$4*OFFSET(N623,-2* $B$11,0), O622)</f>
        <v/>
      </c>
      <c r="P623" s="15">
        <f>INT((2^$J$12-1)*O623/100)/(2^$J$12-1)*100</f>
        <v/>
      </c>
      <c r="Q623" s="15" t="n">
        <v>0</v>
      </c>
      <c r="R623" s="15">
        <f>P623+Q623</f>
        <v/>
      </c>
      <c r="S623" s="15">
        <f>$I$1*S622-$I$2*S621+$I$3*R602+$I$4*R601</f>
        <v/>
      </c>
      <c r="T623" s="15">
        <f>RAND()*$G$12</f>
        <v/>
      </c>
      <c r="U623" s="15">
        <f>S623+T623</f>
        <v/>
      </c>
      <c r="V623" s="15">
        <f>INT((2^$J$12-1)*U623/100)/(2^$J$12-1)*100</f>
        <v/>
      </c>
      <c r="X623" s="15">
        <f>M623 * 1.05</f>
        <v/>
      </c>
      <c r="Y623" s="15">
        <f>M623 * 0.95</f>
        <v/>
      </c>
      <c r="Z623" s="15">
        <f>IF(AND(V623 &lt;= X623, V623 &gt;= Y623), 1, 0)</f>
        <v/>
      </c>
    </row>
    <row r="624">
      <c r="L624" s="15" t="n">
        <v>622</v>
      </c>
      <c r="M624" s="15">
        <f>IF(L624&lt;$D$16,$D$13,IF(L624&lt;$E$16,$E$13,$F$13))</f>
        <v/>
      </c>
      <c r="N624" s="15">
        <f>M624-V624</f>
        <v/>
      </c>
      <c r="O624" s="15">
        <f>IF(MOD(L624,$B$11)=0,OFFSET(O624,-$B$11,0)+ $E$2*N624+$E$3*OFFSET(N624,-$B$11,0)+ $E$4*OFFSET(N624,-2* $B$11,0), O623)</f>
        <v/>
      </c>
      <c r="P624" s="15">
        <f>INT((2^$J$12-1)*O624/100)/(2^$J$12-1)*100</f>
        <v/>
      </c>
      <c r="Q624" s="15" t="n">
        <v>0</v>
      </c>
      <c r="R624" s="15">
        <f>P624+Q624</f>
        <v/>
      </c>
      <c r="S624" s="15">
        <f>$I$1*S623-$I$2*S622+$I$3*R603+$I$4*R602</f>
        <v/>
      </c>
      <c r="T624" s="15">
        <f>RAND()*$G$12</f>
        <v/>
      </c>
      <c r="U624" s="15">
        <f>S624+T624</f>
        <v/>
      </c>
      <c r="V624" s="15">
        <f>INT((2^$J$12-1)*U624/100)/(2^$J$12-1)*100</f>
        <v/>
      </c>
      <c r="X624" s="15">
        <f>M624 * 1.05</f>
        <v/>
      </c>
      <c r="Y624" s="15">
        <f>M624 * 0.95</f>
        <v/>
      </c>
      <c r="Z624" s="15">
        <f>IF(AND(V624 &lt;= X624, V624 &gt;= Y624), 1, 0)</f>
        <v/>
      </c>
    </row>
    <row r="625">
      <c r="L625" s="15" t="n">
        <v>623</v>
      </c>
      <c r="M625" s="15">
        <f>IF(L625&lt;$D$16,$D$13,IF(L625&lt;$E$16,$E$13,$F$13))</f>
        <v/>
      </c>
      <c r="N625" s="15">
        <f>M625-V625</f>
        <v/>
      </c>
      <c r="O625" s="15">
        <f>IF(MOD(L625,$B$11)=0,OFFSET(O625,-$B$11,0)+ $E$2*N625+$E$3*OFFSET(N625,-$B$11,0)+ $E$4*OFFSET(N625,-2* $B$11,0), O624)</f>
        <v/>
      </c>
      <c r="P625" s="15">
        <f>INT((2^$J$12-1)*O625/100)/(2^$J$12-1)*100</f>
        <v/>
      </c>
      <c r="Q625" s="15" t="n">
        <v>0</v>
      </c>
      <c r="R625" s="15">
        <f>P625+Q625</f>
        <v/>
      </c>
      <c r="S625" s="15">
        <f>$I$1*S624-$I$2*S623+$I$3*R604+$I$4*R603</f>
        <v/>
      </c>
      <c r="T625" s="15">
        <f>RAND()*$G$12</f>
        <v/>
      </c>
      <c r="U625" s="15">
        <f>S625+T625</f>
        <v/>
      </c>
      <c r="V625" s="15">
        <f>INT((2^$J$12-1)*U625/100)/(2^$J$12-1)*100</f>
        <v/>
      </c>
      <c r="X625" s="15">
        <f>M625 * 1.05</f>
        <v/>
      </c>
      <c r="Y625" s="15">
        <f>M625 * 0.95</f>
        <v/>
      </c>
      <c r="Z625" s="15">
        <f>IF(AND(V625 &lt;= X625, V625 &gt;= Y625), 1, 0)</f>
        <v/>
      </c>
    </row>
    <row r="626">
      <c r="L626" s="15" t="n">
        <v>624</v>
      </c>
      <c r="M626" s="15">
        <f>IF(L626&lt;$D$16,$D$13,IF(L626&lt;$E$16,$E$13,$F$13))</f>
        <v/>
      </c>
      <c r="N626" s="15">
        <f>M626-V626</f>
        <v/>
      </c>
      <c r="O626" s="15">
        <f>IF(MOD(L626,$B$11)=0,OFFSET(O626,-$B$11,0)+ $E$2*N626+$E$3*OFFSET(N626,-$B$11,0)+ $E$4*OFFSET(N626,-2* $B$11,0), O625)</f>
        <v/>
      </c>
      <c r="P626" s="15">
        <f>INT((2^$J$12-1)*O626/100)/(2^$J$12-1)*100</f>
        <v/>
      </c>
      <c r="Q626" s="15" t="n">
        <v>0</v>
      </c>
      <c r="R626" s="15">
        <f>P626+Q626</f>
        <v/>
      </c>
      <c r="S626" s="15">
        <f>$I$1*S625-$I$2*S624+$I$3*R605+$I$4*R604</f>
        <v/>
      </c>
      <c r="T626" s="15">
        <f>RAND()*$G$12</f>
        <v/>
      </c>
      <c r="U626" s="15">
        <f>S626+T626</f>
        <v/>
      </c>
      <c r="V626" s="15">
        <f>INT((2^$J$12-1)*U626/100)/(2^$J$12-1)*100</f>
        <v/>
      </c>
      <c r="X626" s="15">
        <f>M626 * 1.05</f>
        <v/>
      </c>
      <c r="Y626" s="15">
        <f>M626 * 0.95</f>
        <v/>
      </c>
      <c r="Z626" s="15">
        <f>IF(AND(V626 &lt;= X626, V626 &gt;= Y626), 1, 0)</f>
        <v/>
      </c>
    </row>
    <row r="627">
      <c r="L627" s="15" t="n">
        <v>625</v>
      </c>
      <c r="M627" s="15">
        <f>IF(L627&lt;$D$16,$D$13,IF(L627&lt;$E$16,$E$13,$F$13))</f>
        <v/>
      </c>
      <c r="N627" s="15">
        <f>M627-V627</f>
        <v/>
      </c>
      <c r="O627" s="15">
        <f>IF(MOD(L627,$B$11)=0,OFFSET(O627,-$B$11,0)+ $E$2*N627+$E$3*OFFSET(N627,-$B$11,0)+ $E$4*OFFSET(N627,-2* $B$11,0), O626)</f>
        <v/>
      </c>
      <c r="P627" s="15">
        <f>INT((2^$J$12-1)*O627/100)/(2^$J$12-1)*100</f>
        <v/>
      </c>
      <c r="Q627" s="15" t="n">
        <v>0</v>
      </c>
      <c r="R627" s="15">
        <f>P627+Q627</f>
        <v/>
      </c>
      <c r="S627" s="15">
        <f>$I$1*S626-$I$2*S625+$I$3*R606+$I$4*R605</f>
        <v/>
      </c>
      <c r="T627" s="15">
        <f>RAND()*$G$12</f>
        <v/>
      </c>
      <c r="U627" s="15">
        <f>S627+T627</f>
        <v/>
      </c>
      <c r="V627" s="15">
        <f>INT((2^$J$12-1)*U627/100)/(2^$J$12-1)*100</f>
        <v/>
      </c>
      <c r="X627" s="15">
        <f>M627 * 1.05</f>
        <v/>
      </c>
      <c r="Y627" s="15">
        <f>M627 * 0.95</f>
        <v/>
      </c>
      <c r="Z627" s="15">
        <f>IF(AND(V627 &lt;= X627, V627 &gt;= Y627), 1, 0)</f>
        <v/>
      </c>
    </row>
    <row r="628">
      <c r="L628" s="15" t="n">
        <v>626</v>
      </c>
      <c r="M628" s="15">
        <f>IF(L628&lt;$D$16,$D$13,IF(L628&lt;$E$16,$E$13,$F$13))</f>
        <v/>
      </c>
      <c r="N628" s="15">
        <f>M628-V628</f>
        <v/>
      </c>
      <c r="O628" s="15">
        <f>IF(MOD(L628,$B$11)=0,OFFSET(O628,-$B$11,0)+ $E$2*N628+$E$3*OFFSET(N628,-$B$11,0)+ $E$4*OFFSET(N628,-2* $B$11,0), O627)</f>
        <v/>
      </c>
      <c r="P628" s="15">
        <f>INT((2^$J$12-1)*O628/100)/(2^$J$12-1)*100</f>
        <v/>
      </c>
      <c r="Q628" s="15" t="n">
        <v>0</v>
      </c>
      <c r="R628" s="15">
        <f>P628+Q628</f>
        <v/>
      </c>
      <c r="S628" s="15">
        <f>$I$1*S627-$I$2*S626+$I$3*R607+$I$4*R606</f>
        <v/>
      </c>
      <c r="T628" s="15">
        <f>RAND()*$G$12</f>
        <v/>
      </c>
      <c r="U628" s="15">
        <f>S628+T628</f>
        <v/>
      </c>
      <c r="V628" s="15">
        <f>INT((2^$J$12-1)*U628/100)/(2^$J$12-1)*100</f>
        <v/>
      </c>
      <c r="X628" s="15">
        <f>M628 * 1.05</f>
        <v/>
      </c>
      <c r="Y628" s="15">
        <f>M628 * 0.95</f>
        <v/>
      </c>
      <c r="Z628" s="15">
        <f>IF(AND(V628 &lt;= X628, V628 &gt;= Y628), 1, 0)</f>
        <v/>
      </c>
    </row>
    <row r="629">
      <c r="L629" s="15" t="n">
        <v>627</v>
      </c>
      <c r="M629" s="15">
        <f>IF(L629&lt;$D$16,$D$13,IF(L629&lt;$E$16,$E$13,$F$13))</f>
        <v/>
      </c>
      <c r="N629" s="15">
        <f>M629-V629</f>
        <v/>
      </c>
      <c r="O629" s="15">
        <f>IF(MOD(L629,$B$11)=0,OFFSET(O629,-$B$11,0)+ $E$2*N629+$E$3*OFFSET(N629,-$B$11,0)+ $E$4*OFFSET(N629,-2* $B$11,0), O628)</f>
        <v/>
      </c>
      <c r="P629" s="15">
        <f>INT((2^$J$12-1)*O629/100)/(2^$J$12-1)*100</f>
        <v/>
      </c>
      <c r="Q629" s="15" t="n">
        <v>0</v>
      </c>
      <c r="R629" s="15">
        <f>P629+Q629</f>
        <v/>
      </c>
      <c r="S629" s="15">
        <f>$I$1*S628-$I$2*S627+$I$3*R608+$I$4*R607</f>
        <v/>
      </c>
      <c r="T629" s="15">
        <f>RAND()*$G$12</f>
        <v/>
      </c>
      <c r="U629" s="15">
        <f>S629+T629</f>
        <v/>
      </c>
      <c r="V629" s="15">
        <f>INT((2^$J$12-1)*U629/100)/(2^$J$12-1)*100</f>
        <v/>
      </c>
      <c r="X629" s="15">
        <f>M629 * 1.05</f>
        <v/>
      </c>
      <c r="Y629" s="15">
        <f>M629 * 0.95</f>
        <v/>
      </c>
      <c r="Z629" s="15">
        <f>IF(AND(V629 &lt;= X629, V629 &gt;= Y629), 1, 0)</f>
        <v/>
      </c>
    </row>
    <row r="630">
      <c r="L630" s="15" t="n">
        <v>628</v>
      </c>
      <c r="M630" s="15">
        <f>IF(L630&lt;$D$16,$D$13,IF(L630&lt;$E$16,$E$13,$F$13))</f>
        <v/>
      </c>
      <c r="N630" s="15">
        <f>M630-V630</f>
        <v/>
      </c>
      <c r="O630" s="15">
        <f>IF(MOD(L630,$B$11)=0,OFFSET(O630,-$B$11,0)+ $E$2*N630+$E$3*OFFSET(N630,-$B$11,0)+ $E$4*OFFSET(N630,-2* $B$11,0), O629)</f>
        <v/>
      </c>
      <c r="P630" s="15">
        <f>INT((2^$J$12-1)*O630/100)/(2^$J$12-1)*100</f>
        <v/>
      </c>
      <c r="Q630" s="15" t="n">
        <v>0</v>
      </c>
      <c r="R630" s="15">
        <f>P630+Q630</f>
        <v/>
      </c>
      <c r="S630" s="15">
        <f>$I$1*S629-$I$2*S628+$I$3*R609+$I$4*R608</f>
        <v/>
      </c>
      <c r="T630" s="15">
        <f>RAND()*$G$12</f>
        <v/>
      </c>
      <c r="U630" s="15">
        <f>S630+T630</f>
        <v/>
      </c>
      <c r="V630" s="15">
        <f>INT((2^$J$12-1)*U630/100)/(2^$J$12-1)*100</f>
        <v/>
      </c>
      <c r="X630" s="15">
        <f>M630 * 1.05</f>
        <v/>
      </c>
      <c r="Y630" s="15">
        <f>M630 * 0.95</f>
        <v/>
      </c>
      <c r="Z630" s="15">
        <f>IF(AND(V630 &lt;= X630, V630 &gt;= Y630), 1, 0)</f>
        <v/>
      </c>
    </row>
    <row r="631">
      <c r="L631" s="15" t="n">
        <v>629</v>
      </c>
      <c r="M631" s="15">
        <f>IF(L631&lt;$D$16,$D$13,IF(L631&lt;$E$16,$E$13,$F$13))</f>
        <v/>
      </c>
      <c r="N631" s="15">
        <f>M631-V631</f>
        <v/>
      </c>
      <c r="O631" s="15">
        <f>IF(MOD(L631,$B$11)=0,OFFSET(O631,-$B$11,0)+ $E$2*N631+$E$3*OFFSET(N631,-$B$11,0)+ $E$4*OFFSET(N631,-2* $B$11,0), O630)</f>
        <v/>
      </c>
      <c r="P631" s="15">
        <f>INT((2^$J$12-1)*O631/100)/(2^$J$12-1)*100</f>
        <v/>
      </c>
      <c r="Q631" s="15" t="n">
        <v>0</v>
      </c>
      <c r="R631" s="15">
        <f>P631+Q631</f>
        <v/>
      </c>
      <c r="S631" s="15">
        <f>$I$1*S630-$I$2*S629+$I$3*R610+$I$4*R609</f>
        <v/>
      </c>
      <c r="T631" s="15">
        <f>RAND()*$G$12</f>
        <v/>
      </c>
      <c r="U631" s="15">
        <f>S631+T631</f>
        <v/>
      </c>
      <c r="V631" s="15">
        <f>INT((2^$J$12-1)*U631/100)/(2^$J$12-1)*100</f>
        <v/>
      </c>
      <c r="X631" s="15">
        <f>M631 * 1.05</f>
        <v/>
      </c>
      <c r="Y631" s="15">
        <f>M631 * 0.95</f>
        <v/>
      </c>
      <c r="Z631" s="15">
        <f>IF(AND(V631 &lt;= X631, V631 &gt;= Y631), 1, 0)</f>
        <v/>
      </c>
    </row>
    <row r="632">
      <c r="L632" s="15" t="n">
        <v>630</v>
      </c>
      <c r="M632" s="15">
        <f>IF(L632&lt;$D$16,$D$13,IF(L632&lt;$E$16,$E$13,$F$13))</f>
        <v/>
      </c>
      <c r="N632" s="15">
        <f>M632-V632</f>
        <v/>
      </c>
      <c r="O632" s="15">
        <f>IF(MOD(L632,$B$11)=0,OFFSET(O632,-$B$11,0)+ $E$2*N632+$E$3*OFFSET(N632,-$B$11,0)+ $E$4*OFFSET(N632,-2* $B$11,0), O631)</f>
        <v/>
      </c>
      <c r="P632" s="15">
        <f>INT((2^$J$12-1)*O632/100)/(2^$J$12-1)*100</f>
        <v/>
      </c>
      <c r="Q632" s="15" t="n">
        <v>0</v>
      </c>
      <c r="R632" s="15">
        <f>P632+Q632</f>
        <v/>
      </c>
      <c r="S632" s="15">
        <f>$I$1*S631-$I$2*S630+$I$3*R611+$I$4*R610</f>
        <v/>
      </c>
      <c r="T632" s="15">
        <f>RAND()*$G$12</f>
        <v/>
      </c>
      <c r="U632" s="15">
        <f>S632+T632</f>
        <v/>
      </c>
      <c r="V632" s="15">
        <f>INT((2^$J$12-1)*U632/100)/(2^$J$12-1)*100</f>
        <v/>
      </c>
      <c r="X632" s="15">
        <f>M632 * 1.05</f>
        <v/>
      </c>
      <c r="Y632" s="15">
        <f>M632 * 0.95</f>
        <v/>
      </c>
      <c r="Z632" s="15">
        <f>IF(AND(V632 &lt;= X632, V632 &gt;= Y632), 1, 0)</f>
        <v/>
      </c>
    </row>
    <row r="633">
      <c r="L633" s="15" t="n">
        <v>631</v>
      </c>
      <c r="M633" s="15">
        <f>IF(L633&lt;$D$16,$D$13,IF(L633&lt;$E$16,$E$13,$F$13))</f>
        <v/>
      </c>
      <c r="N633" s="15">
        <f>M633-V633</f>
        <v/>
      </c>
      <c r="O633" s="15">
        <f>IF(MOD(L633,$B$11)=0,OFFSET(O633,-$B$11,0)+ $E$2*N633+$E$3*OFFSET(N633,-$B$11,0)+ $E$4*OFFSET(N633,-2* $B$11,0), O632)</f>
        <v/>
      </c>
      <c r="P633" s="15">
        <f>INT((2^$J$12-1)*O633/100)/(2^$J$12-1)*100</f>
        <v/>
      </c>
      <c r="Q633" s="15" t="n">
        <v>0</v>
      </c>
      <c r="R633" s="15">
        <f>P633+Q633</f>
        <v/>
      </c>
      <c r="S633" s="15">
        <f>$I$1*S632-$I$2*S631+$I$3*R612+$I$4*R611</f>
        <v/>
      </c>
      <c r="T633" s="15">
        <f>RAND()*$G$12</f>
        <v/>
      </c>
      <c r="U633" s="15">
        <f>S633+T633</f>
        <v/>
      </c>
      <c r="V633" s="15">
        <f>INT((2^$J$12-1)*U633/100)/(2^$J$12-1)*100</f>
        <v/>
      </c>
      <c r="X633" s="15">
        <f>M633 * 1.05</f>
        <v/>
      </c>
      <c r="Y633" s="15">
        <f>M633 * 0.95</f>
        <v/>
      </c>
      <c r="Z633" s="15">
        <f>IF(AND(V633 &lt;= X633, V633 &gt;= Y633), 1, 0)</f>
        <v/>
      </c>
    </row>
    <row r="634">
      <c r="L634" s="15" t="n">
        <v>632</v>
      </c>
      <c r="M634" s="15">
        <f>IF(L634&lt;$D$16,$D$13,IF(L634&lt;$E$16,$E$13,$F$13))</f>
        <v/>
      </c>
      <c r="N634" s="15">
        <f>M634-V634</f>
        <v/>
      </c>
      <c r="O634" s="15">
        <f>IF(MOD(L634,$B$11)=0,OFFSET(O634,-$B$11,0)+ $E$2*N634+$E$3*OFFSET(N634,-$B$11,0)+ $E$4*OFFSET(N634,-2* $B$11,0), O633)</f>
        <v/>
      </c>
      <c r="P634" s="15">
        <f>INT((2^$J$12-1)*O634/100)/(2^$J$12-1)*100</f>
        <v/>
      </c>
      <c r="Q634" s="15" t="n">
        <v>0</v>
      </c>
      <c r="R634" s="15">
        <f>P634+Q634</f>
        <v/>
      </c>
      <c r="S634" s="15">
        <f>$I$1*S633-$I$2*S632+$I$3*R613+$I$4*R612</f>
        <v/>
      </c>
      <c r="T634" s="15">
        <f>RAND()*$G$12</f>
        <v/>
      </c>
      <c r="U634" s="15">
        <f>S634+T634</f>
        <v/>
      </c>
      <c r="V634" s="15">
        <f>INT((2^$J$12-1)*U634/100)/(2^$J$12-1)*100</f>
        <v/>
      </c>
      <c r="X634" s="15">
        <f>M634 * 1.05</f>
        <v/>
      </c>
      <c r="Y634" s="15">
        <f>M634 * 0.95</f>
        <v/>
      </c>
      <c r="Z634" s="15">
        <f>IF(AND(V634 &lt;= X634, V634 &gt;= Y634), 1, 0)</f>
        <v/>
      </c>
    </row>
    <row r="635">
      <c r="L635" s="15" t="n">
        <v>633</v>
      </c>
      <c r="M635" s="15">
        <f>IF(L635&lt;$D$16,$D$13,IF(L635&lt;$E$16,$E$13,$F$13))</f>
        <v/>
      </c>
      <c r="N635" s="15">
        <f>M635-V635</f>
        <v/>
      </c>
      <c r="O635" s="15">
        <f>IF(MOD(L635,$B$11)=0,OFFSET(O635,-$B$11,0)+ $E$2*N635+$E$3*OFFSET(N635,-$B$11,0)+ $E$4*OFFSET(N635,-2* $B$11,0), O634)</f>
        <v/>
      </c>
      <c r="P635" s="15">
        <f>INT((2^$J$12-1)*O635/100)/(2^$J$12-1)*100</f>
        <v/>
      </c>
      <c r="Q635" s="15" t="n">
        <v>0</v>
      </c>
      <c r="R635" s="15">
        <f>P635+Q635</f>
        <v/>
      </c>
      <c r="S635" s="15">
        <f>$I$1*S634-$I$2*S633+$I$3*R614+$I$4*R613</f>
        <v/>
      </c>
      <c r="T635" s="15">
        <f>RAND()*$G$12</f>
        <v/>
      </c>
      <c r="U635" s="15">
        <f>S635+T635</f>
        <v/>
      </c>
      <c r="V635" s="15">
        <f>INT((2^$J$12-1)*U635/100)/(2^$J$12-1)*100</f>
        <v/>
      </c>
      <c r="X635" s="15">
        <f>M635 * 1.05</f>
        <v/>
      </c>
      <c r="Y635" s="15">
        <f>M635 * 0.95</f>
        <v/>
      </c>
      <c r="Z635" s="15">
        <f>IF(AND(V635 &lt;= X635, V635 &gt;= Y635), 1, 0)</f>
        <v/>
      </c>
    </row>
    <row r="636">
      <c r="L636" s="15" t="n">
        <v>634</v>
      </c>
      <c r="M636" s="15">
        <f>IF(L636&lt;$D$16,$D$13,IF(L636&lt;$E$16,$E$13,$F$13))</f>
        <v/>
      </c>
      <c r="N636" s="15">
        <f>M636-V636</f>
        <v/>
      </c>
      <c r="O636" s="15">
        <f>IF(MOD(L636,$B$11)=0,OFFSET(O636,-$B$11,0)+ $E$2*N636+$E$3*OFFSET(N636,-$B$11,0)+ $E$4*OFFSET(N636,-2* $B$11,0), O635)</f>
        <v/>
      </c>
      <c r="P636" s="15">
        <f>INT((2^$J$12-1)*O636/100)/(2^$J$12-1)*100</f>
        <v/>
      </c>
      <c r="Q636" s="15" t="n">
        <v>0</v>
      </c>
      <c r="R636" s="15">
        <f>P636+Q636</f>
        <v/>
      </c>
      <c r="S636" s="15">
        <f>$I$1*S635-$I$2*S634+$I$3*R615+$I$4*R614</f>
        <v/>
      </c>
      <c r="T636" s="15">
        <f>RAND()*$G$12</f>
        <v/>
      </c>
      <c r="U636" s="15">
        <f>S636+T636</f>
        <v/>
      </c>
      <c r="V636" s="15">
        <f>INT((2^$J$12-1)*U636/100)/(2^$J$12-1)*100</f>
        <v/>
      </c>
      <c r="X636" s="15">
        <f>M636 * 1.05</f>
        <v/>
      </c>
      <c r="Y636" s="15">
        <f>M636 * 0.95</f>
        <v/>
      </c>
      <c r="Z636" s="15">
        <f>IF(AND(V636 &lt;= X636, V636 &gt;= Y636), 1, 0)</f>
        <v/>
      </c>
    </row>
    <row r="637">
      <c r="L637" s="15" t="n">
        <v>635</v>
      </c>
      <c r="M637" s="15">
        <f>IF(L637&lt;$D$16,$D$13,IF(L637&lt;$E$16,$E$13,$F$13))</f>
        <v/>
      </c>
      <c r="N637" s="15">
        <f>M637-V637</f>
        <v/>
      </c>
      <c r="O637" s="15">
        <f>IF(MOD(L637,$B$11)=0,OFFSET(O637,-$B$11,0)+ $E$2*N637+$E$3*OFFSET(N637,-$B$11,0)+ $E$4*OFFSET(N637,-2* $B$11,0), O636)</f>
        <v/>
      </c>
      <c r="P637" s="15">
        <f>INT((2^$J$12-1)*O637/100)/(2^$J$12-1)*100</f>
        <v/>
      </c>
      <c r="Q637" s="15" t="n">
        <v>0</v>
      </c>
      <c r="R637" s="15">
        <f>P637+Q637</f>
        <v/>
      </c>
      <c r="S637" s="15">
        <f>$I$1*S636-$I$2*S635+$I$3*R616+$I$4*R615</f>
        <v/>
      </c>
      <c r="T637" s="15">
        <f>RAND()*$G$12</f>
        <v/>
      </c>
      <c r="U637" s="15">
        <f>S637+T637</f>
        <v/>
      </c>
      <c r="V637" s="15">
        <f>INT((2^$J$12-1)*U637/100)/(2^$J$12-1)*100</f>
        <v/>
      </c>
      <c r="X637" s="15">
        <f>M637 * 1.05</f>
        <v/>
      </c>
      <c r="Y637" s="15">
        <f>M637 * 0.95</f>
        <v/>
      </c>
      <c r="Z637" s="15">
        <f>IF(AND(V637 &lt;= X637, V637 &gt;= Y637), 1, 0)</f>
        <v/>
      </c>
    </row>
    <row r="638">
      <c r="L638" s="15" t="n">
        <v>636</v>
      </c>
      <c r="M638" s="15">
        <f>IF(L638&lt;$D$16,$D$13,IF(L638&lt;$E$16,$E$13,$F$13))</f>
        <v/>
      </c>
      <c r="N638" s="15">
        <f>M638-V638</f>
        <v/>
      </c>
      <c r="O638" s="15">
        <f>IF(MOD(L638,$B$11)=0,OFFSET(O638,-$B$11,0)+ $E$2*N638+$E$3*OFFSET(N638,-$B$11,0)+ $E$4*OFFSET(N638,-2* $B$11,0), O637)</f>
        <v/>
      </c>
      <c r="P638" s="15">
        <f>INT((2^$J$12-1)*O638/100)/(2^$J$12-1)*100</f>
        <v/>
      </c>
      <c r="Q638" s="15" t="n">
        <v>0</v>
      </c>
      <c r="R638" s="15">
        <f>P638+Q638</f>
        <v/>
      </c>
      <c r="S638" s="15">
        <f>$I$1*S637-$I$2*S636+$I$3*R617+$I$4*R616</f>
        <v/>
      </c>
      <c r="T638" s="15">
        <f>RAND()*$G$12</f>
        <v/>
      </c>
      <c r="U638" s="15">
        <f>S638+T638</f>
        <v/>
      </c>
      <c r="V638" s="15">
        <f>INT((2^$J$12-1)*U638/100)/(2^$J$12-1)*100</f>
        <v/>
      </c>
      <c r="X638" s="15">
        <f>M638 * 1.05</f>
        <v/>
      </c>
      <c r="Y638" s="15">
        <f>M638 * 0.95</f>
        <v/>
      </c>
      <c r="Z638" s="15">
        <f>IF(AND(V638 &lt;= X638, V638 &gt;= Y638), 1, 0)</f>
        <v/>
      </c>
    </row>
    <row r="639">
      <c r="L639" s="15" t="n">
        <v>637</v>
      </c>
      <c r="M639" s="15">
        <f>IF(L639&lt;$D$16,$D$13,IF(L639&lt;$E$16,$E$13,$F$13))</f>
        <v/>
      </c>
      <c r="N639" s="15">
        <f>M639-V639</f>
        <v/>
      </c>
      <c r="O639" s="15">
        <f>IF(MOD(L639,$B$11)=0,OFFSET(O639,-$B$11,0)+ $E$2*N639+$E$3*OFFSET(N639,-$B$11,0)+ $E$4*OFFSET(N639,-2* $B$11,0), O638)</f>
        <v/>
      </c>
      <c r="P639" s="15">
        <f>INT((2^$J$12-1)*O639/100)/(2^$J$12-1)*100</f>
        <v/>
      </c>
      <c r="Q639" s="15" t="n">
        <v>0</v>
      </c>
      <c r="R639" s="15">
        <f>P639+Q639</f>
        <v/>
      </c>
      <c r="S639" s="15">
        <f>$I$1*S638-$I$2*S637+$I$3*R618+$I$4*R617</f>
        <v/>
      </c>
      <c r="T639" s="15">
        <f>RAND()*$G$12</f>
        <v/>
      </c>
      <c r="U639" s="15">
        <f>S639+T639</f>
        <v/>
      </c>
      <c r="V639" s="15">
        <f>INT((2^$J$12-1)*U639/100)/(2^$J$12-1)*100</f>
        <v/>
      </c>
      <c r="X639" s="15">
        <f>M639 * 1.05</f>
        <v/>
      </c>
      <c r="Y639" s="15">
        <f>M639 * 0.95</f>
        <v/>
      </c>
      <c r="Z639" s="15">
        <f>IF(AND(V639 &lt;= X639, V639 &gt;= Y639), 1, 0)</f>
        <v/>
      </c>
    </row>
    <row r="640">
      <c r="L640" s="15" t="n">
        <v>638</v>
      </c>
      <c r="M640" s="15">
        <f>IF(L640&lt;$D$16,$D$13,IF(L640&lt;$E$16,$E$13,$F$13))</f>
        <v/>
      </c>
      <c r="N640" s="15">
        <f>M640-V640</f>
        <v/>
      </c>
      <c r="O640" s="15">
        <f>IF(MOD(L640,$B$11)=0,OFFSET(O640,-$B$11,0)+ $E$2*N640+$E$3*OFFSET(N640,-$B$11,0)+ $E$4*OFFSET(N640,-2* $B$11,0), O639)</f>
        <v/>
      </c>
      <c r="P640" s="15">
        <f>INT((2^$J$12-1)*O640/100)/(2^$J$12-1)*100</f>
        <v/>
      </c>
      <c r="Q640" s="15" t="n">
        <v>0</v>
      </c>
      <c r="R640" s="15">
        <f>P640+Q640</f>
        <v/>
      </c>
      <c r="S640" s="15">
        <f>$I$1*S639-$I$2*S638+$I$3*R619+$I$4*R618</f>
        <v/>
      </c>
      <c r="T640" s="15">
        <f>RAND()*$G$12</f>
        <v/>
      </c>
      <c r="U640" s="15">
        <f>S640+T640</f>
        <v/>
      </c>
      <c r="V640" s="15">
        <f>INT((2^$J$12-1)*U640/100)/(2^$J$12-1)*100</f>
        <v/>
      </c>
      <c r="X640" s="15">
        <f>M640 * 1.05</f>
        <v/>
      </c>
      <c r="Y640" s="15">
        <f>M640 * 0.95</f>
        <v/>
      </c>
      <c r="Z640" s="15">
        <f>IF(AND(V640 &lt;= X640, V640 &gt;= Y640), 1, 0)</f>
        <v/>
      </c>
    </row>
    <row r="641">
      <c r="L641" s="15" t="n">
        <v>639</v>
      </c>
      <c r="M641" s="15">
        <f>IF(L641&lt;$D$16,$D$13,IF(L641&lt;$E$16,$E$13,$F$13))</f>
        <v/>
      </c>
      <c r="N641" s="15">
        <f>M641-V641</f>
        <v/>
      </c>
      <c r="O641" s="15">
        <f>IF(MOD(L641,$B$11)=0,OFFSET(O641,-$B$11,0)+ $E$2*N641+$E$3*OFFSET(N641,-$B$11,0)+ $E$4*OFFSET(N641,-2* $B$11,0), O640)</f>
        <v/>
      </c>
      <c r="P641" s="15">
        <f>INT((2^$J$12-1)*O641/100)/(2^$J$12-1)*100</f>
        <v/>
      </c>
      <c r="Q641" s="15" t="n">
        <v>0</v>
      </c>
      <c r="R641" s="15">
        <f>P641+Q641</f>
        <v/>
      </c>
      <c r="S641" s="15">
        <f>$I$1*S640-$I$2*S639+$I$3*R620+$I$4*R619</f>
        <v/>
      </c>
      <c r="T641" s="15">
        <f>RAND()*$G$12</f>
        <v/>
      </c>
      <c r="U641" s="15">
        <f>S641+T641</f>
        <v/>
      </c>
      <c r="V641" s="15">
        <f>INT((2^$J$12-1)*U641/100)/(2^$J$12-1)*100</f>
        <v/>
      </c>
      <c r="X641" s="15">
        <f>M641 * 1.05</f>
        <v/>
      </c>
      <c r="Y641" s="15">
        <f>M641 * 0.95</f>
        <v/>
      </c>
      <c r="Z641" s="15">
        <f>IF(AND(V641 &lt;= X641, V641 &gt;= Y641), 1, 0)</f>
        <v/>
      </c>
    </row>
    <row r="642">
      <c r="L642" s="15" t="n">
        <v>640</v>
      </c>
      <c r="M642" s="15">
        <f>IF(L642&lt;$D$16,$D$13,IF(L642&lt;$E$16,$E$13,$F$13))</f>
        <v/>
      </c>
      <c r="N642" s="15">
        <f>M642-V642</f>
        <v/>
      </c>
      <c r="O642" s="15">
        <f>IF(MOD(L642,$B$11)=0,OFFSET(O642,-$B$11,0)+ $E$2*N642+$E$3*OFFSET(N642,-$B$11,0)+ $E$4*OFFSET(N642,-2* $B$11,0), O641)</f>
        <v/>
      </c>
      <c r="P642" s="15">
        <f>INT((2^$J$12-1)*O642/100)/(2^$J$12-1)*100</f>
        <v/>
      </c>
      <c r="Q642" s="15" t="n">
        <v>0</v>
      </c>
      <c r="R642" s="15">
        <f>P642+Q642</f>
        <v/>
      </c>
      <c r="S642" s="15">
        <f>$I$1*S641-$I$2*S640+$I$3*R621+$I$4*R620</f>
        <v/>
      </c>
      <c r="T642" s="15">
        <f>RAND()*$G$12</f>
        <v/>
      </c>
      <c r="U642" s="15">
        <f>S642+T642</f>
        <v/>
      </c>
      <c r="V642" s="15">
        <f>INT((2^$J$12-1)*U642/100)/(2^$J$12-1)*100</f>
        <v/>
      </c>
      <c r="X642" s="15">
        <f>M642 * 1.05</f>
        <v/>
      </c>
      <c r="Y642" s="15">
        <f>M642 * 0.95</f>
        <v/>
      </c>
      <c r="Z642" s="15">
        <f>IF(AND(V642 &lt;= X642, V642 &gt;= Y642), 1, 0)</f>
        <v/>
      </c>
    </row>
    <row r="643">
      <c r="L643" s="15" t="n">
        <v>641</v>
      </c>
      <c r="M643" s="15">
        <f>IF(L643&lt;$D$16,$D$13,IF(L643&lt;$E$16,$E$13,$F$13))</f>
        <v/>
      </c>
      <c r="N643" s="15">
        <f>M643-V643</f>
        <v/>
      </c>
      <c r="O643" s="15">
        <f>IF(MOD(L643,$B$11)=0,OFFSET(O643,-$B$11,0)+ $E$2*N643+$E$3*OFFSET(N643,-$B$11,0)+ $E$4*OFFSET(N643,-2* $B$11,0), O642)</f>
        <v/>
      </c>
      <c r="P643" s="15">
        <f>INT((2^$J$12-1)*O643/100)/(2^$J$12-1)*100</f>
        <v/>
      </c>
      <c r="Q643" s="15" t="n">
        <v>0</v>
      </c>
      <c r="R643" s="15">
        <f>P643+Q643</f>
        <v/>
      </c>
      <c r="S643" s="15">
        <f>$I$1*S642-$I$2*S641+$I$3*R622+$I$4*R621</f>
        <v/>
      </c>
      <c r="T643" s="15">
        <f>RAND()*$G$12</f>
        <v/>
      </c>
      <c r="U643" s="15">
        <f>S643+T643</f>
        <v/>
      </c>
      <c r="V643" s="15">
        <f>INT((2^$J$12-1)*U643/100)/(2^$J$12-1)*100</f>
        <v/>
      </c>
      <c r="X643" s="15">
        <f>M643 * 1.05</f>
        <v/>
      </c>
      <c r="Y643" s="15">
        <f>M643 * 0.95</f>
        <v/>
      </c>
      <c r="Z643" s="15">
        <f>IF(AND(V643 &lt;= X643, V643 &gt;= Y643), 1, 0)</f>
        <v/>
      </c>
    </row>
    <row r="644">
      <c r="L644" s="15" t="n">
        <v>642</v>
      </c>
      <c r="M644" s="15">
        <f>IF(L644&lt;$D$16,$D$13,IF(L644&lt;$E$16,$E$13,$F$13))</f>
        <v/>
      </c>
      <c r="N644" s="15">
        <f>M644-V644</f>
        <v/>
      </c>
      <c r="O644" s="15">
        <f>IF(MOD(L644,$B$11)=0,OFFSET(O644,-$B$11,0)+ $E$2*N644+$E$3*OFFSET(N644,-$B$11,0)+ $E$4*OFFSET(N644,-2* $B$11,0), O643)</f>
        <v/>
      </c>
      <c r="P644" s="15">
        <f>INT((2^$J$12-1)*O644/100)/(2^$J$12-1)*100</f>
        <v/>
      </c>
      <c r="Q644" s="15" t="n">
        <v>0</v>
      </c>
      <c r="R644" s="15">
        <f>P644+Q644</f>
        <v/>
      </c>
      <c r="S644" s="15">
        <f>$I$1*S643-$I$2*S642+$I$3*R623+$I$4*R622</f>
        <v/>
      </c>
      <c r="T644" s="15">
        <f>RAND()*$G$12</f>
        <v/>
      </c>
      <c r="U644" s="15">
        <f>S644+T644</f>
        <v/>
      </c>
      <c r="V644" s="15">
        <f>INT((2^$J$12-1)*U644/100)/(2^$J$12-1)*100</f>
        <v/>
      </c>
      <c r="X644" s="15">
        <f>M644 * 1.05</f>
        <v/>
      </c>
      <c r="Y644" s="15">
        <f>M644 * 0.95</f>
        <v/>
      </c>
      <c r="Z644" s="15">
        <f>IF(AND(V644 &lt;= X644, V644 &gt;= Y644), 1, 0)</f>
        <v/>
      </c>
    </row>
    <row r="645">
      <c r="L645" s="15" t="n">
        <v>643</v>
      </c>
      <c r="M645" s="15">
        <f>IF(L645&lt;$D$16,$D$13,IF(L645&lt;$E$16,$E$13,$F$13))</f>
        <v/>
      </c>
      <c r="N645" s="15">
        <f>M645-V645</f>
        <v/>
      </c>
      <c r="O645" s="15">
        <f>IF(MOD(L645,$B$11)=0,OFFSET(O645,-$B$11,0)+ $E$2*N645+$E$3*OFFSET(N645,-$B$11,0)+ $E$4*OFFSET(N645,-2* $B$11,0), O644)</f>
        <v/>
      </c>
      <c r="P645" s="15">
        <f>INT((2^$J$12-1)*O645/100)/(2^$J$12-1)*100</f>
        <v/>
      </c>
      <c r="Q645" s="15" t="n">
        <v>0</v>
      </c>
      <c r="R645" s="15">
        <f>P645+Q645</f>
        <v/>
      </c>
      <c r="S645" s="15">
        <f>$I$1*S644-$I$2*S643+$I$3*R624+$I$4*R623</f>
        <v/>
      </c>
      <c r="T645" s="15">
        <f>RAND()*$G$12</f>
        <v/>
      </c>
      <c r="U645" s="15">
        <f>S645+T645</f>
        <v/>
      </c>
      <c r="V645" s="15">
        <f>INT((2^$J$12-1)*U645/100)/(2^$J$12-1)*100</f>
        <v/>
      </c>
      <c r="X645" s="15">
        <f>M645 * 1.05</f>
        <v/>
      </c>
      <c r="Y645" s="15">
        <f>M645 * 0.95</f>
        <v/>
      </c>
      <c r="Z645" s="15">
        <f>IF(AND(V645 &lt;= X645, V645 &gt;= Y645), 1, 0)</f>
        <v/>
      </c>
    </row>
    <row r="646">
      <c r="L646" s="15" t="n">
        <v>644</v>
      </c>
      <c r="M646" s="15">
        <f>IF(L646&lt;$D$16,$D$13,IF(L646&lt;$E$16,$E$13,$F$13))</f>
        <v/>
      </c>
      <c r="N646" s="15">
        <f>M646-V646</f>
        <v/>
      </c>
      <c r="O646" s="15">
        <f>IF(MOD(L646,$B$11)=0,OFFSET(O646,-$B$11,0)+ $E$2*N646+$E$3*OFFSET(N646,-$B$11,0)+ $E$4*OFFSET(N646,-2* $B$11,0), O645)</f>
        <v/>
      </c>
      <c r="P646" s="15">
        <f>INT((2^$J$12-1)*O646/100)/(2^$J$12-1)*100</f>
        <v/>
      </c>
      <c r="Q646" s="15" t="n">
        <v>0</v>
      </c>
      <c r="R646" s="15">
        <f>P646+Q646</f>
        <v/>
      </c>
      <c r="S646" s="15">
        <f>$I$1*S645-$I$2*S644+$I$3*R625+$I$4*R624</f>
        <v/>
      </c>
      <c r="T646" s="15">
        <f>RAND()*$G$12</f>
        <v/>
      </c>
      <c r="U646" s="15">
        <f>S646+T646</f>
        <v/>
      </c>
      <c r="V646" s="15">
        <f>INT((2^$J$12-1)*U646/100)/(2^$J$12-1)*100</f>
        <v/>
      </c>
      <c r="X646" s="15">
        <f>M646 * 1.05</f>
        <v/>
      </c>
      <c r="Y646" s="15">
        <f>M646 * 0.95</f>
        <v/>
      </c>
      <c r="Z646" s="15">
        <f>IF(AND(V646 &lt;= X646, V646 &gt;= Y646), 1, 0)</f>
        <v/>
      </c>
    </row>
    <row r="647">
      <c r="L647" s="15" t="n">
        <v>645</v>
      </c>
      <c r="M647" s="15">
        <f>IF(L647&lt;$D$16,$D$13,IF(L647&lt;$E$16,$E$13,$F$13))</f>
        <v/>
      </c>
      <c r="N647" s="15">
        <f>M647-V647</f>
        <v/>
      </c>
      <c r="O647" s="15">
        <f>IF(MOD(L647,$B$11)=0,OFFSET(O647,-$B$11,0)+ $E$2*N647+$E$3*OFFSET(N647,-$B$11,0)+ $E$4*OFFSET(N647,-2* $B$11,0), O646)</f>
        <v/>
      </c>
      <c r="P647" s="15">
        <f>INT((2^$J$12-1)*O647/100)/(2^$J$12-1)*100</f>
        <v/>
      </c>
      <c r="Q647" s="15" t="n">
        <v>0</v>
      </c>
      <c r="R647" s="15">
        <f>P647+Q647</f>
        <v/>
      </c>
      <c r="S647" s="15">
        <f>$I$1*S646-$I$2*S645+$I$3*R626+$I$4*R625</f>
        <v/>
      </c>
      <c r="T647" s="15">
        <f>RAND()*$G$12</f>
        <v/>
      </c>
      <c r="U647" s="15">
        <f>S647+T647</f>
        <v/>
      </c>
      <c r="V647" s="15">
        <f>INT((2^$J$12-1)*U647/100)/(2^$J$12-1)*100</f>
        <v/>
      </c>
      <c r="X647" s="15">
        <f>M647 * 1.05</f>
        <v/>
      </c>
      <c r="Y647" s="15">
        <f>M647 * 0.95</f>
        <v/>
      </c>
      <c r="Z647" s="15">
        <f>IF(AND(V647 &lt;= X647, V647 &gt;= Y647), 1, 0)</f>
        <v/>
      </c>
    </row>
    <row r="648">
      <c r="L648" s="15" t="n">
        <v>646</v>
      </c>
      <c r="M648" s="15">
        <f>IF(L648&lt;$D$16,$D$13,IF(L648&lt;$E$16,$E$13,$F$13))</f>
        <v/>
      </c>
      <c r="N648" s="15">
        <f>M648-V648</f>
        <v/>
      </c>
      <c r="O648" s="15">
        <f>IF(MOD(L648,$B$11)=0,OFFSET(O648,-$B$11,0)+ $E$2*N648+$E$3*OFFSET(N648,-$B$11,0)+ $E$4*OFFSET(N648,-2* $B$11,0), O647)</f>
        <v/>
      </c>
      <c r="P648" s="15">
        <f>INT((2^$J$12-1)*O648/100)/(2^$J$12-1)*100</f>
        <v/>
      </c>
      <c r="Q648" s="15" t="n">
        <v>0</v>
      </c>
      <c r="R648" s="15">
        <f>P648+Q648</f>
        <v/>
      </c>
      <c r="S648" s="15">
        <f>$I$1*S647-$I$2*S646+$I$3*R627+$I$4*R626</f>
        <v/>
      </c>
      <c r="T648" s="15">
        <f>RAND()*$G$12</f>
        <v/>
      </c>
      <c r="U648" s="15">
        <f>S648+T648</f>
        <v/>
      </c>
      <c r="V648" s="15">
        <f>INT((2^$J$12-1)*U648/100)/(2^$J$12-1)*100</f>
        <v/>
      </c>
      <c r="X648" s="15">
        <f>M648 * 1.05</f>
        <v/>
      </c>
      <c r="Y648" s="15">
        <f>M648 * 0.95</f>
        <v/>
      </c>
      <c r="Z648" s="15">
        <f>IF(AND(V648 &lt;= X648, V648 &gt;= Y648), 1, 0)</f>
        <v/>
      </c>
    </row>
    <row r="649">
      <c r="L649" s="15" t="n">
        <v>647</v>
      </c>
      <c r="M649" s="15">
        <f>IF(L649&lt;$D$16,$D$13,IF(L649&lt;$E$16,$E$13,$F$13))</f>
        <v/>
      </c>
      <c r="N649" s="15">
        <f>M649-V649</f>
        <v/>
      </c>
      <c r="O649" s="15">
        <f>IF(MOD(L649,$B$11)=0,OFFSET(O649,-$B$11,0)+ $E$2*N649+$E$3*OFFSET(N649,-$B$11,0)+ $E$4*OFFSET(N649,-2* $B$11,0), O648)</f>
        <v/>
      </c>
      <c r="P649" s="15">
        <f>INT((2^$J$12-1)*O649/100)/(2^$J$12-1)*100</f>
        <v/>
      </c>
      <c r="Q649" s="15" t="n">
        <v>0</v>
      </c>
      <c r="R649" s="15">
        <f>P649+Q649</f>
        <v/>
      </c>
      <c r="S649" s="15">
        <f>$I$1*S648-$I$2*S647+$I$3*R628+$I$4*R627</f>
        <v/>
      </c>
      <c r="T649" s="15">
        <f>RAND()*$G$12</f>
        <v/>
      </c>
      <c r="U649" s="15">
        <f>S649+T649</f>
        <v/>
      </c>
      <c r="V649" s="15">
        <f>INT((2^$J$12-1)*U649/100)/(2^$J$12-1)*100</f>
        <v/>
      </c>
      <c r="X649" s="15">
        <f>M649 * 1.05</f>
        <v/>
      </c>
      <c r="Y649" s="15">
        <f>M649 * 0.95</f>
        <v/>
      </c>
      <c r="Z649" s="15">
        <f>IF(AND(V649 &lt;= X649, V649 &gt;= Y649), 1, 0)</f>
        <v/>
      </c>
    </row>
    <row r="650">
      <c r="L650" s="15" t="n">
        <v>648</v>
      </c>
      <c r="M650" s="15">
        <f>IF(L650&lt;$D$16,$D$13,IF(L650&lt;$E$16,$E$13,$F$13))</f>
        <v/>
      </c>
      <c r="N650" s="15">
        <f>M650-V650</f>
        <v/>
      </c>
      <c r="O650" s="15">
        <f>IF(MOD(L650,$B$11)=0,OFFSET(O650,-$B$11,0)+ $E$2*N650+$E$3*OFFSET(N650,-$B$11,0)+ $E$4*OFFSET(N650,-2* $B$11,0), O649)</f>
        <v/>
      </c>
      <c r="P650" s="15">
        <f>INT((2^$J$12-1)*O650/100)/(2^$J$12-1)*100</f>
        <v/>
      </c>
      <c r="Q650" s="15" t="n">
        <v>0</v>
      </c>
      <c r="R650" s="15">
        <f>P650+Q650</f>
        <v/>
      </c>
      <c r="S650" s="15">
        <f>$I$1*S649-$I$2*S648+$I$3*R629+$I$4*R628</f>
        <v/>
      </c>
      <c r="T650" s="15">
        <f>RAND()*$G$12</f>
        <v/>
      </c>
      <c r="U650" s="15">
        <f>S650+T650</f>
        <v/>
      </c>
      <c r="V650" s="15">
        <f>INT((2^$J$12-1)*U650/100)/(2^$J$12-1)*100</f>
        <v/>
      </c>
      <c r="X650" s="15">
        <f>M650 * 1.05</f>
        <v/>
      </c>
      <c r="Y650" s="15">
        <f>M650 * 0.95</f>
        <v/>
      </c>
      <c r="Z650" s="15">
        <f>IF(AND(V650 &lt;= X650, V650 &gt;= Y650), 1, 0)</f>
        <v/>
      </c>
    </row>
    <row r="651">
      <c r="L651" s="15" t="n">
        <v>649</v>
      </c>
      <c r="M651" s="15">
        <f>IF(L651&lt;$D$16,$D$13,IF(L651&lt;$E$16,$E$13,$F$13))</f>
        <v/>
      </c>
      <c r="N651" s="15">
        <f>M651-V651</f>
        <v/>
      </c>
      <c r="O651" s="15">
        <f>IF(MOD(L651,$B$11)=0,OFFSET(O651,-$B$11,0)+ $E$2*N651+$E$3*OFFSET(N651,-$B$11,0)+ $E$4*OFFSET(N651,-2* $B$11,0), O650)</f>
        <v/>
      </c>
      <c r="P651" s="15">
        <f>INT((2^$J$12-1)*O651/100)/(2^$J$12-1)*100</f>
        <v/>
      </c>
      <c r="Q651" s="15" t="n">
        <v>0</v>
      </c>
      <c r="R651" s="15">
        <f>P651+Q651</f>
        <v/>
      </c>
      <c r="S651" s="15">
        <f>$I$1*S650-$I$2*S649+$I$3*R630+$I$4*R629</f>
        <v/>
      </c>
      <c r="T651" s="15">
        <f>RAND()*$G$12</f>
        <v/>
      </c>
      <c r="U651" s="15">
        <f>S651+T651</f>
        <v/>
      </c>
      <c r="V651" s="15">
        <f>INT((2^$J$12-1)*U651/100)/(2^$J$12-1)*100</f>
        <v/>
      </c>
      <c r="X651" s="15">
        <f>M651 * 1.05</f>
        <v/>
      </c>
      <c r="Y651" s="15">
        <f>M651 * 0.95</f>
        <v/>
      </c>
      <c r="Z651" s="15">
        <f>IF(AND(V651 &lt;= X651, V651 &gt;= Y651), 1, 0)</f>
        <v/>
      </c>
    </row>
    <row r="652">
      <c r="L652" s="15" t="n">
        <v>650</v>
      </c>
      <c r="M652" s="15">
        <f>IF(L652&lt;$D$16,$D$13,IF(L652&lt;$E$16,$E$13,$F$13))</f>
        <v/>
      </c>
      <c r="N652" s="15">
        <f>M652-V652</f>
        <v/>
      </c>
      <c r="O652" s="15">
        <f>IF(MOD(L652,$B$11)=0,OFFSET(O652,-$B$11,0)+ $E$2*N652+$E$3*OFFSET(N652,-$B$11,0)+ $E$4*OFFSET(N652,-2* $B$11,0), O651)</f>
        <v/>
      </c>
      <c r="P652" s="15">
        <f>INT((2^$J$12-1)*O652/100)/(2^$J$12-1)*100</f>
        <v/>
      </c>
      <c r="Q652" s="15" t="n">
        <v>0</v>
      </c>
      <c r="R652" s="15">
        <f>P652+Q652</f>
        <v/>
      </c>
      <c r="S652" s="15">
        <f>$I$1*S651-$I$2*S650+$I$3*R631+$I$4*R630</f>
        <v/>
      </c>
      <c r="T652" s="15">
        <f>RAND()*$G$12</f>
        <v/>
      </c>
      <c r="U652" s="15">
        <f>S652+T652</f>
        <v/>
      </c>
      <c r="V652" s="15">
        <f>INT((2^$J$12-1)*U652/100)/(2^$J$12-1)*100</f>
        <v/>
      </c>
      <c r="X652" s="15">
        <f>M652 * 1.05</f>
        <v/>
      </c>
      <c r="Y652" s="15">
        <f>M652 * 0.95</f>
        <v/>
      </c>
      <c r="Z652" s="15">
        <f>IF(AND(V652 &lt;= X652, V652 &gt;= Y652), 1, 0)</f>
        <v/>
      </c>
    </row>
    <row r="653">
      <c r="L653" s="15" t="n">
        <v>651</v>
      </c>
      <c r="M653" s="15">
        <f>IF(L653&lt;$D$16,$D$13,IF(L653&lt;$E$16,$E$13,$F$13))</f>
        <v/>
      </c>
      <c r="N653" s="15">
        <f>M653-V653</f>
        <v/>
      </c>
      <c r="O653" s="15">
        <f>IF(MOD(L653,$B$11)=0,OFFSET(O653,-$B$11,0)+ $E$2*N653+$E$3*OFFSET(N653,-$B$11,0)+ $E$4*OFFSET(N653,-2* $B$11,0), O652)</f>
        <v/>
      </c>
      <c r="P653" s="15">
        <f>INT((2^$J$12-1)*O653/100)/(2^$J$12-1)*100</f>
        <v/>
      </c>
      <c r="Q653" s="15" t="n">
        <v>0</v>
      </c>
      <c r="R653" s="15">
        <f>P653+Q653</f>
        <v/>
      </c>
      <c r="S653" s="15">
        <f>$I$1*S652-$I$2*S651+$I$3*R632+$I$4*R631</f>
        <v/>
      </c>
      <c r="T653" s="15">
        <f>RAND()*$G$12</f>
        <v/>
      </c>
      <c r="U653" s="15">
        <f>S653+T653</f>
        <v/>
      </c>
      <c r="V653" s="15">
        <f>INT((2^$J$12-1)*U653/100)/(2^$J$12-1)*100</f>
        <v/>
      </c>
      <c r="X653" s="15">
        <f>M653 * 1.05</f>
        <v/>
      </c>
      <c r="Y653" s="15">
        <f>M653 * 0.95</f>
        <v/>
      </c>
      <c r="Z653" s="15">
        <f>IF(AND(V653 &lt;= X653, V653 &gt;= Y653), 1, 0)</f>
        <v/>
      </c>
    </row>
    <row r="654">
      <c r="L654" s="15" t="n">
        <v>652</v>
      </c>
      <c r="M654" s="15">
        <f>IF(L654&lt;$D$16,$D$13,IF(L654&lt;$E$16,$E$13,$F$13))</f>
        <v/>
      </c>
      <c r="N654" s="15">
        <f>M654-V654</f>
        <v/>
      </c>
      <c r="O654" s="15">
        <f>IF(MOD(L654,$B$11)=0,OFFSET(O654,-$B$11,0)+ $E$2*N654+$E$3*OFFSET(N654,-$B$11,0)+ $E$4*OFFSET(N654,-2* $B$11,0), O653)</f>
        <v/>
      </c>
      <c r="P654" s="15">
        <f>INT((2^$J$12-1)*O654/100)/(2^$J$12-1)*100</f>
        <v/>
      </c>
      <c r="Q654" s="15" t="n">
        <v>0</v>
      </c>
      <c r="R654" s="15">
        <f>P654+Q654</f>
        <v/>
      </c>
      <c r="S654" s="15">
        <f>$I$1*S653-$I$2*S652+$I$3*R633+$I$4*R632</f>
        <v/>
      </c>
      <c r="T654" s="15">
        <f>RAND()*$G$12</f>
        <v/>
      </c>
      <c r="U654" s="15">
        <f>S654+T654</f>
        <v/>
      </c>
      <c r="V654" s="15">
        <f>INT((2^$J$12-1)*U654/100)/(2^$J$12-1)*100</f>
        <v/>
      </c>
      <c r="X654" s="15">
        <f>M654 * 1.05</f>
        <v/>
      </c>
      <c r="Y654" s="15">
        <f>M654 * 0.95</f>
        <v/>
      </c>
      <c r="Z654" s="15">
        <f>IF(AND(V654 &lt;= X654, V654 &gt;= Y654), 1, 0)</f>
        <v/>
      </c>
    </row>
    <row r="655">
      <c r="L655" s="15" t="n">
        <v>653</v>
      </c>
      <c r="M655" s="15">
        <f>IF(L655&lt;$D$16,$D$13,IF(L655&lt;$E$16,$E$13,$F$13))</f>
        <v/>
      </c>
      <c r="N655" s="15">
        <f>M655-V655</f>
        <v/>
      </c>
      <c r="O655" s="15">
        <f>IF(MOD(L655,$B$11)=0,OFFSET(O655,-$B$11,0)+ $E$2*N655+$E$3*OFFSET(N655,-$B$11,0)+ $E$4*OFFSET(N655,-2* $B$11,0), O654)</f>
        <v/>
      </c>
      <c r="P655" s="15">
        <f>INT((2^$J$12-1)*O655/100)/(2^$J$12-1)*100</f>
        <v/>
      </c>
      <c r="Q655" s="15" t="n">
        <v>0</v>
      </c>
      <c r="R655" s="15">
        <f>P655+Q655</f>
        <v/>
      </c>
      <c r="S655" s="15">
        <f>$I$1*S654-$I$2*S653+$I$3*R634+$I$4*R633</f>
        <v/>
      </c>
      <c r="T655" s="15">
        <f>RAND()*$G$12</f>
        <v/>
      </c>
      <c r="U655" s="15">
        <f>S655+T655</f>
        <v/>
      </c>
      <c r="V655" s="15">
        <f>INT((2^$J$12-1)*U655/100)/(2^$J$12-1)*100</f>
        <v/>
      </c>
      <c r="X655" s="15">
        <f>M655 * 1.05</f>
        <v/>
      </c>
      <c r="Y655" s="15">
        <f>M655 * 0.95</f>
        <v/>
      </c>
      <c r="Z655" s="15">
        <f>IF(AND(V655 &lt;= X655, V655 &gt;= Y655), 1, 0)</f>
        <v/>
      </c>
    </row>
    <row r="656">
      <c r="L656" s="15" t="n">
        <v>654</v>
      </c>
      <c r="M656" s="15">
        <f>IF(L656&lt;$D$16,$D$13,IF(L656&lt;$E$16,$E$13,$F$13))</f>
        <v/>
      </c>
      <c r="N656" s="15">
        <f>M656-V656</f>
        <v/>
      </c>
      <c r="O656" s="15">
        <f>IF(MOD(L656,$B$11)=0,OFFSET(O656,-$B$11,0)+ $E$2*N656+$E$3*OFFSET(N656,-$B$11,0)+ $E$4*OFFSET(N656,-2* $B$11,0), O655)</f>
        <v/>
      </c>
      <c r="P656" s="15">
        <f>INT((2^$J$12-1)*O656/100)/(2^$J$12-1)*100</f>
        <v/>
      </c>
      <c r="Q656" s="15" t="n">
        <v>0</v>
      </c>
      <c r="R656" s="15">
        <f>P656+Q656</f>
        <v/>
      </c>
      <c r="S656" s="15">
        <f>$I$1*S655-$I$2*S654+$I$3*R635+$I$4*R634</f>
        <v/>
      </c>
      <c r="T656" s="15">
        <f>RAND()*$G$12</f>
        <v/>
      </c>
      <c r="U656" s="15">
        <f>S656+T656</f>
        <v/>
      </c>
      <c r="V656" s="15">
        <f>INT((2^$J$12-1)*U656/100)/(2^$J$12-1)*100</f>
        <v/>
      </c>
      <c r="X656" s="15">
        <f>M656 * 1.05</f>
        <v/>
      </c>
      <c r="Y656" s="15">
        <f>M656 * 0.95</f>
        <v/>
      </c>
      <c r="Z656" s="15">
        <f>IF(AND(V656 &lt;= X656, V656 &gt;= Y656), 1, 0)</f>
        <v/>
      </c>
    </row>
    <row r="657">
      <c r="L657" s="15" t="n">
        <v>655</v>
      </c>
      <c r="M657" s="15">
        <f>IF(L657&lt;$D$16,$D$13,IF(L657&lt;$E$16,$E$13,$F$13))</f>
        <v/>
      </c>
      <c r="N657" s="15">
        <f>M657-V657</f>
        <v/>
      </c>
      <c r="O657" s="15">
        <f>IF(MOD(L657,$B$11)=0,OFFSET(O657,-$B$11,0)+ $E$2*N657+$E$3*OFFSET(N657,-$B$11,0)+ $E$4*OFFSET(N657,-2* $B$11,0), O656)</f>
        <v/>
      </c>
      <c r="P657" s="15">
        <f>INT((2^$J$12-1)*O657/100)/(2^$J$12-1)*100</f>
        <v/>
      </c>
      <c r="Q657" s="15" t="n">
        <v>0</v>
      </c>
      <c r="R657" s="15">
        <f>P657+Q657</f>
        <v/>
      </c>
      <c r="S657" s="15">
        <f>$I$1*S656-$I$2*S655+$I$3*R636+$I$4*R635</f>
        <v/>
      </c>
      <c r="T657" s="15">
        <f>RAND()*$G$12</f>
        <v/>
      </c>
      <c r="U657" s="15">
        <f>S657+T657</f>
        <v/>
      </c>
      <c r="V657" s="15">
        <f>INT((2^$J$12-1)*U657/100)/(2^$J$12-1)*100</f>
        <v/>
      </c>
      <c r="X657" s="15">
        <f>M657 * 1.05</f>
        <v/>
      </c>
      <c r="Y657" s="15">
        <f>M657 * 0.95</f>
        <v/>
      </c>
      <c r="Z657" s="15">
        <f>IF(AND(V657 &lt;= X657, V657 &gt;= Y657), 1, 0)</f>
        <v/>
      </c>
    </row>
    <row r="658">
      <c r="L658" s="15" t="n">
        <v>656</v>
      </c>
      <c r="M658" s="15">
        <f>IF(L658&lt;$D$16,$D$13,IF(L658&lt;$E$16,$E$13,$F$13))</f>
        <v/>
      </c>
      <c r="N658" s="15">
        <f>M658-V658</f>
        <v/>
      </c>
      <c r="O658" s="15">
        <f>IF(MOD(L658,$B$11)=0,OFFSET(O658,-$B$11,0)+ $E$2*N658+$E$3*OFFSET(N658,-$B$11,0)+ $E$4*OFFSET(N658,-2* $B$11,0), O657)</f>
        <v/>
      </c>
      <c r="P658" s="15">
        <f>INT((2^$J$12-1)*O658/100)/(2^$J$12-1)*100</f>
        <v/>
      </c>
      <c r="Q658" s="15" t="n">
        <v>0</v>
      </c>
      <c r="R658" s="15">
        <f>P658+Q658</f>
        <v/>
      </c>
      <c r="S658" s="15">
        <f>$I$1*S657-$I$2*S656+$I$3*R637+$I$4*R636</f>
        <v/>
      </c>
      <c r="T658" s="15">
        <f>RAND()*$G$12</f>
        <v/>
      </c>
      <c r="U658" s="15">
        <f>S658+T658</f>
        <v/>
      </c>
      <c r="V658" s="15">
        <f>INT((2^$J$12-1)*U658/100)/(2^$J$12-1)*100</f>
        <v/>
      </c>
      <c r="X658" s="15">
        <f>M658 * 1.05</f>
        <v/>
      </c>
      <c r="Y658" s="15">
        <f>M658 * 0.95</f>
        <v/>
      </c>
      <c r="Z658" s="15">
        <f>IF(AND(V658 &lt;= X658, V658 &gt;= Y658), 1, 0)</f>
        <v/>
      </c>
    </row>
    <row r="659">
      <c r="L659" s="15" t="n">
        <v>657</v>
      </c>
      <c r="M659" s="15">
        <f>IF(L659&lt;$D$16,$D$13,IF(L659&lt;$E$16,$E$13,$F$13))</f>
        <v/>
      </c>
      <c r="N659" s="15">
        <f>M659-V659</f>
        <v/>
      </c>
      <c r="O659" s="15">
        <f>IF(MOD(L659,$B$11)=0,OFFSET(O659,-$B$11,0)+ $E$2*N659+$E$3*OFFSET(N659,-$B$11,0)+ $E$4*OFFSET(N659,-2* $B$11,0), O658)</f>
        <v/>
      </c>
      <c r="P659" s="15">
        <f>INT((2^$J$12-1)*O659/100)/(2^$J$12-1)*100</f>
        <v/>
      </c>
      <c r="Q659" s="15" t="n">
        <v>0</v>
      </c>
      <c r="R659" s="15">
        <f>P659+Q659</f>
        <v/>
      </c>
      <c r="S659" s="15">
        <f>$I$1*S658-$I$2*S657+$I$3*R638+$I$4*R637</f>
        <v/>
      </c>
      <c r="T659" s="15">
        <f>RAND()*$G$12</f>
        <v/>
      </c>
      <c r="U659" s="15">
        <f>S659+T659</f>
        <v/>
      </c>
      <c r="V659" s="15">
        <f>INT((2^$J$12-1)*U659/100)/(2^$J$12-1)*100</f>
        <v/>
      </c>
      <c r="X659" s="15">
        <f>M659 * 1.05</f>
        <v/>
      </c>
      <c r="Y659" s="15">
        <f>M659 * 0.95</f>
        <v/>
      </c>
      <c r="Z659" s="15">
        <f>IF(AND(V659 &lt;= X659, V659 &gt;= Y659), 1, 0)</f>
        <v/>
      </c>
    </row>
    <row r="660">
      <c r="L660" s="15" t="n">
        <v>658</v>
      </c>
      <c r="M660" s="15">
        <f>IF(L660&lt;$D$16,$D$13,IF(L660&lt;$E$16,$E$13,$F$13))</f>
        <v/>
      </c>
      <c r="N660" s="15">
        <f>M660-V660</f>
        <v/>
      </c>
      <c r="O660" s="15">
        <f>IF(MOD(L660,$B$11)=0,OFFSET(O660,-$B$11,0)+ $E$2*N660+$E$3*OFFSET(N660,-$B$11,0)+ $E$4*OFFSET(N660,-2* $B$11,0), O659)</f>
        <v/>
      </c>
      <c r="P660" s="15">
        <f>INT((2^$J$12-1)*O660/100)/(2^$J$12-1)*100</f>
        <v/>
      </c>
      <c r="Q660" s="15" t="n">
        <v>0</v>
      </c>
      <c r="R660" s="15">
        <f>P660+Q660</f>
        <v/>
      </c>
      <c r="S660" s="15">
        <f>$I$1*S659-$I$2*S658+$I$3*R639+$I$4*R638</f>
        <v/>
      </c>
      <c r="T660" s="15">
        <f>RAND()*$G$12</f>
        <v/>
      </c>
      <c r="U660" s="15">
        <f>S660+T660</f>
        <v/>
      </c>
      <c r="V660" s="15">
        <f>INT((2^$J$12-1)*U660/100)/(2^$J$12-1)*100</f>
        <v/>
      </c>
      <c r="X660" s="15">
        <f>M660 * 1.05</f>
        <v/>
      </c>
      <c r="Y660" s="15">
        <f>M660 * 0.95</f>
        <v/>
      </c>
      <c r="Z660" s="15">
        <f>IF(AND(V660 &lt;= X660, V660 &gt;= Y660), 1, 0)</f>
        <v/>
      </c>
    </row>
    <row r="661">
      <c r="L661" s="15" t="n">
        <v>659</v>
      </c>
      <c r="M661" s="15">
        <f>IF(L661&lt;$D$16,$D$13,IF(L661&lt;$E$16,$E$13,$F$13))</f>
        <v/>
      </c>
      <c r="N661" s="15">
        <f>M661-V661</f>
        <v/>
      </c>
      <c r="O661" s="15">
        <f>IF(MOD(L661,$B$11)=0,OFFSET(O661,-$B$11,0)+ $E$2*N661+$E$3*OFFSET(N661,-$B$11,0)+ $E$4*OFFSET(N661,-2* $B$11,0), O660)</f>
        <v/>
      </c>
      <c r="P661" s="15">
        <f>INT((2^$J$12-1)*O661/100)/(2^$J$12-1)*100</f>
        <v/>
      </c>
      <c r="Q661" s="15" t="n">
        <v>0</v>
      </c>
      <c r="R661" s="15">
        <f>P661+Q661</f>
        <v/>
      </c>
      <c r="S661" s="15">
        <f>$I$1*S660-$I$2*S659+$I$3*R640+$I$4*R639</f>
        <v/>
      </c>
      <c r="T661" s="15">
        <f>RAND()*$G$12</f>
        <v/>
      </c>
      <c r="U661" s="15">
        <f>S661+T661</f>
        <v/>
      </c>
      <c r="V661" s="15">
        <f>INT((2^$J$12-1)*U661/100)/(2^$J$12-1)*100</f>
        <v/>
      </c>
      <c r="X661" s="15">
        <f>M661 * 1.05</f>
        <v/>
      </c>
      <c r="Y661" s="15">
        <f>M661 * 0.95</f>
        <v/>
      </c>
      <c r="Z661" s="15">
        <f>IF(AND(V661 &lt;= X661, V661 &gt;= Y661), 1, 0)</f>
        <v/>
      </c>
    </row>
    <row r="662">
      <c r="L662" s="15" t="n">
        <v>660</v>
      </c>
      <c r="M662" s="15">
        <f>IF(L662&lt;$D$16,$D$13,IF(L662&lt;$E$16,$E$13,$F$13))</f>
        <v/>
      </c>
      <c r="N662" s="15">
        <f>M662-V662</f>
        <v/>
      </c>
      <c r="O662" s="15">
        <f>IF(MOD(L662,$B$11)=0,OFFSET(O662,-$B$11,0)+ $E$2*N662+$E$3*OFFSET(N662,-$B$11,0)+ $E$4*OFFSET(N662,-2* $B$11,0), O661)</f>
        <v/>
      </c>
      <c r="P662" s="15">
        <f>INT((2^$J$12-1)*O662/100)/(2^$J$12-1)*100</f>
        <v/>
      </c>
      <c r="Q662" s="15" t="n">
        <v>0</v>
      </c>
      <c r="R662" s="15">
        <f>P662+Q662</f>
        <v/>
      </c>
      <c r="S662" s="15">
        <f>$I$1*S661-$I$2*S660+$I$3*R641+$I$4*R640</f>
        <v/>
      </c>
      <c r="T662" s="15">
        <f>RAND()*$G$12</f>
        <v/>
      </c>
      <c r="U662" s="15">
        <f>S662+T662</f>
        <v/>
      </c>
      <c r="V662" s="15">
        <f>INT((2^$J$12-1)*U662/100)/(2^$J$12-1)*100</f>
        <v/>
      </c>
      <c r="X662" s="15">
        <f>M662 * 1.05</f>
        <v/>
      </c>
      <c r="Y662" s="15">
        <f>M662 * 0.95</f>
        <v/>
      </c>
      <c r="Z662" s="15">
        <f>IF(AND(V662 &lt;= X662, V662 &gt;= Y662), 1, 0)</f>
        <v/>
      </c>
    </row>
    <row r="663">
      <c r="L663" s="15" t="n">
        <v>661</v>
      </c>
      <c r="M663" s="15">
        <f>IF(L663&lt;$D$16,$D$13,IF(L663&lt;$E$16,$E$13,$F$13))</f>
        <v/>
      </c>
      <c r="N663" s="15">
        <f>M663-V663</f>
        <v/>
      </c>
      <c r="O663" s="15">
        <f>IF(MOD(L663,$B$11)=0,OFFSET(O663,-$B$11,0)+ $E$2*N663+$E$3*OFFSET(N663,-$B$11,0)+ $E$4*OFFSET(N663,-2* $B$11,0), O662)</f>
        <v/>
      </c>
      <c r="P663" s="15">
        <f>INT((2^$J$12-1)*O663/100)/(2^$J$12-1)*100</f>
        <v/>
      </c>
      <c r="Q663" s="15" t="n">
        <v>0</v>
      </c>
      <c r="R663" s="15">
        <f>P663+Q663</f>
        <v/>
      </c>
      <c r="S663" s="15">
        <f>$I$1*S662-$I$2*S661+$I$3*R642+$I$4*R641</f>
        <v/>
      </c>
      <c r="T663" s="15">
        <f>RAND()*$G$12</f>
        <v/>
      </c>
      <c r="U663" s="15">
        <f>S663+T663</f>
        <v/>
      </c>
      <c r="V663" s="15">
        <f>INT((2^$J$12-1)*U663/100)/(2^$J$12-1)*100</f>
        <v/>
      </c>
      <c r="X663" s="15">
        <f>M663 * 1.05</f>
        <v/>
      </c>
      <c r="Y663" s="15">
        <f>M663 * 0.95</f>
        <v/>
      </c>
      <c r="Z663" s="15">
        <f>IF(AND(V663 &lt;= X663, V663 &gt;= Y663), 1, 0)</f>
        <v/>
      </c>
    </row>
    <row r="664">
      <c r="L664" s="15" t="n">
        <v>662</v>
      </c>
      <c r="M664" s="15">
        <f>IF(L664&lt;$D$16,$D$13,IF(L664&lt;$E$16,$E$13,$F$13))</f>
        <v/>
      </c>
      <c r="N664" s="15">
        <f>M664-V664</f>
        <v/>
      </c>
      <c r="O664" s="15">
        <f>IF(MOD(L664,$B$11)=0,OFFSET(O664,-$B$11,0)+ $E$2*N664+$E$3*OFFSET(N664,-$B$11,0)+ $E$4*OFFSET(N664,-2* $B$11,0), O663)</f>
        <v/>
      </c>
      <c r="P664" s="15">
        <f>INT((2^$J$12-1)*O664/100)/(2^$J$12-1)*100</f>
        <v/>
      </c>
      <c r="Q664" s="15" t="n">
        <v>0</v>
      </c>
      <c r="R664" s="15">
        <f>P664+Q664</f>
        <v/>
      </c>
      <c r="S664" s="15">
        <f>$I$1*S663-$I$2*S662+$I$3*R643+$I$4*R642</f>
        <v/>
      </c>
      <c r="T664" s="15">
        <f>RAND()*$G$12</f>
        <v/>
      </c>
      <c r="U664" s="15">
        <f>S664+T664</f>
        <v/>
      </c>
      <c r="V664" s="15">
        <f>INT((2^$J$12-1)*U664/100)/(2^$J$12-1)*100</f>
        <v/>
      </c>
      <c r="X664" s="15">
        <f>M664 * 1.05</f>
        <v/>
      </c>
      <c r="Y664" s="15">
        <f>M664 * 0.95</f>
        <v/>
      </c>
      <c r="Z664" s="15">
        <f>IF(AND(V664 &lt;= X664, V664 &gt;= Y664), 1, 0)</f>
        <v/>
      </c>
    </row>
    <row r="665">
      <c r="L665" s="15" t="n">
        <v>663</v>
      </c>
      <c r="M665" s="15">
        <f>IF(L665&lt;$D$16,$D$13,IF(L665&lt;$E$16,$E$13,$F$13))</f>
        <v/>
      </c>
      <c r="N665" s="15">
        <f>M665-V665</f>
        <v/>
      </c>
      <c r="O665" s="15">
        <f>IF(MOD(L665,$B$11)=0,OFFSET(O665,-$B$11,0)+ $E$2*N665+$E$3*OFFSET(N665,-$B$11,0)+ $E$4*OFFSET(N665,-2* $B$11,0), O664)</f>
        <v/>
      </c>
      <c r="P665" s="15">
        <f>INT((2^$J$12-1)*O665/100)/(2^$J$12-1)*100</f>
        <v/>
      </c>
      <c r="Q665" s="15" t="n">
        <v>0</v>
      </c>
      <c r="R665" s="15">
        <f>P665+Q665</f>
        <v/>
      </c>
      <c r="S665" s="15">
        <f>$I$1*S664-$I$2*S663+$I$3*R644+$I$4*R643</f>
        <v/>
      </c>
      <c r="T665" s="15">
        <f>RAND()*$G$12</f>
        <v/>
      </c>
      <c r="U665" s="15">
        <f>S665+T665</f>
        <v/>
      </c>
      <c r="V665" s="15">
        <f>INT((2^$J$12-1)*U665/100)/(2^$J$12-1)*100</f>
        <v/>
      </c>
      <c r="X665" s="15">
        <f>M665 * 1.05</f>
        <v/>
      </c>
      <c r="Y665" s="15">
        <f>M665 * 0.95</f>
        <v/>
      </c>
      <c r="Z665" s="15">
        <f>IF(AND(V665 &lt;= X665, V665 &gt;= Y665), 1, 0)</f>
        <v/>
      </c>
    </row>
    <row r="666">
      <c r="L666" s="15" t="n">
        <v>664</v>
      </c>
      <c r="M666" s="15">
        <f>IF(L666&lt;$D$16,$D$13,IF(L666&lt;$E$16,$E$13,$F$13))</f>
        <v/>
      </c>
      <c r="N666" s="15">
        <f>M666-V666</f>
        <v/>
      </c>
      <c r="O666" s="15">
        <f>IF(MOD(L666,$B$11)=0,OFFSET(O666,-$B$11,0)+ $E$2*N666+$E$3*OFFSET(N666,-$B$11,0)+ $E$4*OFFSET(N666,-2* $B$11,0), O665)</f>
        <v/>
      </c>
      <c r="P666" s="15">
        <f>INT((2^$J$12-1)*O666/100)/(2^$J$12-1)*100</f>
        <v/>
      </c>
      <c r="Q666" s="15" t="n">
        <v>0</v>
      </c>
      <c r="R666" s="15">
        <f>P666+Q666</f>
        <v/>
      </c>
      <c r="S666" s="15">
        <f>$I$1*S665-$I$2*S664+$I$3*R645+$I$4*R644</f>
        <v/>
      </c>
      <c r="T666" s="15">
        <f>RAND()*$G$12</f>
        <v/>
      </c>
      <c r="U666" s="15">
        <f>S666+T666</f>
        <v/>
      </c>
      <c r="V666" s="15">
        <f>INT((2^$J$12-1)*U666/100)/(2^$J$12-1)*100</f>
        <v/>
      </c>
      <c r="X666" s="15">
        <f>M666 * 1.05</f>
        <v/>
      </c>
      <c r="Y666" s="15">
        <f>M666 * 0.95</f>
        <v/>
      </c>
      <c r="Z666" s="15">
        <f>IF(AND(V666 &lt;= X666, V666 &gt;= Y666), 1, 0)</f>
        <v/>
      </c>
    </row>
    <row r="667">
      <c r="L667" s="15" t="n">
        <v>665</v>
      </c>
      <c r="M667" s="15">
        <f>IF(L667&lt;$D$16,$D$13,IF(L667&lt;$E$16,$E$13,$F$13))</f>
        <v/>
      </c>
      <c r="N667" s="15">
        <f>M667-V667</f>
        <v/>
      </c>
      <c r="O667" s="15">
        <f>IF(MOD(L667,$B$11)=0,OFFSET(O667,-$B$11,0)+ $E$2*N667+$E$3*OFFSET(N667,-$B$11,0)+ $E$4*OFFSET(N667,-2* $B$11,0), O666)</f>
        <v/>
      </c>
      <c r="P667" s="15">
        <f>INT((2^$J$12-1)*O667/100)/(2^$J$12-1)*100</f>
        <v/>
      </c>
      <c r="Q667" s="15" t="n">
        <v>0</v>
      </c>
      <c r="R667" s="15">
        <f>P667+Q667</f>
        <v/>
      </c>
      <c r="S667" s="15">
        <f>$I$1*S666-$I$2*S665+$I$3*R646+$I$4*R645</f>
        <v/>
      </c>
      <c r="T667" s="15">
        <f>RAND()*$G$12</f>
        <v/>
      </c>
      <c r="U667" s="15">
        <f>S667+T667</f>
        <v/>
      </c>
      <c r="V667" s="15">
        <f>INT((2^$J$12-1)*U667/100)/(2^$J$12-1)*100</f>
        <v/>
      </c>
      <c r="X667" s="15">
        <f>M667 * 1.05</f>
        <v/>
      </c>
      <c r="Y667" s="15">
        <f>M667 * 0.95</f>
        <v/>
      </c>
      <c r="Z667" s="15">
        <f>IF(AND(V667 &lt;= X667, V667 &gt;= Y667), 1, 0)</f>
        <v/>
      </c>
    </row>
    <row r="668">
      <c r="L668" s="15" t="n">
        <v>666</v>
      </c>
      <c r="M668" s="15">
        <f>IF(L668&lt;$D$16,$D$13,IF(L668&lt;$E$16,$E$13,$F$13))</f>
        <v/>
      </c>
      <c r="N668" s="15">
        <f>M668-V668</f>
        <v/>
      </c>
      <c r="O668" s="15">
        <f>IF(MOD(L668,$B$11)=0,OFFSET(O668,-$B$11,0)+ $E$2*N668+$E$3*OFFSET(N668,-$B$11,0)+ $E$4*OFFSET(N668,-2* $B$11,0), O667)</f>
        <v/>
      </c>
      <c r="P668" s="15">
        <f>INT((2^$J$12-1)*O668/100)/(2^$J$12-1)*100</f>
        <v/>
      </c>
      <c r="Q668" s="15" t="n">
        <v>0</v>
      </c>
      <c r="R668" s="15">
        <f>P668+Q668</f>
        <v/>
      </c>
      <c r="S668" s="15">
        <f>$I$1*S667-$I$2*S666+$I$3*R647+$I$4*R646</f>
        <v/>
      </c>
      <c r="T668" s="15">
        <f>RAND()*$G$12</f>
        <v/>
      </c>
      <c r="U668" s="15">
        <f>S668+T668</f>
        <v/>
      </c>
      <c r="V668" s="15">
        <f>INT((2^$J$12-1)*U668/100)/(2^$J$12-1)*100</f>
        <v/>
      </c>
      <c r="X668" s="15">
        <f>M668 * 1.05</f>
        <v/>
      </c>
      <c r="Y668" s="15">
        <f>M668 * 0.95</f>
        <v/>
      </c>
      <c r="Z668" s="15">
        <f>IF(AND(V668 &lt;= X668, V668 &gt;= Y668), 1, 0)</f>
        <v/>
      </c>
    </row>
    <row r="669">
      <c r="L669" s="15" t="n">
        <v>667</v>
      </c>
      <c r="M669" s="15">
        <f>IF(L669&lt;$D$16,$D$13,IF(L669&lt;$E$16,$E$13,$F$13))</f>
        <v/>
      </c>
      <c r="N669" s="15">
        <f>M669-V669</f>
        <v/>
      </c>
      <c r="O669" s="15">
        <f>IF(MOD(L669,$B$11)=0,OFFSET(O669,-$B$11,0)+ $E$2*N669+$E$3*OFFSET(N669,-$B$11,0)+ $E$4*OFFSET(N669,-2* $B$11,0), O668)</f>
        <v/>
      </c>
      <c r="P669" s="15">
        <f>INT((2^$J$12-1)*O669/100)/(2^$J$12-1)*100</f>
        <v/>
      </c>
      <c r="Q669" s="15" t="n">
        <v>0</v>
      </c>
      <c r="R669" s="15">
        <f>P669+Q669</f>
        <v/>
      </c>
      <c r="S669" s="15">
        <f>$I$1*S668-$I$2*S667+$I$3*R648+$I$4*R647</f>
        <v/>
      </c>
      <c r="T669" s="15">
        <f>RAND()*$G$12</f>
        <v/>
      </c>
      <c r="U669" s="15">
        <f>S669+T669</f>
        <v/>
      </c>
      <c r="V669" s="15">
        <f>INT((2^$J$12-1)*U669/100)/(2^$J$12-1)*100</f>
        <v/>
      </c>
      <c r="X669" s="15">
        <f>M669 * 1.05</f>
        <v/>
      </c>
      <c r="Y669" s="15">
        <f>M669 * 0.95</f>
        <v/>
      </c>
      <c r="Z669" s="15">
        <f>IF(AND(V669 &lt;= X669, V669 &gt;= Y669), 1, 0)</f>
        <v/>
      </c>
    </row>
    <row r="670">
      <c r="L670" s="15" t="n">
        <v>668</v>
      </c>
      <c r="M670" s="15">
        <f>IF(L670&lt;$D$16,$D$13,IF(L670&lt;$E$16,$E$13,$F$13))</f>
        <v/>
      </c>
      <c r="N670" s="15">
        <f>M670-V670</f>
        <v/>
      </c>
      <c r="O670" s="15">
        <f>IF(MOD(L670,$B$11)=0,OFFSET(O670,-$B$11,0)+ $E$2*N670+$E$3*OFFSET(N670,-$B$11,0)+ $E$4*OFFSET(N670,-2* $B$11,0), O669)</f>
        <v/>
      </c>
      <c r="P670" s="15">
        <f>INT((2^$J$12-1)*O670/100)/(2^$J$12-1)*100</f>
        <v/>
      </c>
      <c r="Q670" s="15" t="n">
        <v>0</v>
      </c>
      <c r="R670" s="15">
        <f>P670+Q670</f>
        <v/>
      </c>
      <c r="S670" s="15">
        <f>$I$1*S669-$I$2*S668+$I$3*R649+$I$4*R648</f>
        <v/>
      </c>
      <c r="T670" s="15">
        <f>RAND()*$G$12</f>
        <v/>
      </c>
      <c r="U670" s="15">
        <f>S670+T670</f>
        <v/>
      </c>
      <c r="V670" s="15">
        <f>INT((2^$J$12-1)*U670/100)/(2^$J$12-1)*100</f>
        <v/>
      </c>
      <c r="X670" s="15">
        <f>M670 * 1.05</f>
        <v/>
      </c>
      <c r="Y670" s="15">
        <f>M670 * 0.95</f>
        <v/>
      </c>
      <c r="Z670" s="15">
        <f>IF(AND(V670 &lt;= X670, V670 &gt;= Y670), 1, 0)</f>
        <v/>
      </c>
    </row>
    <row r="671">
      <c r="L671" s="15" t="n">
        <v>669</v>
      </c>
      <c r="M671" s="15">
        <f>IF(L671&lt;$D$16,$D$13,IF(L671&lt;$E$16,$E$13,$F$13))</f>
        <v/>
      </c>
      <c r="N671" s="15">
        <f>M671-V671</f>
        <v/>
      </c>
      <c r="O671" s="15">
        <f>IF(MOD(L671,$B$11)=0,OFFSET(O671,-$B$11,0)+ $E$2*N671+$E$3*OFFSET(N671,-$B$11,0)+ $E$4*OFFSET(N671,-2* $B$11,0), O670)</f>
        <v/>
      </c>
      <c r="P671" s="15">
        <f>INT((2^$J$12-1)*O671/100)/(2^$J$12-1)*100</f>
        <v/>
      </c>
      <c r="Q671" s="15" t="n">
        <v>0</v>
      </c>
      <c r="R671" s="15">
        <f>P671+Q671</f>
        <v/>
      </c>
      <c r="S671" s="15">
        <f>$I$1*S670-$I$2*S669+$I$3*R650+$I$4*R649</f>
        <v/>
      </c>
      <c r="T671" s="15">
        <f>RAND()*$G$12</f>
        <v/>
      </c>
      <c r="U671" s="15">
        <f>S671+T671</f>
        <v/>
      </c>
      <c r="V671" s="15">
        <f>INT((2^$J$12-1)*U671/100)/(2^$J$12-1)*100</f>
        <v/>
      </c>
      <c r="X671" s="15">
        <f>M671 * 1.05</f>
        <v/>
      </c>
      <c r="Y671" s="15">
        <f>M671 * 0.95</f>
        <v/>
      </c>
      <c r="Z671" s="15">
        <f>IF(AND(V671 &lt;= X671, V671 &gt;= Y671), 1, 0)</f>
        <v/>
      </c>
    </row>
    <row r="672">
      <c r="L672" s="15" t="n">
        <v>670</v>
      </c>
      <c r="M672" s="15">
        <f>IF(L672&lt;$D$16,$D$13,IF(L672&lt;$E$16,$E$13,$F$13))</f>
        <v/>
      </c>
      <c r="N672" s="15">
        <f>M672-V672</f>
        <v/>
      </c>
      <c r="O672" s="15">
        <f>IF(MOD(L672,$B$11)=0,OFFSET(O672,-$B$11,0)+ $E$2*N672+$E$3*OFFSET(N672,-$B$11,0)+ $E$4*OFFSET(N672,-2* $B$11,0), O671)</f>
        <v/>
      </c>
      <c r="P672" s="15">
        <f>INT((2^$J$12-1)*O672/100)/(2^$J$12-1)*100</f>
        <v/>
      </c>
      <c r="Q672" s="15" t="n">
        <v>0</v>
      </c>
      <c r="R672" s="15">
        <f>P672+Q672</f>
        <v/>
      </c>
      <c r="S672" s="15">
        <f>$I$1*S671-$I$2*S670+$I$3*R651+$I$4*R650</f>
        <v/>
      </c>
      <c r="T672" s="15">
        <f>RAND()*$G$12</f>
        <v/>
      </c>
      <c r="U672" s="15">
        <f>S672+T672</f>
        <v/>
      </c>
      <c r="V672" s="15">
        <f>INT((2^$J$12-1)*U672/100)/(2^$J$12-1)*100</f>
        <v/>
      </c>
      <c r="X672" s="15">
        <f>M672 * 1.05</f>
        <v/>
      </c>
      <c r="Y672" s="15">
        <f>M672 * 0.95</f>
        <v/>
      </c>
      <c r="Z672" s="15">
        <f>IF(AND(V672 &lt;= X672, V672 &gt;= Y672), 1, 0)</f>
        <v/>
      </c>
    </row>
    <row r="673">
      <c r="L673" s="15" t="n">
        <v>671</v>
      </c>
      <c r="M673" s="15">
        <f>IF(L673&lt;$D$16,$D$13,IF(L673&lt;$E$16,$E$13,$F$13))</f>
        <v/>
      </c>
      <c r="N673" s="15">
        <f>M673-V673</f>
        <v/>
      </c>
      <c r="O673" s="15">
        <f>IF(MOD(L673,$B$11)=0,OFFSET(O673,-$B$11,0)+ $E$2*N673+$E$3*OFFSET(N673,-$B$11,0)+ $E$4*OFFSET(N673,-2* $B$11,0), O672)</f>
        <v/>
      </c>
      <c r="P673" s="15">
        <f>INT((2^$J$12-1)*O673/100)/(2^$J$12-1)*100</f>
        <v/>
      </c>
      <c r="Q673" s="15" t="n">
        <v>0</v>
      </c>
      <c r="R673" s="15">
        <f>P673+Q673</f>
        <v/>
      </c>
      <c r="S673" s="15">
        <f>$I$1*S672-$I$2*S671+$I$3*R652+$I$4*R651</f>
        <v/>
      </c>
      <c r="T673" s="15">
        <f>RAND()*$G$12</f>
        <v/>
      </c>
      <c r="U673" s="15">
        <f>S673+T673</f>
        <v/>
      </c>
      <c r="V673" s="15">
        <f>INT((2^$J$12-1)*U673/100)/(2^$J$12-1)*100</f>
        <v/>
      </c>
      <c r="X673" s="15">
        <f>M673 * 1.05</f>
        <v/>
      </c>
      <c r="Y673" s="15">
        <f>M673 * 0.95</f>
        <v/>
      </c>
      <c r="Z673" s="15">
        <f>IF(AND(V673 &lt;= X673, V673 &gt;= Y673), 1, 0)</f>
        <v/>
      </c>
    </row>
    <row r="674">
      <c r="L674" s="15" t="n">
        <v>672</v>
      </c>
      <c r="M674" s="15">
        <f>IF(L674&lt;$D$16,$D$13,IF(L674&lt;$E$16,$E$13,$F$13))</f>
        <v/>
      </c>
      <c r="N674" s="15">
        <f>M674-V674</f>
        <v/>
      </c>
      <c r="O674" s="15">
        <f>IF(MOD(L674,$B$11)=0,OFFSET(O674,-$B$11,0)+ $E$2*N674+$E$3*OFFSET(N674,-$B$11,0)+ $E$4*OFFSET(N674,-2* $B$11,0), O673)</f>
        <v/>
      </c>
      <c r="P674" s="15">
        <f>INT((2^$J$12-1)*O674/100)/(2^$J$12-1)*100</f>
        <v/>
      </c>
      <c r="Q674" s="15" t="n">
        <v>0</v>
      </c>
      <c r="R674" s="15">
        <f>P674+Q674</f>
        <v/>
      </c>
      <c r="S674" s="15">
        <f>$I$1*S673-$I$2*S672+$I$3*R653+$I$4*R652</f>
        <v/>
      </c>
      <c r="T674" s="15">
        <f>RAND()*$G$12</f>
        <v/>
      </c>
      <c r="U674" s="15">
        <f>S674+T674</f>
        <v/>
      </c>
      <c r="V674" s="15">
        <f>INT((2^$J$12-1)*U674/100)/(2^$J$12-1)*100</f>
        <v/>
      </c>
      <c r="X674" s="15">
        <f>M674 * 1.05</f>
        <v/>
      </c>
      <c r="Y674" s="15">
        <f>M674 * 0.95</f>
        <v/>
      </c>
      <c r="Z674" s="15">
        <f>IF(AND(V674 &lt;= X674, V674 &gt;= Y674), 1, 0)</f>
        <v/>
      </c>
    </row>
    <row r="675">
      <c r="L675" s="15" t="n">
        <v>673</v>
      </c>
      <c r="M675" s="15">
        <f>IF(L675&lt;$D$16,$D$13,IF(L675&lt;$E$16,$E$13,$F$13))</f>
        <v/>
      </c>
      <c r="N675" s="15">
        <f>M675-V675</f>
        <v/>
      </c>
      <c r="O675" s="15">
        <f>IF(MOD(L675,$B$11)=0,OFFSET(O675,-$B$11,0)+ $E$2*N675+$E$3*OFFSET(N675,-$B$11,0)+ $E$4*OFFSET(N675,-2* $B$11,0), O674)</f>
        <v/>
      </c>
      <c r="P675" s="15">
        <f>INT((2^$J$12-1)*O675/100)/(2^$J$12-1)*100</f>
        <v/>
      </c>
      <c r="Q675" s="15" t="n">
        <v>0</v>
      </c>
      <c r="R675" s="15">
        <f>P675+Q675</f>
        <v/>
      </c>
      <c r="S675" s="15">
        <f>$I$1*S674-$I$2*S673+$I$3*R654+$I$4*R653</f>
        <v/>
      </c>
      <c r="T675" s="15">
        <f>RAND()*$G$12</f>
        <v/>
      </c>
      <c r="U675" s="15">
        <f>S675+T675</f>
        <v/>
      </c>
      <c r="V675" s="15">
        <f>INT((2^$J$12-1)*U675/100)/(2^$J$12-1)*100</f>
        <v/>
      </c>
      <c r="X675" s="15">
        <f>M675 * 1.05</f>
        <v/>
      </c>
      <c r="Y675" s="15">
        <f>M675 * 0.95</f>
        <v/>
      </c>
      <c r="Z675" s="15">
        <f>IF(AND(V675 &lt;= X675, V675 &gt;= Y675), 1, 0)</f>
        <v/>
      </c>
    </row>
    <row r="676">
      <c r="L676" s="15" t="n">
        <v>674</v>
      </c>
      <c r="M676" s="15">
        <f>IF(L676&lt;$D$16,$D$13,IF(L676&lt;$E$16,$E$13,$F$13))</f>
        <v/>
      </c>
      <c r="N676" s="15">
        <f>M676-V676</f>
        <v/>
      </c>
      <c r="O676" s="15">
        <f>IF(MOD(L676,$B$11)=0,OFFSET(O676,-$B$11,0)+ $E$2*N676+$E$3*OFFSET(N676,-$B$11,0)+ $E$4*OFFSET(N676,-2* $B$11,0), O675)</f>
        <v/>
      </c>
      <c r="P676" s="15">
        <f>INT((2^$J$12-1)*O676/100)/(2^$J$12-1)*100</f>
        <v/>
      </c>
      <c r="Q676" s="15" t="n">
        <v>0</v>
      </c>
      <c r="R676" s="15">
        <f>P676+Q676</f>
        <v/>
      </c>
      <c r="S676" s="15">
        <f>$I$1*S675-$I$2*S674+$I$3*R655+$I$4*R654</f>
        <v/>
      </c>
      <c r="T676" s="15">
        <f>RAND()*$G$12</f>
        <v/>
      </c>
      <c r="U676" s="15">
        <f>S676+T676</f>
        <v/>
      </c>
      <c r="V676" s="15">
        <f>INT((2^$J$12-1)*U676/100)/(2^$J$12-1)*100</f>
        <v/>
      </c>
      <c r="X676" s="15">
        <f>M676 * 1.05</f>
        <v/>
      </c>
      <c r="Y676" s="15">
        <f>M676 * 0.95</f>
        <v/>
      </c>
      <c r="Z676" s="15">
        <f>IF(AND(V676 &lt;= X676, V676 &gt;= Y676), 1, 0)</f>
        <v/>
      </c>
    </row>
    <row r="677">
      <c r="L677" s="15" t="n">
        <v>675</v>
      </c>
      <c r="M677" s="15">
        <f>IF(L677&lt;$D$16,$D$13,IF(L677&lt;$E$16,$E$13,$F$13))</f>
        <v/>
      </c>
      <c r="N677" s="15">
        <f>M677-V677</f>
        <v/>
      </c>
      <c r="O677" s="15">
        <f>IF(MOD(L677,$B$11)=0,OFFSET(O677,-$B$11,0)+ $E$2*N677+$E$3*OFFSET(N677,-$B$11,0)+ $E$4*OFFSET(N677,-2* $B$11,0), O676)</f>
        <v/>
      </c>
      <c r="P677" s="15">
        <f>INT((2^$J$12-1)*O677/100)/(2^$J$12-1)*100</f>
        <v/>
      </c>
      <c r="Q677" s="15" t="n">
        <v>0</v>
      </c>
      <c r="R677" s="15">
        <f>P677+Q677</f>
        <v/>
      </c>
      <c r="S677" s="15">
        <f>$I$1*S676-$I$2*S675+$I$3*R656+$I$4*R655</f>
        <v/>
      </c>
      <c r="T677" s="15">
        <f>RAND()*$G$12</f>
        <v/>
      </c>
      <c r="U677" s="15">
        <f>S677+T677</f>
        <v/>
      </c>
      <c r="V677" s="15">
        <f>INT((2^$J$12-1)*U677/100)/(2^$J$12-1)*100</f>
        <v/>
      </c>
      <c r="X677" s="15">
        <f>M677 * 1.05</f>
        <v/>
      </c>
      <c r="Y677" s="15">
        <f>M677 * 0.95</f>
        <v/>
      </c>
      <c r="Z677" s="15">
        <f>IF(AND(V677 &lt;= X677, V677 &gt;= Y677), 1, 0)</f>
        <v/>
      </c>
    </row>
    <row r="678">
      <c r="L678" s="15" t="n">
        <v>676</v>
      </c>
      <c r="M678" s="15">
        <f>IF(L678&lt;$D$16,$D$13,IF(L678&lt;$E$16,$E$13,$F$13))</f>
        <v/>
      </c>
      <c r="N678" s="15">
        <f>M678-V678</f>
        <v/>
      </c>
      <c r="O678" s="15">
        <f>IF(MOD(L678,$B$11)=0,OFFSET(O678,-$B$11,0)+ $E$2*N678+$E$3*OFFSET(N678,-$B$11,0)+ $E$4*OFFSET(N678,-2* $B$11,0), O677)</f>
        <v/>
      </c>
      <c r="P678" s="15">
        <f>INT((2^$J$12-1)*O678/100)/(2^$J$12-1)*100</f>
        <v/>
      </c>
      <c r="Q678" s="15" t="n">
        <v>0</v>
      </c>
      <c r="R678" s="15">
        <f>P678+Q678</f>
        <v/>
      </c>
      <c r="S678" s="15">
        <f>$I$1*S677-$I$2*S676+$I$3*R657+$I$4*R656</f>
        <v/>
      </c>
      <c r="T678" s="15">
        <f>RAND()*$G$12</f>
        <v/>
      </c>
      <c r="U678" s="15">
        <f>S678+T678</f>
        <v/>
      </c>
      <c r="V678" s="15">
        <f>INT((2^$J$12-1)*U678/100)/(2^$J$12-1)*100</f>
        <v/>
      </c>
      <c r="X678" s="15">
        <f>M678 * 1.05</f>
        <v/>
      </c>
      <c r="Y678" s="15">
        <f>M678 * 0.95</f>
        <v/>
      </c>
      <c r="Z678" s="15">
        <f>IF(AND(V678 &lt;= X678, V678 &gt;= Y678), 1, 0)</f>
        <v/>
      </c>
    </row>
    <row r="679">
      <c r="L679" s="15" t="n">
        <v>677</v>
      </c>
      <c r="M679" s="15">
        <f>IF(L679&lt;$D$16,$D$13,IF(L679&lt;$E$16,$E$13,$F$13))</f>
        <v/>
      </c>
      <c r="N679" s="15">
        <f>M679-V679</f>
        <v/>
      </c>
      <c r="O679" s="15">
        <f>IF(MOD(L679,$B$11)=0,OFFSET(O679,-$B$11,0)+ $E$2*N679+$E$3*OFFSET(N679,-$B$11,0)+ $E$4*OFFSET(N679,-2* $B$11,0), O678)</f>
        <v/>
      </c>
      <c r="P679" s="15">
        <f>INT((2^$J$12-1)*O679/100)/(2^$J$12-1)*100</f>
        <v/>
      </c>
      <c r="Q679" s="15" t="n">
        <v>0</v>
      </c>
      <c r="R679" s="15">
        <f>P679+Q679</f>
        <v/>
      </c>
      <c r="S679" s="15">
        <f>$I$1*S678-$I$2*S677+$I$3*R658+$I$4*R657</f>
        <v/>
      </c>
      <c r="T679" s="15">
        <f>RAND()*$G$12</f>
        <v/>
      </c>
      <c r="U679" s="15">
        <f>S679+T679</f>
        <v/>
      </c>
      <c r="V679" s="15">
        <f>INT((2^$J$12-1)*U679/100)/(2^$J$12-1)*100</f>
        <v/>
      </c>
      <c r="X679" s="15">
        <f>M679 * 1.05</f>
        <v/>
      </c>
      <c r="Y679" s="15">
        <f>M679 * 0.95</f>
        <v/>
      </c>
      <c r="Z679" s="15">
        <f>IF(AND(V679 &lt;= X679, V679 &gt;= Y679), 1, 0)</f>
        <v/>
      </c>
    </row>
    <row r="680">
      <c r="L680" s="15" t="n">
        <v>678</v>
      </c>
      <c r="M680" s="15">
        <f>IF(L680&lt;$D$16,$D$13,IF(L680&lt;$E$16,$E$13,$F$13))</f>
        <v/>
      </c>
      <c r="N680" s="15">
        <f>M680-V680</f>
        <v/>
      </c>
      <c r="O680" s="15">
        <f>IF(MOD(L680,$B$11)=0,OFFSET(O680,-$B$11,0)+ $E$2*N680+$E$3*OFFSET(N680,-$B$11,0)+ $E$4*OFFSET(N680,-2* $B$11,0), O679)</f>
        <v/>
      </c>
      <c r="P680" s="15">
        <f>INT((2^$J$12-1)*O680/100)/(2^$J$12-1)*100</f>
        <v/>
      </c>
      <c r="Q680" s="15" t="n">
        <v>0</v>
      </c>
      <c r="R680" s="15">
        <f>P680+Q680</f>
        <v/>
      </c>
      <c r="S680" s="15">
        <f>$I$1*S679-$I$2*S678+$I$3*R659+$I$4*R658</f>
        <v/>
      </c>
      <c r="T680" s="15">
        <f>RAND()*$G$12</f>
        <v/>
      </c>
      <c r="U680" s="15">
        <f>S680+T680</f>
        <v/>
      </c>
      <c r="V680" s="15">
        <f>INT((2^$J$12-1)*U680/100)/(2^$J$12-1)*100</f>
        <v/>
      </c>
      <c r="X680" s="15">
        <f>M680 * 1.05</f>
        <v/>
      </c>
      <c r="Y680" s="15">
        <f>M680 * 0.95</f>
        <v/>
      </c>
      <c r="Z680" s="15">
        <f>IF(AND(V680 &lt;= X680, V680 &gt;= Y680), 1, 0)</f>
        <v/>
      </c>
    </row>
    <row r="681">
      <c r="L681" s="15" t="n">
        <v>679</v>
      </c>
      <c r="M681" s="15">
        <f>IF(L681&lt;$D$16,$D$13,IF(L681&lt;$E$16,$E$13,$F$13))</f>
        <v/>
      </c>
      <c r="N681" s="15">
        <f>M681-V681</f>
        <v/>
      </c>
      <c r="O681" s="15">
        <f>IF(MOD(L681,$B$11)=0,OFFSET(O681,-$B$11,0)+ $E$2*N681+$E$3*OFFSET(N681,-$B$11,0)+ $E$4*OFFSET(N681,-2* $B$11,0), O680)</f>
        <v/>
      </c>
      <c r="P681" s="15">
        <f>INT((2^$J$12-1)*O681/100)/(2^$J$12-1)*100</f>
        <v/>
      </c>
      <c r="Q681" s="15" t="n">
        <v>0</v>
      </c>
      <c r="R681" s="15">
        <f>P681+Q681</f>
        <v/>
      </c>
      <c r="S681" s="15">
        <f>$I$1*S680-$I$2*S679+$I$3*R660+$I$4*R659</f>
        <v/>
      </c>
      <c r="T681" s="15">
        <f>RAND()*$G$12</f>
        <v/>
      </c>
      <c r="U681" s="15">
        <f>S681+T681</f>
        <v/>
      </c>
      <c r="V681" s="15">
        <f>INT((2^$J$12-1)*U681/100)/(2^$J$12-1)*100</f>
        <v/>
      </c>
      <c r="X681" s="15">
        <f>M681 * 1.05</f>
        <v/>
      </c>
      <c r="Y681" s="15">
        <f>M681 * 0.95</f>
        <v/>
      </c>
      <c r="Z681" s="15">
        <f>IF(AND(V681 &lt;= X681, V681 &gt;= Y681), 1, 0)</f>
        <v/>
      </c>
    </row>
    <row r="682">
      <c r="L682" s="15" t="n">
        <v>680</v>
      </c>
      <c r="M682" s="15">
        <f>IF(L682&lt;$D$16,$D$13,IF(L682&lt;$E$16,$E$13,$F$13))</f>
        <v/>
      </c>
      <c r="N682" s="15">
        <f>M682-V682</f>
        <v/>
      </c>
      <c r="O682" s="15">
        <f>IF(MOD(L682,$B$11)=0,OFFSET(O682,-$B$11,0)+ $E$2*N682+$E$3*OFFSET(N682,-$B$11,0)+ $E$4*OFFSET(N682,-2* $B$11,0), O681)</f>
        <v/>
      </c>
      <c r="P682" s="15">
        <f>INT((2^$J$12-1)*O682/100)/(2^$J$12-1)*100</f>
        <v/>
      </c>
      <c r="Q682" s="15" t="n">
        <v>0</v>
      </c>
      <c r="R682" s="15">
        <f>P682+Q682</f>
        <v/>
      </c>
      <c r="S682" s="15">
        <f>$I$1*S681-$I$2*S680+$I$3*R661+$I$4*R660</f>
        <v/>
      </c>
      <c r="T682" s="15">
        <f>RAND()*$G$12</f>
        <v/>
      </c>
      <c r="U682" s="15">
        <f>S682+T682</f>
        <v/>
      </c>
      <c r="V682" s="15">
        <f>INT((2^$J$12-1)*U682/100)/(2^$J$12-1)*100</f>
        <v/>
      </c>
      <c r="X682" s="15">
        <f>M682 * 1.05</f>
        <v/>
      </c>
      <c r="Y682" s="15">
        <f>M682 * 0.95</f>
        <v/>
      </c>
      <c r="Z682" s="15">
        <f>IF(AND(V682 &lt;= X682, V682 &gt;= Y682), 1, 0)</f>
        <v/>
      </c>
    </row>
    <row r="683">
      <c r="L683" s="15" t="n">
        <v>681</v>
      </c>
      <c r="M683" s="15">
        <f>IF(L683&lt;$D$16,$D$13,IF(L683&lt;$E$16,$E$13,$F$13))</f>
        <v/>
      </c>
      <c r="N683" s="15">
        <f>M683-V683</f>
        <v/>
      </c>
      <c r="O683" s="15">
        <f>IF(MOD(L683,$B$11)=0,OFFSET(O683,-$B$11,0)+ $E$2*N683+$E$3*OFFSET(N683,-$B$11,0)+ $E$4*OFFSET(N683,-2* $B$11,0), O682)</f>
        <v/>
      </c>
      <c r="P683" s="15">
        <f>INT((2^$J$12-1)*O683/100)/(2^$J$12-1)*100</f>
        <v/>
      </c>
      <c r="Q683" s="15" t="n">
        <v>0</v>
      </c>
      <c r="R683" s="15">
        <f>P683+Q683</f>
        <v/>
      </c>
      <c r="S683" s="15">
        <f>$I$1*S682-$I$2*S681+$I$3*R662+$I$4*R661</f>
        <v/>
      </c>
      <c r="T683" s="15">
        <f>RAND()*$G$12</f>
        <v/>
      </c>
      <c r="U683" s="15">
        <f>S683+T683</f>
        <v/>
      </c>
      <c r="V683" s="15">
        <f>INT((2^$J$12-1)*U683/100)/(2^$J$12-1)*100</f>
        <v/>
      </c>
      <c r="X683" s="15">
        <f>M683 * 1.05</f>
        <v/>
      </c>
      <c r="Y683" s="15">
        <f>M683 * 0.95</f>
        <v/>
      </c>
      <c r="Z683" s="15">
        <f>IF(AND(V683 &lt;= X683, V683 &gt;= Y683), 1, 0)</f>
        <v/>
      </c>
    </row>
    <row r="684">
      <c r="L684" s="15" t="n">
        <v>682</v>
      </c>
      <c r="M684" s="15">
        <f>IF(L684&lt;$D$16,$D$13,IF(L684&lt;$E$16,$E$13,$F$13))</f>
        <v/>
      </c>
      <c r="N684" s="15">
        <f>M684-V684</f>
        <v/>
      </c>
      <c r="O684" s="15">
        <f>IF(MOD(L684,$B$11)=0,OFFSET(O684,-$B$11,0)+ $E$2*N684+$E$3*OFFSET(N684,-$B$11,0)+ $E$4*OFFSET(N684,-2* $B$11,0), O683)</f>
        <v/>
      </c>
      <c r="P684" s="15">
        <f>INT((2^$J$12-1)*O684/100)/(2^$J$12-1)*100</f>
        <v/>
      </c>
      <c r="Q684" s="15" t="n">
        <v>0</v>
      </c>
      <c r="R684" s="15">
        <f>P684+Q684</f>
        <v/>
      </c>
      <c r="S684" s="15">
        <f>$I$1*S683-$I$2*S682+$I$3*R663+$I$4*R662</f>
        <v/>
      </c>
      <c r="T684" s="15">
        <f>RAND()*$G$12</f>
        <v/>
      </c>
      <c r="U684" s="15">
        <f>S684+T684</f>
        <v/>
      </c>
      <c r="V684" s="15">
        <f>INT((2^$J$12-1)*U684/100)/(2^$J$12-1)*100</f>
        <v/>
      </c>
      <c r="X684" s="15">
        <f>M684 * 1.05</f>
        <v/>
      </c>
      <c r="Y684" s="15">
        <f>M684 * 0.95</f>
        <v/>
      </c>
      <c r="Z684" s="15">
        <f>IF(AND(V684 &lt;= X684, V684 &gt;= Y684), 1, 0)</f>
        <v/>
      </c>
    </row>
    <row r="685">
      <c r="L685" s="15" t="n">
        <v>683</v>
      </c>
      <c r="M685" s="15">
        <f>IF(L685&lt;$D$16,$D$13,IF(L685&lt;$E$16,$E$13,$F$13))</f>
        <v/>
      </c>
      <c r="N685" s="15">
        <f>M685-V685</f>
        <v/>
      </c>
      <c r="O685" s="15">
        <f>IF(MOD(L685,$B$11)=0,OFFSET(O685,-$B$11,0)+ $E$2*N685+$E$3*OFFSET(N685,-$B$11,0)+ $E$4*OFFSET(N685,-2* $B$11,0), O684)</f>
        <v/>
      </c>
      <c r="P685" s="15">
        <f>INT((2^$J$12-1)*O685/100)/(2^$J$12-1)*100</f>
        <v/>
      </c>
      <c r="Q685" s="15" t="n">
        <v>0</v>
      </c>
      <c r="R685" s="15">
        <f>P685+Q685</f>
        <v/>
      </c>
      <c r="S685" s="15">
        <f>$I$1*S684-$I$2*S683+$I$3*R664+$I$4*R663</f>
        <v/>
      </c>
      <c r="T685" s="15">
        <f>RAND()*$G$12</f>
        <v/>
      </c>
      <c r="U685" s="15">
        <f>S685+T685</f>
        <v/>
      </c>
      <c r="V685" s="15">
        <f>INT((2^$J$12-1)*U685/100)/(2^$J$12-1)*100</f>
        <v/>
      </c>
      <c r="X685" s="15">
        <f>M685 * 1.05</f>
        <v/>
      </c>
      <c r="Y685" s="15">
        <f>M685 * 0.95</f>
        <v/>
      </c>
      <c r="Z685" s="15">
        <f>IF(AND(V685 &lt;= X685, V685 &gt;= Y685), 1, 0)</f>
        <v/>
      </c>
    </row>
    <row r="686">
      <c r="L686" s="15" t="n">
        <v>684</v>
      </c>
      <c r="M686" s="15">
        <f>IF(L686&lt;$D$16,$D$13,IF(L686&lt;$E$16,$E$13,$F$13))</f>
        <v/>
      </c>
      <c r="N686" s="15">
        <f>M686-V686</f>
        <v/>
      </c>
      <c r="O686" s="15">
        <f>IF(MOD(L686,$B$11)=0,OFFSET(O686,-$B$11,0)+ $E$2*N686+$E$3*OFFSET(N686,-$B$11,0)+ $E$4*OFFSET(N686,-2* $B$11,0), O685)</f>
        <v/>
      </c>
      <c r="P686" s="15">
        <f>INT((2^$J$12-1)*O686/100)/(2^$J$12-1)*100</f>
        <v/>
      </c>
      <c r="Q686" s="15" t="n">
        <v>0</v>
      </c>
      <c r="R686" s="15">
        <f>P686+Q686</f>
        <v/>
      </c>
      <c r="S686" s="15">
        <f>$I$1*S685-$I$2*S684+$I$3*R665+$I$4*R664</f>
        <v/>
      </c>
      <c r="T686" s="15">
        <f>RAND()*$G$12</f>
        <v/>
      </c>
      <c r="U686" s="15">
        <f>S686+T686</f>
        <v/>
      </c>
      <c r="V686" s="15">
        <f>INT((2^$J$12-1)*U686/100)/(2^$J$12-1)*100</f>
        <v/>
      </c>
      <c r="X686" s="15">
        <f>M686 * 1.05</f>
        <v/>
      </c>
      <c r="Y686" s="15">
        <f>M686 * 0.95</f>
        <v/>
      </c>
      <c r="Z686" s="15">
        <f>IF(AND(V686 &lt;= X686, V686 &gt;= Y686), 1, 0)</f>
        <v/>
      </c>
    </row>
    <row r="687">
      <c r="L687" s="15" t="n">
        <v>685</v>
      </c>
      <c r="M687" s="15">
        <f>IF(L687&lt;$D$16,$D$13,IF(L687&lt;$E$16,$E$13,$F$13))</f>
        <v/>
      </c>
      <c r="N687" s="15">
        <f>M687-V687</f>
        <v/>
      </c>
      <c r="O687" s="15">
        <f>IF(MOD(L687,$B$11)=0,OFFSET(O687,-$B$11,0)+ $E$2*N687+$E$3*OFFSET(N687,-$B$11,0)+ $E$4*OFFSET(N687,-2* $B$11,0), O686)</f>
        <v/>
      </c>
      <c r="P687" s="15">
        <f>INT((2^$J$12-1)*O687/100)/(2^$J$12-1)*100</f>
        <v/>
      </c>
      <c r="Q687" s="15" t="n">
        <v>0</v>
      </c>
      <c r="R687" s="15">
        <f>P687+Q687</f>
        <v/>
      </c>
      <c r="S687" s="15">
        <f>$I$1*S686-$I$2*S685+$I$3*R666+$I$4*R665</f>
        <v/>
      </c>
      <c r="T687" s="15">
        <f>RAND()*$G$12</f>
        <v/>
      </c>
      <c r="U687" s="15">
        <f>S687+T687</f>
        <v/>
      </c>
      <c r="V687" s="15">
        <f>INT((2^$J$12-1)*U687/100)/(2^$J$12-1)*100</f>
        <v/>
      </c>
      <c r="X687" s="15">
        <f>M687 * 1.05</f>
        <v/>
      </c>
      <c r="Y687" s="15">
        <f>M687 * 0.95</f>
        <v/>
      </c>
      <c r="Z687" s="15">
        <f>IF(AND(V687 &lt;= X687, V687 &gt;= Y687), 1, 0)</f>
        <v/>
      </c>
    </row>
    <row r="688">
      <c r="L688" s="15" t="n">
        <v>686</v>
      </c>
      <c r="M688" s="15">
        <f>IF(L688&lt;$D$16,$D$13,IF(L688&lt;$E$16,$E$13,$F$13))</f>
        <v/>
      </c>
      <c r="N688" s="15">
        <f>M688-V688</f>
        <v/>
      </c>
      <c r="O688" s="15">
        <f>IF(MOD(L688,$B$11)=0,OFFSET(O688,-$B$11,0)+ $E$2*N688+$E$3*OFFSET(N688,-$B$11,0)+ $E$4*OFFSET(N688,-2* $B$11,0), O687)</f>
        <v/>
      </c>
      <c r="P688" s="15">
        <f>INT((2^$J$12-1)*O688/100)/(2^$J$12-1)*100</f>
        <v/>
      </c>
      <c r="Q688" s="15" t="n">
        <v>0</v>
      </c>
      <c r="R688" s="15">
        <f>P688+Q688</f>
        <v/>
      </c>
      <c r="S688" s="15">
        <f>$I$1*S687-$I$2*S686+$I$3*R667+$I$4*R666</f>
        <v/>
      </c>
      <c r="T688" s="15">
        <f>RAND()*$G$12</f>
        <v/>
      </c>
      <c r="U688" s="15">
        <f>S688+T688</f>
        <v/>
      </c>
      <c r="V688" s="15">
        <f>INT((2^$J$12-1)*U688/100)/(2^$J$12-1)*100</f>
        <v/>
      </c>
      <c r="X688" s="15">
        <f>M688 * 1.05</f>
        <v/>
      </c>
      <c r="Y688" s="15">
        <f>M688 * 0.95</f>
        <v/>
      </c>
      <c r="Z688" s="15">
        <f>IF(AND(V688 &lt;= X688, V688 &gt;= Y688), 1, 0)</f>
        <v/>
      </c>
    </row>
    <row r="689">
      <c r="L689" s="15" t="n">
        <v>687</v>
      </c>
      <c r="M689" s="15">
        <f>IF(L689&lt;$D$16,$D$13,IF(L689&lt;$E$16,$E$13,$F$13))</f>
        <v/>
      </c>
      <c r="N689" s="15">
        <f>M689-V689</f>
        <v/>
      </c>
      <c r="O689" s="15">
        <f>IF(MOD(L689,$B$11)=0,OFFSET(O689,-$B$11,0)+ $E$2*N689+$E$3*OFFSET(N689,-$B$11,0)+ $E$4*OFFSET(N689,-2* $B$11,0), O688)</f>
        <v/>
      </c>
      <c r="P689" s="15">
        <f>INT((2^$J$12-1)*O689/100)/(2^$J$12-1)*100</f>
        <v/>
      </c>
      <c r="Q689" s="15" t="n">
        <v>0</v>
      </c>
      <c r="R689" s="15">
        <f>P689+Q689</f>
        <v/>
      </c>
      <c r="S689" s="15">
        <f>$I$1*S688-$I$2*S687+$I$3*R668+$I$4*R667</f>
        <v/>
      </c>
      <c r="T689" s="15">
        <f>RAND()*$G$12</f>
        <v/>
      </c>
      <c r="U689" s="15">
        <f>S689+T689</f>
        <v/>
      </c>
      <c r="V689" s="15">
        <f>INT((2^$J$12-1)*U689/100)/(2^$J$12-1)*100</f>
        <v/>
      </c>
      <c r="X689" s="15">
        <f>M689 * 1.05</f>
        <v/>
      </c>
      <c r="Y689" s="15">
        <f>M689 * 0.95</f>
        <v/>
      </c>
      <c r="Z689" s="15">
        <f>IF(AND(V689 &lt;= X689, V689 &gt;= Y689), 1, 0)</f>
        <v/>
      </c>
    </row>
    <row r="690">
      <c r="L690" s="15" t="n">
        <v>688</v>
      </c>
      <c r="M690" s="15">
        <f>IF(L690&lt;$D$16,$D$13,IF(L690&lt;$E$16,$E$13,$F$13))</f>
        <v/>
      </c>
      <c r="N690" s="15">
        <f>M690-V690</f>
        <v/>
      </c>
      <c r="O690" s="15">
        <f>IF(MOD(L690,$B$11)=0,OFFSET(O690,-$B$11,0)+ $E$2*N690+$E$3*OFFSET(N690,-$B$11,0)+ $E$4*OFFSET(N690,-2* $B$11,0), O689)</f>
        <v/>
      </c>
      <c r="P690" s="15">
        <f>INT((2^$J$12-1)*O690/100)/(2^$J$12-1)*100</f>
        <v/>
      </c>
      <c r="Q690" s="15" t="n">
        <v>0</v>
      </c>
      <c r="R690" s="15">
        <f>P690+Q690</f>
        <v/>
      </c>
      <c r="S690" s="15">
        <f>$I$1*S689-$I$2*S688+$I$3*R669+$I$4*R668</f>
        <v/>
      </c>
      <c r="T690" s="15">
        <f>RAND()*$G$12</f>
        <v/>
      </c>
      <c r="U690" s="15">
        <f>S690+T690</f>
        <v/>
      </c>
      <c r="V690" s="15">
        <f>INT((2^$J$12-1)*U690/100)/(2^$J$12-1)*100</f>
        <v/>
      </c>
      <c r="X690" s="15">
        <f>M690 * 1.05</f>
        <v/>
      </c>
      <c r="Y690" s="15">
        <f>M690 * 0.95</f>
        <v/>
      </c>
      <c r="Z690" s="15">
        <f>IF(AND(V690 &lt;= X690, V690 &gt;= Y690), 1, 0)</f>
        <v/>
      </c>
    </row>
    <row r="691">
      <c r="L691" s="15" t="n">
        <v>689</v>
      </c>
      <c r="M691" s="15">
        <f>IF(L691&lt;$D$16,$D$13,IF(L691&lt;$E$16,$E$13,$F$13))</f>
        <v/>
      </c>
      <c r="N691" s="15">
        <f>M691-V691</f>
        <v/>
      </c>
      <c r="O691" s="15">
        <f>IF(MOD(L691,$B$11)=0,OFFSET(O691,-$B$11,0)+ $E$2*N691+$E$3*OFFSET(N691,-$B$11,0)+ $E$4*OFFSET(N691,-2* $B$11,0), O690)</f>
        <v/>
      </c>
      <c r="P691" s="15">
        <f>INT((2^$J$12-1)*O691/100)/(2^$J$12-1)*100</f>
        <v/>
      </c>
      <c r="Q691" s="15" t="n">
        <v>0</v>
      </c>
      <c r="R691" s="15">
        <f>P691+Q691</f>
        <v/>
      </c>
      <c r="S691" s="15">
        <f>$I$1*S690-$I$2*S689+$I$3*R670+$I$4*R669</f>
        <v/>
      </c>
      <c r="T691" s="15">
        <f>RAND()*$G$12</f>
        <v/>
      </c>
      <c r="U691" s="15">
        <f>S691+T691</f>
        <v/>
      </c>
      <c r="V691" s="15">
        <f>INT((2^$J$12-1)*U691/100)/(2^$J$12-1)*100</f>
        <v/>
      </c>
      <c r="X691" s="15">
        <f>M691 * 1.05</f>
        <v/>
      </c>
      <c r="Y691" s="15">
        <f>M691 * 0.95</f>
        <v/>
      </c>
      <c r="Z691" s="15">
        <f>IF(AND(V691 &lt;= X691, V691 &gt;= Y691), 1, 0)</f>
        <v/>
      </c>
    </row>
    <row r="692">
      <c r="L692" s="15" t="n">
        <v>690</v>
      </c>
      <c r="M692" s="15">
        <f>IF(L692&lt;$D$16,$D$13,IF(L692&lt;$E$16,$E$13,$F$13))</f>
        <v/>
      </c>
      <c r="N692" s="15">
        <f>M692-V692</f>
        <v/>
      </c>
      <c r="O692" s="15">
        <f>IF(MOD(L692,$B$11)=0,OFFSET(O692,-$B$11,0)+ $E$2*N692+$E$3*OFFSET(N692,-$B$11,0)+ $E$4*OFFSET(N692,-2* $B$11,0), O691)</f>
        <v/>
      </c>
      <c r="P692" s="15">
        <f>INT((2^$J$12-1)*O692/100)/(2^$J$12-1)*100</f>
        <v/>
      </c>
      <c r="Q692" s="15" t="n">
        <v>0</v>
      </c>
      <c r="R692" s="15">
        <f>P692+Q692</f>
        <v/>
      </c>
      <c r="S692" s="15">
        <f>$I$1*S691-$I$2*S690+$I$3*R671+$I$4*R670</f>
        <v/>
      </c>
      <c r="T692" s="15">
        <f>RAND()*$G$12</f>
        <v/>
      </c>
      <c r="U692" s="15">
        <f>S692+T692</f>
        <v/>
      </c>
      <c r="V692" s="15">
        <f>INT((2^$J$12-1)*U692/100)/(2^$J$12-1)*100</f>
        <v/>
      </c>
      <c r="X692" s="15">
        <f>M692 * 1.05</f>
        <v/>
      </c>
      <c r="Y692" s="15">
        <f>M692 * 0.95</f>
        <v/>
      </c>
      <c r="Z692" s="15">
        <f>IF(AND(V692 &lt;= X692, V692 &gt;= Y692), 1, 0)</f>
        <v/>
      </c>
    </row>
    <row r="693">
      <c r="L693" s="15" t="n">
        <v>691</v>
      </c>
      <c r="M693" s="15">
        <f>IF(L693&lt;$D$16,$D$13,IF(L693&lt;$E$16,$E$13,$F$13))</f>
        <v/>
      </c>
      <c r="N693" s="15">
        <f>M693-V693</f>
        <v/>
      </c>
      <c r="O693" s="15">
        <f>IF(MOD(L693,$B$11)=0,OFFSET(O693,-$B$11,0)+ $E$2*N693+$E$3*OFFSET(N693,-$B$11,0)+ $E$4*OFFSET(N693,-2* $B$11,0), O692)</f>
        <v/>
      </c>
      <c r="P693" s="15">
        <f>INT((2^$J$12-1)*O693/100)/(2^$J$12-1)*100</f>
        <v/>
      </c>
      <c r="Q693" s="15" t="n">
        <v>0</v>
      </c>
      <c r="R693" s="15">
        <f>P693+Q693</f>
        <v/>
      </c>
      <c r="S693" s="15">
        <f>$I$1*S692-$I$2*S691+$I$3*R672+$I$4*R671</f>
        <v/>
      </c>
      <c r="T693" s="15">
        <f>RAND()*$G$12</f>
        <v/>
      </c>
      <c r="U693" s="15">
        <f>S693+T693</f>
        <v/>
      </c>
      <c r="V693" s="15">
        <f>INT((2^$J$12-1)*U693/100)/(2^$J$12-1)*100</f>
        <v/>
      </c>
      <c r="X693" s="15">
        <f>M693 * 1.05</f>
        <v/>
      </c>
      <c r="Y693" s="15">
        <f>M693 * 0.95</f>
        <v/>
      </c>
      <c r="Z693" s="15">
        <f>IF(AND(V693 &lt;= X693, V693 &gt;= Y693), 1, 0)</f>
        <v/>
      </c>
    </row>
    <row r="694">
      <c r="L694" s="15" t="n">
        <v>692</v>
      </c>
      <c r="M694" s="15">
        <f>IF(L694&lt;$D$16,$D$13,IF(L694&lt;$E$16,$E$13,$F$13))</f>
        <v/>
      </c>
      <c r="N694" s="15">
        <f>M694-V694</f>
        <v/>
      </c>
      <c r="O694" s="15">
        <f>IF(MOD(L694,$B$11)=0,OFFSET(O694,-$B$11,0)+ $E$2*N694+$E$3*OFFSET(N694,-$B$11,0)+ $E$4*OFFSET(N694,-2* $B$11,0), O693)</f>
        <v/>
      </c>
      <c r="P694" s="15">
        <f>INT((2^$J$12-1)*O694/100)/(2^$J$12-1)*100</f>
        <v/>
      </c>
      <c r="Q694" s="15" t="n">
        <v>0</v>
      </c>
      <c r="R694" s="15">
        <f>P694+Q694</f>
        <v/>
      </c>
      <c r="S694" s="15">
        <f>$I$1*S693-$I$2*S692+$I$3*R673+$I$4*R672</f>
        <v/>
      </c>
      <c r="T694" s="15">
        <f>RAND()*$G$12</f>
        <v/>
      </c>
      <c r="U694" s="15">
        <f>S694+T694</f>
        <v/>
      </c>
      <c r="V694" s="15">
        <f>INT((2^$J$12-1)*U694/100)/(2^$J$12-1)*100</f>
        <v/>
      </c>
      <c r="X694" s="15">
        <f>M694 * 1.05</f>
        <v/>
      </c>
      <c r="Y694" s="15">
        <f>M694 * 0.95</f>
        <v/>
      </c>
      <c r="Z694" s="15">
        <f>IF(AND(V694 &lt;= X694, V694 &gt;= Y694), 1, 0)</f>
        <v/>
      </c>
    </row>
    <row r="695">
      <c r="L695" s="15" t="n">
        <v>693</v>
      </c>
      <c r="M695" s="15">
        <f>IF(L695&lt;$D$16,$D$13,IF(L695&lt;$E$16,$E$13,$F$13))</f>
        <v/>
      </c>
      <c r="N695" s="15">
        <f>M695-V695</f>
        <v/>
      </c>
      <c r="O695" s="15">
        <f>IF(MOD(L695,$B$11)=0,OFFSET(O695,-$B$11,0)+ $E$2*N695+$E$3*OFFSET(N695,-$B$11,0)+ $E$4*OFFSET(N695,-2* $B$11,0), O694)</f>
        <v/>
      </c>
      <c r="P695" s="15">
        <f>INT((2^$J$12-1)*O695/100)/(2^$J$12-1)*100</f>
        <v/>
      </c>
      <c r="Q695" s="15" t="n">
        <v>0</v>
      </c>
      <c r="R695" s="15">
        <f>P695+Q695</f>
        <v/>
      </c>
      <c r="S695" s="15">
        <f>$I$1*S694-$I$2*S693+$I$3*R674+$I$4*R673</f>
        <v/>
      </c>
      <c r="T695" s="15">
        <f>RAND()*$G$12</f>
        <v/>
      </c>
      <c r="U695" s="15">
        <f>S695+T695</f>
        <v/>
      </c>
      <c r="V695" s="15">
        <f>INT((2^$J$12-1)*U695/100)/(2^$J$12-1)*100</f>
        <v/>
      </c>
      <c r="X695" s="15">
        <f>M695 * 1.05</f>
        <v/>
      </c>
      <c r="Y695" s="15">
        <f>M695 * 0.95</f>
        <v/>
      </c>
      <c r="Z695" s="15">
        <f>IF(AND(V695 &lt;= X695, V695 &gt;= Y695), 1, 0)</f>
        <v/>
      </c>
    </row>
    <row r="696">
      <c r="L696" s="15" t="n">
        <v>694</v>
      </c>
      <c r="M696" s="15">
        <f>IF(L696&lt;$D$16,$D$13,IF(L696&lt;$E$16,$E$13,$F$13))</f>
        <v/>
      </c>
      <c r="N696" s="15">
        <f>M696-V696</f>
        <v/>
      </c>
      <c r="O696" s="15">
        <f>IF(MOD(L696,$B$11)=0,OFFSET(O696,-$B$11,0)+ $E$2*N696+$E$3*OFFSET(N696,-$B$11,0)+ $E$4*OFFSET(N696,-2* $B$11,0), O695)</f>
        <v/>
      </c>
      <c r="P696" s="15">
        <f>INT((2^$J$12-1)*O696/100)/(2^$J$12-1)*100</f>
        <v/>
      </c>
      <c r="Q696" s="15" t="n">
        <v>0</v>
      </c>
      <c r="R696" s="15">
        <f>P696+Q696</f>
        <v/>
      </c>
      <c r="S696" s="15">
        <f>$I$1*S695-$I$2*S694+$I$3*R675+$I$4*R674</f>
        <v/>
      </c>
      <c r="T696" s="15">
        <f>RAND()*$G$12</f>
        <v/>
      </c>
      <c r="U696" s="15">
        <f>S696+T696</f>
        <v/>
      </c>
      <c r="V696" s="15">
        <f>INT((2^$J$12-1)*U696/100)/(2^$J$12-1)*100</f>
        <v/>
      </c>
      <c r="X696" s="15">
        <f>M696 * 1.05</f>
        <v/>
      </c>
      <c r="Y696" s="15">
        <f>M696 * 0.95</f>
        <v/>
      </c>
      <c r="Z696" s="15">
        <f>IF(AND(V696 &lt;= X696, V696 &gt;= Y696), 1, 0)</f>
        <v/>
      </c>
    </row>
    <row r="697">
      <c r="L697" s="15" t="n">
        <v>695</v>
      </c>
      <c r="M697" s="15">
        <f>IF(L697&lt;$D$16,$D$13,IF(L697&lt;$E$16,$E$13,$F$13))</f>
        <v/>
      </c>
      <c r="N697" s="15">
        <f>M697-V697</f>
        <v/>
      </c>
      <c r="O697" s="15">
        <f>IF(MOD(L697,$B$11)=0,OFFSET(O697,-$B$11,0)+ $E$2*N697+$E$3*OFFSET(N697,-$B$11,0)+ $E$4*OFFSET(N697,-2* $B$11,0), O696)</f>
        <v/>
      </c>
      <c r="P697" s="15">
        <f>INT((2^$J$12-1)*O697/100)/(2^$J$12-1)*100</f>
        <v/>
      </c>
      <c r="Q697" s="15" t="n">
        <v>0</v>
      </c>
      <c r="R697" s="15">
        <f>P697+Q697</f>
        <v/>
      </c>
      <c r="S697" s="15">
        <f>$I$1*S696-$I$2*S695+$I$3*R676+$I$4*R675</f>
        <v/>
      </c>
      <c r="T697" s="15">
        <f>RAND()*$G$12</f>
        <v/>
      </c>
      <c r="U697" s="15">
        <f>S697+T697</f>
        <v/>
      </c>
      <c r="V697" s="15">
        <f>INT((2^$J$12-1)*U697/100)/(2^$J$12-1)*100</f>
        <v/>
      </c>
      <c r="X697" s="15">
        <f>M697 * 1.05</f>
        <v/>
      </c>
      <c r="Y697" s="15">
        <f>M697 * 0.95</f>
        <v/>
      </c>
      <c r="Z697" s="15">
        <f>IF(AND(V697 &lt;= X697, V697 &gt;= Y697), 1, 0)</f>
        <v/>
      </c>
    </row>
    <row r="698">
      <c r="L698" s="15" t="n">
        <v>696</v>
      </c>
      <c r="M698" s="15">
        <f>IF(L698&lt;$D$16,$D$13,IF(L698&lt;$E$16,$E$13,$F$13))</f>
        <v/>
      </c>
      <c r="N698" s="15">
        <f>M698-V698</f>
        <v/>
      </c>
      <c r="O698" s="15">
        <f>IF(MOD(L698,$B$11)=0,OFFSET(O698,-$B$11,0)+ $E$2*N698+$E$3*OFFSET(N698,-$B$11,0)+ $E$4*OFFSET(N698,-2* $B$11,0), O697)</f>
        <v/>
      </c>
      <c r="P698" s="15">
        <f>INT((2^$J$12-1)*O698/100)/(2^$J$12-1)*100</f>
        <v/>
      </c>
      <c r="Q698" s="15" t="n">
        <v>0</v>
      </c>
      <c r="R698" s="15">
        <f>P698+Q698</f>
        <v/>
      </c>
      <c r="S698" s="15">
        <f>$I$1*S697-$I$2*S696+$I$3*R677+$I$4*R676</f>
        <v/>
      </c>
      <c r="T698" s="15">
        <f>RAND()*$G$12</f>
        <v/>
      </c>
      <c r="U698" s="15">
        <f>S698+T698</f>
        <v/>
      </c>
      <c r="V698" s="15">
        <f>INT((2^$J$12-1)*U698/100)/(2^$J$12-1)*100</f>
        <v/>
      </c>
      <c r="X698" s="15">
        <f>M698 * 1.05</f>
        <v/>
      </c>
      <c r="Y698" s="15">
        <f>M698 * 0.95</f>
        <v/>
      </c>
      <c r="Z698" s="15">
        <f>IF(AND(V698 &lt;= X698, V698 &gt;= Y698), 1, 0)</f>
        <v/>
      </c>
    </row>
    <row r="699">
      <c r="L699" s="15" t="n">
        <v>697</v>
      </c>
      <c r="M699" s="15">
        <f>IF(L699&lt;$D$16,$D$13,IF(L699&lt;$E$16,$E$13,$F$13))</f>
        <v/>
      </c>
      <c r="N699" s="15">
        <f>M699-V699</f>
        <v/>
      </c>
      <c r="O699" s="15">
        <f>IF(MOD(L699,$B$11)=0,OFFSET(O699,-$B$11,0)+ $E$2*N699+$E$3*OFFSET(N699,-$B$11,0)+ $E$4*OFFSET(N699,-2* $B$11,0), O698)</f>
        <v/>
      </c>
      <c r="P699" s="15">
        <f>INT((2^$J$12-1)*O699/100)/(2^$J$12-1)*100</f>
        <v/>
      </c>
      <c r="Q699" s="15" t="n">
        <v>0</v>
      </c>
      <c r="R699" s="15">
        <f>P699+Q699</f>
        <v/>
      </c>
      <c r="S699" s="15">
        <f>$I$1*S698-$I$2*S697+$I$3*R678+$I$4*R677</f>
        <v/>
      </c>
      <c r="T699" s="15">
        <f>RAND()*$G$12</f>
        <v/>
      </c>
      <c r="U699" s="15">
        <f>S699+T699</f>
        <v/>
      </c>
      <c r="V699" s="15">
        <f>INT((2^$J$12-1)*U699/100)/(2^$J$12-1)*100</f>
        <v/>
      </c>
      <c r="X699" s="15">
        <f>M699 * 1.05</f>
        <v/>
      </c>
      <c r="Y699" s="15">
        <f>M699 * 0.95</f>
        <v/>
      </c>
      <c r="Z699" s="15">
        <f>IF(AND(V699 &lt;= X699, V699 &gt;= Y699), 1, 0)</f>
        <v/>
      </c>
    </row>
    <row r="700">
      <c r="L700" s="15" t="n">
        <v>698</v>
      </c>
      <c r="M700" s="15">
        <f>IF(L700&lt;$D$16,$D$13,IF(L700&lt;$E$16,$E$13,$F$13))</f>
        <v/>
      </c>
      <c r="N700" s="15">
        <f>M700-V700</f>
        <v/>
      </c>
      <c r="O700" s="15">
        <f>IF(MOD(L700,$B$11)=0,OFFSET(O700,-$B$11,0)+ $E$2*N700+$E$3*OFFSET(N700,-$B$11,0)+ $E$4*OFFSET(N700,-2* $B$11,0), O699)</f>
        <v/>
      </c>
      <c r="P700" s="15">
        <f>INT((2^$J$12-1)*O700/100)/(2^$J$12-1)*100</f>
        <v/>
      </c>
      <c r="Q700" s="15" t="n">
        <v>0</v>
      </c>
      <c r="R700" s="15">
        <f>P700+Q700</f>
        <v/>
      </c>
      <c r="S700" s="15">
        <f>$I$1*S699-$I$2*S698+$I$3*R679+$I$4*R678</f>
        <v/>
      </c>
      <c r="T700" s="15">
        <f>RAND()*$G$12</f>
        <v/>
      </c>
      <c r="U700" s="15">
        <f>S700+T700</f>
        <v/>
      </c>
      <c r="V700" s="15">
        <f>INT((2^$J$12-1)*U700/100)/(2^$J$12-1)*100</f>
        <v/>
      </c>
      <c r="X700" s="15">
        <f>M700 * 1.05</f>
        <v/>
      </c>
      <c r="Y700" s="15">
        <f>M700 * 0.95</f>
        <v/>
      </c>
      <c r="Z700" s="15">
        <f>IF(AND(V700 &lt;= X700, V700 &gt;= Y700), 1, 0)</f>
        <v/>
      </c>
    </row>
    <row r="701">
      <c r="L701" s="15" t="n">
        <v>699</v>
      </c>
      <c r="M701" s="15">
        <f>IF(L701&lt;$D$16,$D$13,IF(L701&lt;$E$16,$E$13,$F$13))</f>
        <v/>
      </c>
      <c r="N701" s="15">
        <f>M701-V701</f>
        <v/>
      </c>
      <c r="O701" s="15">
        <f>IF(MOD(L701,$B$11)=0,OFFSET(O701,-$B$11,0)+ $E$2*N701+$E$3*OFFSET(N701,-$B$11,0)+ $E$4*OFFSET(N701,-2* $B$11,0), O700)</f>
        <v/>
      </c>
      <c r="P701" s="15">
        <f>INT((2^$J$12-1)*O701/100)/(2^$J$12-1)*100</f>
        <v/>
      </c>
      <c r="Q701" s="15" t="n">
        <v>0</v>
      </c>
      <c r="R701" s="15">
        <f>P701+Q701</f>
        <v/>
      </c>
      <c r="S701" s="15">
        <f>$I$1*S700-$I$2*S699+$I$3*R680+$I$4*R679</f>
        <v/>
      </c>
      <c r="T701" s="15">
        <f>RAND()*$G$12</f>
        <v/>
      </c>
      <c r="U701" s="15">
        <f>S701+T701</f>
        <v/>
      </c>
      <c r="V701" s="15">
        <f>INT((2^$J$12-1)*U701/100)/(2^$J$12-1)*100</f>
        <v/>
      </c>
      <c r="X701" s="15">
        <f>M701 * 1.05</f>
        <v/>
      </c>
      <c r="Y701" s="15">
        <f>M701 * 0.95</f>
        <v/>
      </c>
      <c r="Z701" s="15">
        <f>IF(AND(V701 &lt;= X701, V701 &gt;= Y701), 1, 0)</f>
        <v/>
      </c>
    </row>
    <row r="702">
      <c r="L702" s="15" t="n">
        <v>700</v>
      </c>
      <c r="M702" s="15">
        <f>IF(L702&lt;$D$16,$D$13,IF(L702&lt;$E$16,$E$13,$F$13))</f>
        <v/>
      </c>
      <c r="N702" s="15">
        <f>M702-V702</f>
        <v/>
      </c>
      <c r="O702" s="15">
        <f>IF(MOD(L702,$B$11)=0,OFFSET(O702,-$B$11,0)+ $E$2*N702+$E$3*OFFSET(N702,-$B$11,0)+ $E$4*OFFSET(N702,-2* $B$11,0), O701)</f>
        <v/>
      </c>
      <c r="P702" s="15">
        <f>INT((2^$J$12-1)*O702/100)/(2^$J$12-1)*100</f>
        <v/>
      </c>
      <c r="Q702" s="15" t="n">
        <v>0</v>
      </c>
      <c r="R702" s="15">
        <f>P702+Q702</f>
        <v/>
      </c>
      <c r="S702" s="15">
        <f>$I$1*S701-$I$2*S700+$I$3*R681+$I$4*R680</f>
        <v/>
      </c>
      <c r="T702" s="15">
        <f>RAND()*$G$12</f>
        <v/>
      </c>
      <c r="U702" s="15">
        <f>S702+T702</f>
        <v/>
      </c>
      <c r="V702" s="15">
        <f>INT((2^$J$12-1)*U702/100)/(2^$J$12-1)*100</f>
        <v/>
      </c>
      <c r="X702" s="15">
        <f>M702 * 1.05</f>
        <v/>
      </c>
      <c r="Y702" s="15">
        <f>M702 * 0.95</f>
        <v/>
      </c>
      <c r="Z702" s="15">
        <f>IF(AND(V702 &lt;= X702, V702 &gt;= Y702), 1, 0)</f>
        <v/>
      </c>
    </row>
    <row r="703">
      <c r="L703" s="15" t="n">
        <v>701</v>
      </c>
      <c r="M703" s="15">
        <f>IF(L703&lt;$D$16,$D$13,IF(L703&lt;$E$16,$E$13,$F$13))</f>
        <v/>
      </c>
      <c r="N703" s="15">
        <f>M703-V703</f>
        <v/>
      </c>
      <c r="O703" s="15">
        <f>IF(MOD(L703,$B$11)=0,OFFSET(O703,-$B$11,0)+ $E$2*N703+$E$3*OFFSET(N703,-$B$11,0)+ $E$4*OFFSET(N703,-2* $B$11,0), O702)</f>
        <v/>
      </c>
      <c r="P703" s="15">
        <f>INT((2^$J$12-1)*O703/100)/(2^$J$12-1)*100</f>
        <v/>
      </c>
      <c r="Q703" s="15" t="n">
        <v>0</v>
      </c>
      <c r="R703" s="15">
        <f>P703+Q703</f>
        <v/>
      </c>
      <c r="S703" s="15">
        <f>$I$1*S702-$I$2*S701+$I$3*R682+$I$4*R681</f>
        <v/>
      </c>
      <c r="T703" s="15">
        <f>RAND()*$G$12</f>
        <v/>
      </c>
      <c r="U703" s="15">
        <f>S703+T703</f>
        <v/>
      </c>
      <c r="V703" s="15">
        <f>INT((2^$J$12-1)*U703/100)/(2^$J$12-1)*100</f>
        <v/>
      </c>
      <c r="X703" s="15">
        <f>M703 * 1.05</f>
        <v/>
      </c>
      <c r="Y703" s="15">
        <f>M703 * 0.95</f>
        <v/>
      </c>
      <c r="Z703" s="15">
        <f>IF(AND(V703 &lt;= X703, V703 &gt;= Y703), 1, 0)</f>
        <v/>
      </c>
    </row>
    <row r="704">
      <c r="L704" s="15" t="n">
        <v>702</v>
      </c>
      <c r="M704" s="15">
        <f>IF(L704&lt;$D$16,$D$13,IF(L704&lt;$E$16,$E$13,$F$13))</f>
        <v/>
      </c>
      <c r="N704" s="15">
        <f>M704-V704</f>
        <v/>
      </c>
      <c r="O704" s="15">
        <f>IF(MOD(L704,$B$11)=0,OFFSET(O704,-$B$11,0)+ $E$2*N704+$E$3*OFFSET(N704,-$B$11,0)+ $E$4*OFFSET(N704,-2* $B$11,0), O703)</f>
        <v/>
      </c>
      <c r="P704" s="15">
        <f>INT((2^$J$12-1)*O704/100)/(2^$J$12-1)*100</f>
        <v/>
      </c>
      <c r="Q704" s="15" t="n">
        <v>0</v>
      </c>
      <c r="R704" s="15">
        <f>P704+Q704</f>
        <v/>
      </c>
      <c r="S704" s="15">
        <f>$I$1*S703-$I$2*S702+$I$3*R683+$I$4*R682</f>
        <v/>
      </c>
      <c r="T704" s="15">
        <f>RAND()*$G$12</f>
        <v/>
      </c>
      <c r="U704" s="15">
        <f>S704+T704</f>
        <v/>
      </c>
      <c r="V704" s="15">
        <f>INT((2^$J$12-1)*U704/100)/(2^$J$12-1)*100</f>
        <v/>
      </c>
      <c r="X704" s="15">
        <f>M704 * 1.05</f>
        <v/>
      </c>
      <c r="Y704" s="15">
        <f>M704 * 0.95</f>
        <v/>
      </c>
      <c r="Z704" s="15">
        <f>IF(AND(V704 &lt;= X704, V704 &gt;= Y704), 1, 0)</f>
        <v/>
      </c>
    </row>
    <row r="705">
      <c r="L705" s="15" t="n">
        <v>703</v>
      </c>
      <c r="M705" s="15">
        <f>IF(L705&lt;$D$16,$D$13,IF(L705&lt;$E$16,$E$13,$F$13))</f>
        <v/>
      </c>
      <c r="N705" s="15">
        <f>M705-V705</f>
        <v/>
      </c>
      <c r="O705" s="15">
        <f>IF(MOD(L705,$B$11)=0,OFFSET(O705,-$B$11,0)+ $E$2*N705+$E$3*OFFSET(N705,-$B$11,0)+ $E$4*OFFSET(N705,-2* $B$11,0), O704)</f>
        <v/>
      </c>
      <c r="P705" s="15">
        <f>INT((2^$J$12-1)*O705/100)/(2^$J$12-1)*100</f>
        <v/>
      </c>
      <c r="Q705" s="15" t="n">
        <v>0</v>
      </c>
      <c r="R705" s="15">
        <f>P705+Q705</f>
        <v/>
      </c>
      <c r="S705" s="15">
        <f>$I$1*S704-$I$2*S703+$I$3*R684+$I$4*R683</f>
        <v/>
      </c>
      <c r="T705" s="15">
        <f>RAND()*$G$12</f>
        <v/>
      </c>
      <c r="U705" s="15">
        <f>S705+T705</f>
        <v/>
      </c>
      <c r="V705" s="15">
        <f>INT((2^$J$12-1)*U705/100)/(2^$J$12-1)*100</f>
        <v/>
      </c>
      <c r="X705" s="15">
        <f>M705 * 1.05</f>
        <v/>
      </c>
      <c r="Y705" s="15">
        <f>M705 * 0.95</f>
        <v/>
      </c>
      <c r="Z705" s="15">
        <f>IF(AND(V705 &lt;= X705, V705 &gt;= Y705), 1, 0)</f>
        <v/>
      </c>
    </row>
    <row r="706">
      <c r="L706" s="15" t="n">
        <v>704</v>
      </c>
      <c r="M706" s="15">
        <f>IF(L706&lt;$D$16,$D$13,IF(L706&lt;$E$16,$E$13,$F$13))</f>
        <v/>
      </c>
      <c r="N706" s="15">
        <f>M706-V706</f>
        <v/>
      </c>
      <c r="O706" s="15">
        <f>IF(MOD(L706,$B$11)=0,OFFSET(O706,-$B$11,0)+ $E$2*N706+$E$3*OFFSET(N706,-$B$11,0)+ $E$4*OFFSET(N706,-2* $B$11,0), O705)</f>
        <v/>
      </c>
      <c r="P706" s="15">
        <f>INT((2^$J$12-1)*O706/100)/(2^$J$12-1)*100</f>
        <v/>
      </c>
      <c r="Q706" s="15" t="n">
        <v>0</v>
      </c>
      <c r="R706" s="15">
        <f>P706+Q706</f>
        <v/>
      </c>
      <c r="S706" s="15">
        <f>$I$1*S705-$I$2*S704+$I$3*R685+$I$4*R684</f>
        <v/>
      </c>
      <c r="T706" s="15">
        <f>RAND()*$G$12</f>
        <v/>
      </c>
      <c r="U706" s="15">
        <f>S706+T706</f>
        <v/>
      </c>
      <c r="V706" s="15">
        <f>INT((2^$J$12-1)*U706/100)/(2^$J$12-1)*100</f>
        <v/>
      </c>
      <c r="X706" s="15">
        <f>M706 * 1.05</f>
        <v/>
      </c>
      <c r="Y706" s="15">
        <f>M706 * 0.95</f>
        <v/>
      </c>
      <c r="Z706" s="15">
        <f>IF(AND(V706 &lt;= X706, V706 &gt;= Y706), 1, 0)</f>
        <v/>
      </c>
    </row>
    <row r="707">
      <c r="L707" s="15" t="n">
        <v>705</v>
      </c>
      <c r="M707" s="15">
        <f>IF(L707&lt;$D$16,$D$13,IF(L707&lt;$E$16,$E$13,$F$13))</f>
        <v/>
      </c>
      <c r="N707" s="15">
        <f>M707-V707</f>
        <v/>
      </c>
      <c r="O707" s="15">
        <f>IF(MOD(L707,$B$11)=0,OFFSET(O707,-$B$11,0)+ $E$2*N707+$E$3*OFFSET(N707,-$B$11,0)+ $E$4*OFFSET(N707,-2* $B$11,0), O706)</f>
        <v/>
      </c>
      <c r="P707" s="15">
        <f>INT((2^$J$12-1)*O707/100)/(2^$J$12-1)*100</f>
        <v/>
      </c>
      <c r="Q707" s="15" t="n">
        <v>0</v>
      </c>
      <c r="R707" s="15">
        <f>P707+Q707</f>
        <v/>
      </c>
      <c r="S707" s="15">
        <f>$I$1*S706-$I$2*S705+$I$3*R686+$I$4*R685</f>
        <v/>
      </c>
      <c r="T707" s="15">
        <f>RAND()*$G$12</f>
        <v/>
      </c>
      <c r="U707" s="15">
        <f>S707+T707</f>
        <v/>
      </c>
      <c r="V707" s="15">
        <f>INT((2^$J$12-1)*U707/100)/(2^$J$12-1)*100</f>
        <v/>
      </c>
      <c r="X707" s="15">
        <f>M707 * 1.05</f>
        <v/>
      </c>
      <c r="Y707" s="15">
        <f>M707 * 0.95</f>
        <v/>
      </c>
      <c r="Z707" s="15">
        <f>IF(AND(V707 &lt;= X707, V707 &gt;= Y707), 1, 0)</f>
        <v/>
      </c>
    </row>
    <row r="708">
      <c r="L708" s="15" t="n">
        <v>706</v>
      </c>
      <c r="M708" s="15">
        <f>IF(L708&lt;$D$16,$D$13,IF(L708&lt;$E$16,$E$13,$F$13))</f>
        <v/>
      </c>
      <c r="N708" s="15">
        <f>M708-V708</f>
        <v/>
      </c>
      <c r="O708" s="15">
        <f>IF(MOD(L708,$B$11)=0,OFFSET(O708,-$B$11,0)+ $E$2*N708+$E$3*OFFSET(N708,-$B$11,0)+ $E$4*OFFSET(N708,-2* $B$11,0), O707)</f>
        <v/>
      </c>
      <c r="P708" s="15">
        <f>INT((2^$J$12-1)*O708/100)/(2^$J$12-1)*100</f>
        <v/>
      </c>
      <c r="Q708" s="15" t="n">
        <v>0</v>
      </c>
      <c r="R708" s="15">
        <f>P708+Q708</f>
        <v/>
      </c>
      <c r="S708" s="15">
        <f>$I$1*S707-$I$2*S706+$I$3*R687+$I$4*R686</f>
        <v/>
      </c>
      <c r="T708" s="15">
        <f>RAND()*$G$12</f>
        <v/>
      </c>
      <c r="U708" s="15">
        <f>S708+T708</f>
        <v/>
      </c>
      <c r="V708" s="15">
        <f>INT((2^$J$12-1)*U708/100)/(2^$J$12-1)*100</f>
        <v/>
      </c>
      <c r="X708" s="15">
        <f>M708 * 1.05</f>
        <v/>
      </c>
      <c r="Y708" s="15">
        <f>M708 * 0.95</f>
        <v/>
      </c>
      <c r="Z708" s="15">
        <f>IF(AND(V708 &lt;= X708, V708 &gt;= Y708), 1, 0)</f>
        <v/>
      </c>
    </row>
    <row r="709">
      <c r="L709" s="15" t="n">
        <v>707</v>
      </c>
      <c r="M709" s="15">
        <f>IF(L709&lt;$D$16,$D$13,IF(L709&lt;$E$16,$E$13,$F$13))</f>
        <v/>
      </c>
      <c r="N709" s="15">
        <f>M709-V709</f>
        <v/>
      </c>
      <c r="O709" s="15">
        <f>IF(MOD(L709,$B$11)=0,OFFSET(O709,-$B$11,0)+ $E$2*N709+$E$3*OFFSET(N709,-$B$11,0)+ $E$4*OFFSET(N709,-2* $B$11,0), O708)</f>
        <v/>
      </c>
      <c r="P709" s="15">
        <f>INT((2^$J$12-1)*O709/100)/(2^$J$12-1)*100</f>
        <v/>
      </c>
      <c r="Q709" s="15" t="n">
        <v>0</v>
      </c>
      <c r="R709" s="15">
        <f>P709+Q709</f>
        <v/>
      </c>
      <c r="S709" s="15">
        <f>$I$1*S708-$I$2*S707+$I$3*R688+$I$4*R687</f>
        <v/>
      </c>
      <c r="T709" s="15">
        <f>RAND()*$G$12</f>
        <v/>
      </c>
      <c r="U709" s="15">
        <f>S709+T709</f>
        <v/>
      </c>
      <c r="V709" s="15">
        <f>INT((2^$J$12-1)*U709/100)/(2^$J$12-1)*100</f>
        <v/>
      </c>
      <c r="X709" s="15">
        <f>M709 * 1.05</f>
        <v/>
      </c>
      <c r="Y709" s="15">
        <f>M709 * 0.95</f>
        <v/>
      </c>
      <c r="Z709" s="15">
        <f>IF(AND(V709 &lt;= X709, V709 &gt;= Y709), 1, 0)</f>
        <v/>
      </c>
    </row>
    <row r="710">
      <c r="L710" s="15" t="n">
        <v>708</v>
      </c>
      <c r="M710" s="15">
        <f>IF(L710&lt;$D$16,$D$13,IF(L710&lt;$E$16,$E$13,$F$13))</f>
        <v/>
      </c>
      <c r="N710" s="15">
        <f>M710-V710</f>
        <v/>
      </c>
      <c r="O710" s="15">
        <f>IF(MOD(L710,$B$11)=0,OFFSET(O710,-$B$11,0)+ $E$2*N710+$E$3*OFFSET(N710,-$B$11,0)+ $E$4*OFFSET(N710,-2* $B$11,0), O709)</f>
        <v/>
      </c>
      <c r="P710" s="15">
        <f>INT((2^$J$12-1)*O710/100)/(2^$J$12-1)*100</f>
        <v/>
      </c>
      <c r="Q710" s="15" t="n">
        <v>0</v>
      </c>
      <c r="R710" s="15">
        <f>P710+Q710</f>
        <v/>
      </c>
      <c r="S710" s="15">
        <f>$I$1*S709-$I$2*S708+$I$3*R689+$I$4*R688</f>
        <v/>
      </c>
      <c r="T710" s="15">
        <f>RAND()*$G$12</f>
        <v/>
      </c>
      <c r="U710" s="15">
        <f>S710+T710</f>
        <v/>
      </c>
      <c r="V710" s="15">
        <f>INT((2^$J$12-1)*U710/100)/(2^$J$12-1)*100</f>
        <v/>
      </c>
      <c r="X710" s="15">
        <f>M710 * 1.05</f>
        <v/>
      </c>
      <c r="Y710" s="15">
        <f>M710 * 0.95</f>
        <v/>
      </c>
      <c r="Z710" s="15">
        <f>IF(AND(V710 &lt;= X710, V710 &gt;= Y710), 1, 0)</f>
        <v/>
      </c>
    </row>
    <row r="711">
      <c r="L711" s="15" t="n">
        <v>709</v>
      </c>
      <c r="M711" s="15">
        <f>IF(L711&lt;$D$16,$D$13,IF(L711&lt;$E$16,$E$13,$F$13))</f>
        <v/>
      </c>
      <c r="N711" s="15">
        <f>M711-V711</f>
        <v/>
      </c>
      <c r="O711" s="15">
        <f>IF(MOD(L711,$B$11)=0,OFFSET(O711,-$B$11,0)+ $E$2*N711+$E$3*OFFSET(N711,-$B$11,0)+ $E$4*OFFSET(N711,-2* $B$11,0), O710)</f>
        <v/>
      </c>
      <c r="P711" s="15">
        <f>INT((2^$J$12-1)*O711/100)/(2^$J$12-1)*100</f>
        <v/>
      </c>
      <c r="Q711" s="15" t="n">
        <v>0</v>
      </c>
      <c r="R711" s="15">
        <f>P711+Q711</f>
        <v/>
      </c>
      <c r="S711" s="15">
        <f>$I$1*S710-$I$2*S709+$I$3*R690+$I$4*R689</f>
        <v/>
      </c>
      <c r="T711" s="15">
        <f>RAND()*$G$12</f>
        <v/>
      </c>
      <c r="U711" s="15">
        <f>S711+T711</f>
        <v/>
      </c>
      <c r="V711" s="15">
        <f>INT((2^$J$12-1)*U711/100)/(2^$J$12-1)*100</f>
        <v/>
      </c>
      <c r="X711" s="15">
        <f>M711 * 1.05</f>
        <v/>
      </c>
      <c r="Y711" s="15">
        <f>M711 * 0.95</f>
        <v/>
      </c>
      <c r="Z711" s="15">
        <f>IF(AND(V711 &lt;= X711, V711 &gt;= Y711), 1, 0)</f>
        <v/>
      </c>
    </row>
    <row r="712">
      <c r="L712" s="15" t="n">
        <v>710</v>
      </c>
      <c r="M712" s="15">
        <f>IF(L712&lt;$D$16,$D$13,IF(L712&lt;$E$16,$E$13,$F$13))</f>
        <v/>
      </c>
      <c r="N712" s="15">
        <f>M712-V712</f>
        <v/>
      </c>
      <c r="O712" s="15">
        <f>IF(MOD(L712,$B$11)=0,OFFSET(O712,-$B$11,0)+ $E$2*N712+$E$3*OFFSET(N712,-$B$11,0)+ $E$4*OFFSET(N712,-2* $B$11,0), O711)</f>
        <v/>
      </c>
      <c r="P712" s="15">
        <f>INT((2^$J$12-1)*O712/100)/(2^$J$12-1)*100</f>
        <v/>
      </c>
      <c r="Q712" s="15" t="n">
        <v>0</v>
      </c>
      <c r="R712" s="15">
        <f>P712+Q712</f>
        <v/>
      </c>
      <c r="S712" s="15">
        <f>$I$1*S711-$I$2*S710+$I$3*R691+$I$4*R690</f>
        <v/>
      </c>
      <c r="T712" s="15">
        <f>RAND()*$G$12</f>
        <v/>
      </c>
      <c r="U712" s="15">
        <f>S712+T712</f>
        <v/>
      </c>
      <c r="V712" s="15">
        <f>INT((2^$J$12-1)*U712/100)/(2^$J$12-1)*100</f>
        <v/>
      </c>
      <c r="X712" s="15">
        <f>M712 * 1.05</f>
        <v/>
      </c>
      <c r="Y712" s="15">
        <f>M712 * 0.95</f>
        <v/>
      </c>
      <c r="Z712" s="15">
        <f>IF(AND(V712 &lt;= X712, V712 &gt;= Y712), 1, 0)</f>
        <v/>
      </c>
    </row>
    <row r="713">
      <c r="L713" s="15" t="n">
        <v>711</v>
      </c>
      <c r="M713" s="15">
        <f>IF(L713&lt;$D$16,$D$13,IF(L713&lt;$E$16,$E$13,$F$13))</f>
        <v/>
      </c>
      <c r="N713" s="15">
        <f>M713-V713</f>
        <v/>
      </c>
      <c r="O713" s="15">
        <f>IF(MOD(L713,$B$11)=0,OFFSET(O713,-$B$11,0)+ $E$2*N713+$E$3*OFFSET(N713,-$B$11,0)+ $E$4*OFFSET(N713,-2* $B$11,0), O712)</f>
        <v/>
      </c>
      <c r="P713" s="15">
        <f>INT((2^$J$12-1)*O713/100)/(2^$J$12-1)*100</f>
        <v/>
      </c>
      <c r="Q713" s="15" t="n">
        <v>0</v>
      </c>
      <c r="R713" s="15">
        <f>P713+Q713</f>
        <v/>
      </c>
      <c r="S713" s="15">
        <f>$I$1*S712-$I$2*S711+$I$3*R692+$I$4*R691</f>
        <v/>
      </c>
      <c r="T713" s="15">
        <f>RAND()*$G$12</f>
        <v/>
      </c>
      <c r="U713" s="15">
        <f>S713+T713</f>
        <v/>
      </c>
      <c r="V713" s="15">
        <f>INT((2^$J$12-1)*U713/100)/(2^$J$12-1)*100</f>
        <v/>
      </c>
      <c r="X713" s="15">
        <f>M713 * 1.05</f>
        <v/>
      </c>
      <c r="Y713" s="15">
        <f>M713 * 0.95</f>
        <v/>
      </c>
      <c r="Z713" s="15">
        <f>IF(AND(V713 &lt;= X713, V713 &gt;= Y713), 1, 0)</f>
        <v/>
      </c>
    </row>
    <row r="714">
      <c r="L714" s="15" t="n">
        <v>712</v>
      </c>
      <c r="M714" s="15">
        <f>IF(L714&lt;$D$16,$D$13,IF(L714&lt;$E$16,$E$13,$F$13))</f>
        <v/>
      </c>
      <c r="N714" s="15">
        <f>M714-V714</f>
        <v/>
      </c>
      <c r="O714" s="15">
        <f>IF(MOD(L714,$B$11)=0,OFFSET(O714,-$B$11,0)+ $E$2*N714+$E$3*OFFSET(N714,-$B$11,0)+ $E$4*OFFSET(N714,-2* $B$11,0), O713)</f>
        <v/>
      </c>
      <c r="P714" s="15">
        <f>INT((2^$J$12-1)*O714/100)/(2^$J$12-1)*100</f>
        <v/>
      </c>
      <c r="Q714" s="15" t="n">
        <v>0</v>
      </c>
      <c r="R714" s="15">
        <f>P714+Q714</f>
        <v/>
      </c>
      <c r="S714" s="15">
        <f>$I$1*S713-$I$2*S712+$I$3*R693+$I$4*R692</f>
        <v/>
      </c>
      <c r="T714" s="15">
        <f>RAND()*$G$12</f>
        <v/>
      </c>
      <c r="U714" s="15">
        <f>S714+T714</f>
        <v/>
      </c>
      <c r="V714" s="15">
        <f>INT((2^$J$12-1)*U714/100)/(2^$J$12-1)*100</f>
        <v/>
      </c>
      <c r="X714" s="15">
        <f>M714 * 1.05</f>
        <v/>
      </c>
      <c r="Y714" s="15">
        <f>M714 * 0.95</f>
        <v/>
      </c>
      <c r="Z714" s="15">
        <f>IF(AND(V714 &lt;= X714, V714 &gt;= Y714), 1, 0)</f>
        <v/>
      </c>
    </row>
    <row r="715">
      <c r="L715" s="15" t="n">
        <v>713</v>
      </c>
      <c r="M715" s="15">
        <f>IF(L715&lt;$D$16,$D$13,IF(L715&lt;$E$16,$E$13,$F$13))</f>
        <v/>
      </c>
      <c r="N715" s="15">
        <f>M715-V715</f>
        <v/>
      </c>
      <c r="O715" s="15">
        <f>IF(MOD(L715,$B$11)=0,OFFSET(O715,-$B$11,0)+ $E$2*N715+$E$3*OFFSET(N715,-$B$11,0)+ $E$4*OFFSET(N715,-2* $B$11,0), O714)</f>
        <v/>
      </c>
      <c r="P715" s="15">
        <f>INT((2^$J$12-1)*O715/100)/(2^$J$12-1)*100</f>
        <v/>
      </c>
      <c r="Q715" s="15" t="n">
        <v>0</v>
      </c>
      <c r="R715" s="15">
        <f>P715+Q715</f>
        <v/>
      </c>
      <c r="S715" s="15">
        <f>$I$1*S714-$I$2*S713+$I$3*R694+$I$4*R693</f>
        <v/>
      </c>
      <c r="T715" s="15">
        <f>RAND()*$G$12</f>
        <v/>
      </c>
      <c r="U715" s="15">
        <f>S715+T715</f>
        <v/>
      </c>
      <c r="V715" s="15">
        <f>INT((2^$J$12-1)*U715/100)/(2^$J$12-1)*100</f>
        <v/>
      </c>
      <c r="X715" s="15">
        <f>M715 * 1.05</f>
        <v/>
      </c>
      <c r="Y715" s="15">
        <f>M715 * 0.95</f>
        <v/>
      </c>
      <c r="Z715" s="15">
        <f>IF(AND(V715 &lt;= X715, V715 &gt;= Y715), 1, 0)</f>
        <v/>
      </c>
    </row>
    <row r="716">
      <c r="L716" s="15" t="n">
        <v>714</v>
      </c>
      <c r="M716" s="15">
        <f>IF(L716&lt;$D$16,$D$13,IF(L716&lt;$E$16,$E$13,$F$13))</f>
        <v/>
      </c>
      <c r="N716" s="15">
        <f>M716-V716</f>
        <v/>
      </c>
      <c r="O716" s="15">
        <f>IF(MOD(L716,$B$11)=0,OFFSET(O716,-$B$11,0)+ $E$2*N716+$E$3*OFFSET(N716,-$B$11,0)+ $E$4*OFFSET(N716,-2* $B$11,0), O715)</f>
        <v/>
      </c>
      <c r="P716" s="15">
        <f>INT((2^$J$12-1)*O716/100)/(2^$J$12-1)*100</f>
        <v/>
      </c>
      <c r="Q716" s="15" t="n">
        <v>0</v>
      </c>
      <c r="R716" s="15">
        <f>P716+Q716</f>
        <v/>
      </c>
      <c r="S716" s="15">
        <f>$I$1*S715-$I$2*S714+$I$3*R695+$I$4*R694</f>
        <v/>
      </c>
      <c r="T716" s="15">
        <f>RAND()*$G$12</f>
        <v/>
      </c>
      <c r="U716" s="15">
        <f>S716+T716</f>
        <v/>
      </c>
      <c r="V716" s="15">
        <f>INT((2^$J$12-1)*U716/100)/(2^$J$12-1)*100</f>
        <v/>
      </c>
      <c r="X716" s="15">
        <f>M716 * 1.05</f>
        <v/>
      </c>
      <c r="Y716" s="15">
        <f>M716 * 0.95</f>
        <v/>
      </c>
      <c r="Z716" s="15">
        <f>IF(AND(V716 &lt;= X716, V716 &gt;= Y716), 1, 0)</f>
        <v/>
      </c>
    </row>
    <row r="717">
      <c r="L717" s="15" t="n">
        <v>715</v>
      </c>
      <c r="M717" s="15">
        <f>IF(L717&lt;$D$16,$D$13,IF(L717&lt;$E$16,$E$13,$F$13))</f>
        <v/>
      </c>
      <c r="N717" s="15">
        <f>M717-V717</f>
        <v/>
      </c>
      <c r="O717" s="15">
        <f>IF(MOD(L717,$B$11)=0,OFFSET(O717,-$B$11,0)+ $E$2*N717+$E$3*OFFSET(N717,-$B$11,0)+ $E$4*OFFSET(N717,-2* $B$11,0), O716)</f>
        <v/>
      </c>
      <c r="P717" s="15">
        <f>INT((2^$J$12-1)*O717/100)/(2^$J$12-1)*100</f>
        <v/>
      </c>
      <c r="Q717" s="15" t="n">
        <v>0</v>
      </c>
      <c r="R717" s="15">
        <f>P717+Q717</f>
        <v/>
      </c>
      <c r="S717" s="15">
        <f>$I$1*S716-$I$2*S715+$I$3*R696+$I$4*R695</f>
        <v/>
      </c>
      <c r="T717" s="15">
        <f>RAND()*$G$12</f>
        <v/>
      </c>
      <c r="U717" s="15">
        <f>S717+T717</f>
        <v/>
      </c>
      <c r="V717" s="15">
        <f>INT((2^$J$12-1)*U717/100)/(2^$J$12-1)*100</f>
        <v/>
      </c>
      <c r="X717" s="15">
        <f>M717 * 1.05</f>
        <v/>
      </c>
      <c r="Y717" s="15">
        <f>M717 * 0.95</f>
        <v/>
      </c>
      <c r="Z717" s="15">
        <f>IF(AND(V717 &lt;= X717, V717 &gt;= Y717), 1, 0)</f>
        <v/>
      </c>
    </row>
    <row r="718">
      <c r="L718" s="15" t="n">
        <v>716</v>
      </c>
      <c r="M718" s="15">
        <f>IF(L718&lt;$D$16,$D$13,IF(L718&lt;$E$16,$E$13,$F$13))</f>
        <v/>
      </c>
      <c r="N718" s="15">
        <f>M718-V718</f>
        <v/>
      </c>
      <c r="O718" s="15">
        <f>IF(MOD(L718,$B$11)=0,OFFSET(O718,-$B$11,0)+ $E$2*N718+$E$3*OFFSET(N718,-$B$11,0)+ $E$4*OFFSET(N718,-2* $B$11,0), O717)</f>
        <v/>
      </c>
      <c r="P718" s="15">
        <f>INT((2^$J$12-1)*O718/100)/(2^$J$12-1)*100</f>
        <v/>
      </c>
      <c r="Q718" s="15" t="n">
        <v>0</v>
      </c>
      <c r="R718" s="15">
        <f>P718+Q718</f>
        <v/>
      </c>
      <c r="S718" s="15">
        <f>$I$1*S717-$I$2*S716+$I$3*R697+$I$4*R696</f>
        <v/>
      </c>
      <c r="T718" s="15">
        <f>RAND()*$G$12</f>
        <v/>
      </c>
      <c r="U718" s="15">
        <f>S718+T718</f>
        <v/>
      </c>
      <c r="V718" s="15">
        <f>INT((2^$J$12-1)*U718/100)/(2^$J$12-1)*100</f>
        <v/>
      </c>
      <c r="X718" s="15">
        <f>M718 * 1.05</f>
        <v/>
      </c>
      <c r="Y718" s="15">
        <f>M718 * 0.95</f>
        <v/>
      </c>
      <c r="Z718" s="15">
        <f>IF(AND(V718 &lt;= X718, V718 &gt;= Y718), 1, 0)</f>
        <v/>
      </c>
    </row>
    <row r="719">
      <c r="L719" s="15" t="n">
        <v>717</v>
      </c>
      <c r="M719" s="15">
        <f>IF(L719&lt;$D$16,$D$13,IF(L719&lt;$E$16,$E$13,$F$13))</f>
        <v/>
      </c>
      <c r="N719" s="15">
        <f>M719-V719</f>
        <v/>
      </c>
      <c r="O719" s="15">
        <f>IF(MOD(L719,$B$11)=0,OFFSET(O719,-$B$11,0)+ $E$2*N719+$E$3*OFFSET(N719,-$B$11,0)+ $E$4*OFFSET(N719,-2* $B$11,0), O718)</f>
        <v/>
      </c>
      <c r="P719" s="15">
        <f>INT((2^$J$12-1)*O719/100)/(2^$J$12-1)*100</f>
        <v/>
      </c>
      <c r="Q719" s="15" t="n">
        <v>0</v>
      </c>
      <c r="R719" s="15">
        <f>P719+Q719</f>
        <v/>
      </c>
      <c r="S719" s="15">
        <f>$I$1*S718-$I$2*S717+$I$3*R698+$I$4*R697</f>
        <v/>
      </c>
      <c r="T719" s="15">
        <f>RAND()*$G$12</f>
        <v/>
      </c>
      <c r="U719" s="15">
        <f>S719+T719</f>
        <v/>
      </c>
      <c r="V719" s="15">
        <f>INT((2^$J$12-1)*U719/100)/(2^$J$12-1)*100</f>
        <v/>
      </c>
      <c r="X719" s="15">
        <f>M719 * 1.05</f>
        <v/>
      </c>
      <c r="Y719" s="15">
        <f>M719 * 0.95</f>
        <v/>
      </c>
      <c r="Z719" s="15">
        <f>IF(AND(V719 &lt;= X719, V719 &gt;= Y719), 1, 0)</f>
        <v/>
      </c>
    </row>
    <row r="720">
      <c r="L720" s="15" t="n">
        <v>718</v>
      </c>
      <c r="M720" s="15">
        <f>IF(L720&lt;$D$16,$D$13,IF(L720&lt;$E$16,$E$13,$F$13))</f>
        <v/>
      </c>
      <c r="N720" s="15">
        <f>M720-V720</f>
        <v/>
      </c>
      <c r="O720" s="15">
        <f>IF(MOD(L720,$B$11)=0,OFFSET(O720,-$B$11,0)+ $E$2*N720+$E$3*OFFSET(N720,-$B$11,0)+ $E$4*OFFSET(N720,-2* $B$11,0), O719)</f>
        <v/>
      </c>
      <c r="P720" s="15">
        <f>INT((2^$J$12-1)*O720/100)/(2^$J$12-1)*100</f>
        <v/>
      </c>
      <c r="Q720" s="15" t="n">
        <v>0</v>
      </c>
      <c r="R720" s="15">
        <f>P720+Q720</f>
        <v/>
      </c>
      <c r="S720" s="15">
        <f>$I$1*S719-$I$2*S718+$I$3*R699+$I$4*R698</f>
        <v/>
      </c>
      <c r="T720" s="15">
        <f>RAND()*$G$12</f>
        <v/>
      </c>
      <c r="U720" s="15">
        <f>S720+T720</f>
        <v/>
      </c>
      <c r="V720" s="15">
        <f>INT((2^$J$12-1)*U720/100)/(2^$J$12-1)*100</f>
        <v/>
      </c>
      <c r="X720" s="15">
        <f>M720 * 1.05</f>
        <v/>
      </c>
      <c r="Y720" s="15">
        <f>M720 * 0.95</f>
        <v/>
      </c>
      <c r="Z720" s="15">
        <f>IF(AND(V720 &lt;= X720, V720 &gt;= Y720), 1, 0)</f>
        <v/>
      </c>
    </row>
    <row r="721">
      <c r="L721" s="15" t="n">
        <v>719</v>
      </c>
      <c r="M721" s="15">
        <f>IF(L721&lt;$D$16,$D$13,IF(L721&lt;$E$16,$E$13,$F$13))</f>
        <v/>
      </c>
      <c r="N721" s="15">
        <f>M721-V721</f>
        <v/>
      </c>
      <c r="O721" s="15">
        <f>IF(MOD(L721,$B$11)=0,OFFSET(O721,-$B$11,0)+ $E$2*N721+$E$3*OFFSET(N721,-$B$11,0)+ $E$4*OFFSET(N721,-2* $B$11,0), O720)</f>
        <v/>
      </c>
      <c r="P721" s="15">
        <f>INT((2^$J$12-1)*O721/100)/(2^$J$12-1)*100</f>
        <v/>
      </c>
      <c r="Q721" s="15" t="n">
        <v>0</v>
      </c>
      <c r="R721" s="15">
        <f>P721+Q721</f>
        <v/>
      </c>
      <c r="S721" s="15">
        <f>$I$1*S720-$I$2*S719+$I$3*R700+$I$4*R699</f>
        <v/>
      </c>
      <c r="T721" s="15">
        <f>RAND()*$G$12</f>
        <v/>
      </c>
      <c r="U721" s="15">
        <f>S721+T721</f>
        <v/>
      </c>
      <c r="V721" s="15">
        <f>INT((2^$J$12-1)*U721/100)/(2^$J$12-1)*100</f>
        <v/>
      </c>
      <c r="X721" s="15">
        <f>M721 * 1.05</f>
        <v/>
      </c>
      <c r="Y721" s="15">
        <f>M721 * 0.95</f>
        <v/>
      </c>
      <c r="Z721" s="15">
        <f>IF(AND(V721 &lt;= X721, V721 &gt;= Y721), 1, 0)</f>
        <v/>
      </c>
    </row>
    <row r="722">
      <c r="L722" s="15" t="n">
        <v>720</v>
      </c>
      <c r="M722" s="15">
        <f>IF(L722&lt;$D$16,$D$13,IF(L722&lt;$E$16,$E$13,$F$13))</f>
        <v/>
      </c>
      <c r="N722" s="15">
        <f>M722-V722</f>
        <v/>
      </c>
      <c r="O722" s="15">
        <f>IF(MOD(L722,$B$11)=0,OFFSET(O722,-$B$11,0)+ $E$2*N722+$E$3*OFFSET(N722,-$B$11,0)+ $E$4*OFFSET(N722,-2* $B$11,0), O721)</f>
        <v/>
      </c>
      <c r="P722" s="15">
        <f>INT((2^$J$12-1)*O722/100)/(2^$J$12-1)*100</f>
        <v/>
      </c>
      <c r="Q722" s="15" t="n">
        <v>0</v>
      </c>
      <c r="R722" s="15">
        <f>P722+Q722</f>
        <v/>
      </c>
      <c r="S722" s="15">
        <f>$I$1*S721-$I$2*S720+$I$3*R701+$I$4*R700</f>
        <v/>
      </c>
      <c r="T722" s="15">
        <f>RAND()*$G$12</f>
        <v/>
      </c>
      <c r="U722" s="15">
        <f>S722+T722</f>
        <v/>
      </c>
      <c r="V722" s="15">
        <f>INT((2^$J$12-1)*U722/100)/(2^$J$12-1)*100</f>
        <v/>
      </c>
      <c r="X722" s="15">
        <f>M722 * 1.05</f>
        <v/>
      </c>
      <c r="Y722" s="15">
        <f>M722 * 0.95</f>
        <v/>
      </c>
      <c r="Z722" s="15">
        <f>IF(AND(V722 &lt;= X722, V722 &gt;= Y722), 1, 0)</f>
        <v/>
      </c>
    </row>
    <row r="723">
      <c r="L723" s="15" t="n">
        <v>721</v>
      </c>
      <c r="M723" s="15">
        <f>IF(L723&lt;$D$16,$D$13,IF(L723&lt;$E$16,$E$13,$F$13))</f>
        <v/>
      </c>
      <c r="N723" s="15">
        <f>M723-V723</f>
        <v/>
      </c>
      <c r="O723" s="15">
        <f>IF(MOD(L723,$B$11)=0,OFFSET(O723,-$B$11,0)+ $E$2*N723+$E$3*OFFSET(N723,-$B$11,0)+ $E$4*OFFSET(N723,-2* $B$11,0), O722)</f>
        <v/>
      </c>
      <c r="P723" s="15">
        <f>INT((2^$J$12-1)*O723/100)/(2^$J$12-1)*100</f>
        <v/>
      </c>
      <c r="Q723" s="15" t="n">
        <v>0</v>
      </c>
      <c r="R723" s="15">
        <f>P723+Q723</f>
        <v/>
      </c>
      <c r="S723" s="15">
        <f>$I$1*S722-$I$2*S721+$I$3*R702+$I$4*R701</f>
        <v/>
      </c>
      <c r="T723" s="15">
        <f>RAND()*$G$12</f>
        <v/>
      </c>
      <c r="U723" s="15">
        <f>S723+T723</f>
        <v/>
      </c>
      <c r="V723" s="15">
        <f>INT((2^$J$12-1)*U723/100)/(2^$J$12-1)*100</f>
        <v/>
      </c>
      <c r="X723" s="15">
        <f>M723 * 1.05</f>
        <v/>
      </c>
      <c r="Y723" s="15">
        <f>M723 * 0.95</f>
        <v/>
      </c>
      <c r="Z723" s="15">
        <f>IF(AND(V723 &lt;= X723, V723 &gt;= Y723), 1, 0)</f>
        <v/>
      </c>
    </row>
    <row r="724">
      <c r="L724" s="15" t="n">
        <v>722</v>
      </c>
      <c r="M724" s="15">
        <f>IF(L724&lt;$D$16,$D$13,IF(L724&lt;$E$16,$E$13,$F$13))</f>
        <v/>
      </c>
      <c r="N724" s="15">
        <f>M724-V724</f>
        <v/>
      </c>
      <c r="O724" s="15">
        <f>IF(MOD(L724,$B$11)=0,OFFSET(O724,-$B$11,0)+ $E$2*N724+$E$3*OFFSET(N724,-$B$11,0)+ $E$4*OFFSET(N724,-2* $B$11,0), O723)</f>
        <v/>
      </c>
      <c r="P724" s="15">
        <f>INT((2^$J$12-1)*O724/100)/(2^$J$12-1)*100</f>
        <v/>
      </c>
      <c r="Q724" s="15" t="n">
        <v>0</v>
      </c>
      <c r="R724" s="15">
        <f>P724+Q724</f>
        <v/>
      </c>
      <c r="S724" s="15">
        <f>$I$1*S723-$I$2*S722+$I$3*R703+$I$4*R702</f>
        <v/>
      </c>
      <c r="T724" s="15">
        <f>RAND()*$G$12</f>
        <v/>
      </c>
      <c r="U724" s="15">
        <f>S724+T724</f>
        <v/>
      </c>
      <c r="V724" s="15">
        <f>INT((2^$J$12-1)*U724/100)/(2^$J$12-1)*100</f>
        <v/>
      </c>
      <c r="X724" s="15">
        <f>M724 * 1.05</f>
        <v/>
      </c>
      <c r="Y724" s="15">
        <f>M724 * 0.95</f>
        <v/>
      </c>
      <c r="Z724" s="15">
        <f>IF(AND(V724 &lt;= X724, V724 &gt;= Y724), 1, 0)</f>
        <v/>
      </c>
    </row>
    <row r="725">
      <c r="L725" s="15" t="n">
        <v>723</v>
      </c>
      <c r="M725" s="15">
        <f>IF(L725&lt;$D$16,$D$13,IF(L725&lt;$E$16,$E$13,$F$13))</f>
        <v/>
      </c>
      <c r="N725" s="15">
        <f>M725-V725</f>
        <v/>
      </c>
      <c r="O725" s="15">
        <f>IF(MOD(L725,$B$11)=0,OFFSET(O725,-$B$11,0)+ $E$2*N725+$E$3*OFFSET(N725,-$B$11,0)+ $E$4*OFFSET(N725,-2* $B$11,0), O724)</f>
        <v/>
      </c>
      <c r="P725" s="15">
        <f>INT((2^$J$12-1)*O725/100)/(2^$J$12-1)*100</f>
        <v/>
      </c>
      <c r="Q725" s="15" t="n">
        <v>0</v>
      </c>
      <c r="R725" s="15">
        <f>P725+Q725</f>
        <v/>
      </c>
      <c r="S725" s="15">
        <f>$I$1*S724-$I$2*S723+$I$3*R704+$I$4*R703</f>
        <v/>
      </c>
      <c r="T725" s="15">
        <f>RAND()*$G$12</f>
        <v/>
      </c>
      <c r="U725" s="15">
        <f>S725+T725</f>
        <v/>
      </c>
      <c r="V725" s="15">
        <f>INT((2^$J$12-1)*U725/100)/(2^$J$12-1)*100</f>
        <v/>
      </c>
      <c r="X725" s="15">
        <f>M725 * 1.05</f>
        <v/>
      </c>
      <c r="Y725" s="15">
        <f>M725 * 0.95</f>
        <v/>
      </c>
      <c r="Z725" s="15">
        <f>IF(AND(V725 &lt;= X725, V725 &gt;= Y725), 1, 0)</f>
        <v/>
      </c>
    </row>
    <row r="726">
      <c r="L726" s="15" t="n">
        <v>724</v>
      </c>
      <c r="M726" s="15">
        <f>IF(L726&lt;$D$16,$D$13,IF(L726&lt;$E$16,$E$13,$F$13))</f>
        <v/>
      </c>
      <c r="N726" s="15">
        <f>M726-V726</f>
        <v/>
      </c>
      <c r="O726" s="15">
        <f>IF(MOD(L726,$B$11)=0,OFFSET(O726,-$B$11,0)+ $E$2*N726+$E$3*OFFSET(N726,-$B$11,0)+ $E$4*OFFSET(N726,-2* $B$11,0), O725)</f>
        <v/>
      </c>
      <c r="P726" s="15">
        <f>INT((2^$J$12-1)*O726/100)/(2^$J$12-1)*100</f>
        <v/>
      </c>
      <c r="Q726" s="15" t="n">
        <v>0</v>
      </c>
      <c r="R726" s="15">
        <f>P726+Q726</f>
        <v/>
      </c>
      <c r="S726" s="15">
        <f>$I$1*S725-$I$2*S724+$I$3*R705+$I$4*R704</f>
        <v/>
      </c>
      <c r="T726" s="15">
        <f>RAND()*$G$12</f>
        <v/>
      </c>
      <c r="U726" s="15">
        <f>S726+T726</f>
        <v/>
      </c>
      <c r="V726" s="15">
        <f>INT((2^$J$12-1)*U726/100)/(2^$J$12-1)*100</f>
        <v/>
      </c>
      <c r="X726" s="15">
        <f>M726 * 1.05</f>
        <v/>
      </c>
      <c r="Y726" s="15">
        <f>M726 * 0.95</f>
        <v/>
      </c>
      <c r="Z726" s="15">
        <f>IF(AND(V726 &lt;= X726, V726 &gt;= Y726), 1, 0)</f>
        <v/>
      </c>
    </row>
    <row r="727">
      <c r="L727" s="15" t="n">
        <v>725</v>
      </c>
      <c r="M727" s="15">
        <f>IF(L727&lt;$D$16,$D$13,IF(L727&lt;$E$16,$E$13,$F$13))</f>
        <v/>
      </c>
      <c r="N727" s="15">
        <f>M727-V727</f>
        <v/>
      </c>
      <c r="O727" s="15">
        <f>IF(MOD(L727,$B$11)=0,OFFSET(O727,-$B$11,0)+ $E$2*N727+$E$3*OFFSET(N727,-$B$11,0)+ $E$4*OFFSET(N727,-2* $B$11,0), O726)</f>
        <v/>
      </c>
      <c r="P727" s="15">
        <f>INT((2^$J$12-1)*O727/100)/(2^$J$12-1)*100</f>
        <v/>
      </c>
      <c r="Q727" s="15" t="n">
        <v>0</v>
      </c>
      <c r="R727" s="15">
        <f>P727+Q727</f>
        <v/>
      </c>
      <c r="S727" s="15">
        <f>$I$1*S726-$I$2*S725+$I$3*R706+$I$4*R705</f>
        <v/>
      </c>
      <c r="T727" s="15">
        <f>RAND()*$G$12</f>
        <v/>
      </c>
      <c r="U727" s="15">
        <f>S727+T727</f>
        <v/>
      </c>
      <c r="V727" s="15">
        <f>INT((2^$J$12-1)*U727/100)/(2^$J$12-1)*100</f>
        <v/>
      </c>
      <c r="X727" s="15">
        <f>M727 * 1.05</f>
        <v/>
      </c>
      <c r="Y727" s="15">
        <f>M727 * 0.95</f>
        <v/>
      </c>
      <c r="Z727" s="15">
        <f>IF(AND(V727 &lt;= X727, V727 &gt;= Y727), 1, 0)</f>
        <v/>
      </c>
    </row>
    <row r="728">
      <c r="L728" s="15" t="n">
        <v>726</v>
      </c>
      <c r="M728" s="15">
        <f>IF(L728&lt;$D$16,$D$13,IF(L728&lt;$E$16,$E$13,$F$13))</f>
        <v/>
      </c>
      <c r="N728" s="15">
        <f>M728-V728</f>
        <v/>
      </c>
      <c r="O728" s="15">
        <f>IF(MOD(L728,$B$11)=0,OFFSET(O728,-$B$11,0)+ $E$2*N728+$E$3*OFFSET(N728,-$B$11,0)+ $E$4*OFFSET(N728,-2* $B$11,0), O727)</f>
        <v/>
      </c>
      <c r="P728" s="15">
        <f>INT((2^$J$12-1)*O728/100)/(2^$J$12-1)*100</f>
        <v/>
      </c>
      <c r="Q728" s="15" t="n">
        <v>0</v>
      </c>
      <c r="R728" s="15">
        <f>P728+Q728</f>
        <v/>
      </c>
      <c r="S728" s="15">
        <f>$I$1*S727-$I$2*S726+$I$3*R707+$I$4*R706</f>
        <v/>
      </c>
      <c r="T728" s="15">
        <f>RAND()*$G$12</f>
        <v/>
      </c>
      <c r="U728" s="15">
        <f>S728+T728</f>
        <v/>
      </c>
      <c r="V728" s="15">
        <f>INT((2^$J$12-1)*U728/100)/(2^$J$12-1)*100</f>
        <v/>
      </c>
      <c r="X728" s="15">
        <f>M728 * 1.05</f>
        <v/>
      </c>
      <c r="Y728" s="15">
        <f>M728 * 0.95</f>
        <v/>
      </c>
      <c r="Z728" s="15">
        <f>IF(AND(V728 &lt;= X728, V728 &gt;= Y728), 1, 0)</f>
        <v/>
      </c>
    </row>
    <row r="729">
      <c r="L729" s="15" t="n">
        <v>727</v>
      </c>
      <c r="M729" s="15">
        <f>IF(L729&lt;$D$16,$D$13,IF(L729&lt;$E$16,$E$13,$F$13))</f>
        <v/>
      </c>
      <c r="N729" s="15">
        <f>M729-V729</f>
        <v/>
      </c>
      <c r="O729" s="15">
        <f>IF(MOD(L729,$B$11)=0,OFFSET(O729,-$B$11,0)+ $E$2*N729+$E$3*OFFSET(N729,-$B$11,0)+ $E$4*OFFSET(N729,-2* $B$11,0), O728)</f>
        <v/>
      </c>
      <c r="P729" s="15">
        <f>INT((2^$J$12-1)*O729/100)/(2^$J$12-1)*100</f>
        <v/>
      </c>
      <c r="Q729" s="15" t="n">
        <v>0</v>
      </c>
      <c r="R729" s="15">
        <f>P729+Q729</f>
        <v/>
      </c>
      <c r="S729" s="15">
        <f>$I$1*S728-$I$2*S727+$I$3*R708+$I$4*R707</f>
        <v/>
      </c>
      <c r="T729" s="15">
        <f>RAND()*$G$12</f>
        <v/>
      </c>
      <c r="U729" s="15">
        <f>S729+T729</f>
        <v/>
      </c>
      <c r="V729" s="15">
        <f>INT((2^$J$12-1)*U729/100)/(2^$J$12-1)*100</f>
        <v/>
      </c>
      <c r="X729" s="15">
        <f>M729 * 1.05</f>
        <v/>
      </c>
      <c r="Y729" s="15">
        <f>M729 * 0.95</f>
        <v/>
      </c>
      <c r="Z729" s="15">
        <f>IF(AND(V729 &lt;= X729, V729 &gt;= Y729), 1, 0)</f>
        <v/>
      </c>
    </row>
    <row r="730">
      <c r="L730" s="15" t="n">
        <v>728</v>
      </c>
      <c r="M730" s="15">
        <f>IF(L730&lt;$D$16,$D$13,IF(L730&lt;$E$16,$E$13,$F$13))</f>
        <v/>
      </c>
      <c r="N730" s="15">
        <f>M730-V730</f>
        <v/>
      </c>
      <c r="O730" s="15">
        <f>IF(MOD(L730,$B$11)=0,OFFSET(O730,-$B$11,0)+ $E$2*N730+$E$3*OFFSET(N730,-$B$11,0)+ $E$4*OFFSET(N730,-2* $B$11,0), O729)</f>
        <v/>
      </c>
      <c r="P730" s="15">
        <f>INT((2^$J$12-1)*O730/100)/(2^$J$12-1)*100</f>
        <v/>
      </c>
      <c r="Q730" s="15" t="n">
        <v>0</v>
      </c>
      <c r="R730" s="15">
        <f>P730+Q730</f>
        <v/>
      </c>
      <c r="S730" s="15">
        <f>$I$1*S729-$I$2*S728+$I$3*R709+$I$4*R708</f>
        <v/>
      </c>
      <c r="T730" s="15">
        <f>RAND()*$G$12</f>
        <v/>
      </c>
      <c r="U730" s="15">
        <f>S730+T730</f>
        <v/>
      </c>
      <c r="V730" s="15">
        <f>INT((2^$J$12-1)*U730/100)/(2^$J$12-1)*100</f>
        <v/>
      </c>
      <c r="X730" s="15">
        <f>M730 * 1.05</f>
        <v/>
      </c>
      <c r="Y730" s="15">
        <f>M730 * 0.95</f>
        <v/>
      </c>
      <c r="Z730" s="15">
        <f>IF(AND(V730 &lt;= X730, V730 &gt;= Y730), 1, 0)</f>
        <v/>
      </c>
    </row>
    <row r="731">
      <c r="L731" s="15" t="n">
        <v>729</v>
      </c>
      <c r="M731" s="15">
        <f>IF(L731&lt;$D$16,$D$13,IF(L731&lt;$E$16,$E$13,$F$13))</f>
        <v/>
      </c>
      <c r="N731" s="15">
        <f>M731-V731</f>
        <v/>
      </c>
      <c r="O731" s="15">
        <f>IF(MOD(L731,$B$11)=0,OFFSET(O731,-$B$11,0)+ $E$2*N731+$E$3*OFFSET(N731,-$B$11,0)+ $E$4*OFFSET(N731,-2* $B$11,0), O730)</f>
        <v/>
      </c>
      <c r="P731" s="15">
        <f>INT((2^$J$12-1)*O731/100)/(2^$J$12-1)*100</f>
        <v/>
      </c>
      <c r="Q731" s="15" t="n">
        <v>0</v>
      </c>
      <c r="R731" s="15">
        <f>P731+Q731</f>
        <v/>
      </c>
      <c r="S731" s="15">
        <f>$I$1*S730-$I$2*S729+$I$3*R710+$I$4*R709</f>
        <v/>
      </c>
      <c r="T731" s="15">
        <f>RAND()*$G$12</f>
        <v/>
      </c>
      <c r="U731" s="15">
        <f>S731+T731</f>
        <v/>
      </c>
      <c r="V731" s="15">
        <f>INT((2^$J$12-1)*U731/100)/(2^$J$12-1)*100</f>
        <v/>
      </c>
      <c r="X731" s="15">
        <f>M731 * 1.05</f>
        <v/>
      </c>
      <c r="Y731" s="15">
        <f>M731 * 0.95</f>
        <v/>
      </c>
      <c r="Z731" s="15">
        <f>IF(AND(V731 &lt;= X731, V731 &gt;= Y731), 1, 0)</f>
        <v/>
      </c>
    </row>
    <row r="732">
      <c r="L732" s="15" t="n">
        <v>730</v>
      </c>
      <c r="M732" s="15">
        <f>IF(L732&lt;$D$16,$D$13,IF(L732&lt;$E$16,$E$13,$F$13))</f>
        <v/>
      </c>
      <c r="N732" s="15">
        <f>M732-V732</f>
        <v/>
      </c>
      <c r="O732" s="15">
        <f>IF(MOD(L732,$B$11)=0,OFFSET(O732,-$B$11,0)+ $E$2*N732+$E$3*OFFSET(N732,-$B$11,0)+ $E$4*OFFSET(N732,-2* $B$11,0), O731)</f>
        <v/>
      </c>
      <c r="P732" s="15">
        <f>INT((2^$J$12-1)*O732/100)/(2^$J$12-1)*100</f>
        <v/>
      </c>
      <c r="Q732" s="15" t="n">
        <v>0</v>
      </c>
      <c r="R732" s="15">
        <f>P732+Q732</f>
        <v/>
      </c>
      <c r="S732" s="15">
        <f>$I$1*S731-$I$2*S730+$I$3*R711+$I$4*R710</f>
        <v/>
      </c>
      <c r="T732" s="15">
        <f>RAND()*$G$12</f>
        <v/>
      </c>
      <c r="U732" s="15">
        <f>S732+T732</f>
        <v/>
      </c>
      <c r="V732" s="15">
        <f>INT((2^$J$12-1)*U732/100)/(2^$J$12-1)*100</f>
        <v/>
      </c>
      <c r="X732" s="15">
        <f>M732 * 1.05</f>
        <v/>
      </c>
      <c r="Y732" s="15">
        <f>M732 * 0.95</f>
        <v/>
      </c>
      <c r="Z732" s="15">
        <f>IF(AND(V732 &lt;= X732, V732 &gt;= Y732), 1, 0)</f>
        <v/>
      </c>
    </row>
    <row r="733">
      <c r="L733" s="15" t="n">
        <v>731</v>
      </c>
      <c r="M733" s="15">
        <f>IF(L733&lt;$D$16,$D$13,IF(L733&lt;$E$16,$E$13,$F$13))</f>
        <v/>
      </c>
      <c r="N733" s="15">
        <f>M733-V733</f>
        <v/>
      </c>
      <c r="O733" s="15">
        <f>IF(MOD(L733,$B$11)=0,OFFSET(O733,-$B$11,0)+ $E$2*N733+$E$3*OFFSET(N733,-$B$11,0)+ $E$4*OFFSET(N733,-2* $B$11,0), O732)</f>
        <v/>
      </c>
      <c r="P733" s="15">
        <f>INT((2^$J$12-1)*O733/100)/(2^$J$12-1)*100</f>
        <v/>
      </c>
      <c r="Q733" s="15" t="n">
        <v>0</v>
      </c>
      <c r="R733" s="15">
        <f>P733+Q733</f>
        <v/>
      </c>
      <c r="S733" s="15">
        <f>$I$1*S732-$I$2*S731+$I$3*R712+$I$4*R711</f>
        <v/>
      </c>
      <c r="T733" s="15">
        <f>RAND()*$G$12</f>
        <v/>
      </c>
      <c r="U733" s="15">
        <f>S733+T733</f>
        <v/>
      </c>
      <c r="V733" s="15">
        <f>INT((2^$J$12-1)*U733/100)/(2^$J$12-1)*100</f>
        <v/>
      </c>
      <c r="X733" s="15">
        <f>M733 * 1.05</f>
        <v/>
      </c>
      <c r="Y733" s="15">
        <f>M733 * 0.95</f>
        <v/>
      </c>
      <c r="Z733" s="15">
        <f>IF(AND(V733 &lt;= X733, V733 &gt;= Y733), 1, 0)</f>
        <v/>
      </c>
    </row>
    <row r="734">
      <c r="L734" s="15" t="n">
        <v>732</v>
      </c>
      <c r="M734" s="15">
        <f>IF(L734&lt;$D$16,$D$13,IF(L734&lt;$E$16,$E$13,$F$13))</f>
        <v/>
      </c>
      <c r="N734" s="15">
        <f>M734-V734</f>
        <v/>
      </c>
      <c r="O734" s="15">
        <f>IF(MOD(L734,$B$11)=0,OFFSET(O734,-$B$11,0)+ $E$2*N734+$E$3*OFFSET(N734,-$B$11,0)+ $E$4*OFFSET(N734,-2* $B$11,0), O733)</f>
        <v/>
      </c>
      <c r="P734" s="15">
        <f>INT((2^$J$12-1)*O734/100)/(2^$J$12-1)*100</f>
        <v/>
      </c>
      <c r="Q734" s="15" t="n">
        <v>0</v>
      </c>
      <c r="R734" s="15">
        <f>P734+Q734</f>
        <v/>
      </c>
      <c r="S734" s="15">
        <f>$I$1*S733-$I$2*S732+$I$3*R713+$I$4*R712</f>
        <v/>
      </c>
      <c r="T734" s="15">
        <f>RAND()*$G$12</f>
        <v/>
      </c>
      <c r="U734" s="15">
        <f>S734+T734</f>
        <v/>
      </c>
      <c r="V734" s="15">
        <f>INT((2^$J$12-1)*U734/100)/(2^$J$12-1)*100</f>
        <v/>
      </c>
      <c r="X734" s="15">
        <f>M734 * 1.05</f>
        <v/>
      </c>
      <c r="Y734" s="15">
        <f>M734 * 0.95</f>
        <v/>
      </c>
      <c r="Z734" s="15">
        <f>IF(AND(V734 &lt;= X734, V734 &gt;= Y734), 1, 0)</f>
        <v/>
      </c>
    </row>
    <row r="735">
      <c r="L735" s="15" t="n">
        <v>733</v>
      </c>
      <c r="M735" s="15">
        <f>IF(L735&lt;$D$16,$D$13,IF(L735&lt;$E$16,$E$13,$F$13))</f>
        <v/>
      </c>
      <c r="N735" s="15">
        <f>M735-V735</f>
        <v/>
      </c>
      <c r="O735" s="15">
        <f>IF(MOD(L735,$B$11)=0,OFFSET(O735,-$B$11,0)+ $E$2*N735+$E$3*OFFSET(N735,-$B$11,0)+ $E$4*OFFSET(N735,-2* $B$11,0), O734)</f>
        <v/>
      </c>
      <c r="P735" s="15">
        <f>INT((2^$J$12-1)*O735/100)/(2^$J$12-1)*100</f>
        <v/>
      </c>
      <c r="Q735" s="15" t="n">
        <v>0</v>
      </c>
      <c r="R735" s="15">
        <f>P735+Q735</f>
        <v/>
      </c>
      <c r="S735" s="15">
        <f>$I$1*S734-$I$2*S733+$I$3*R714+$I$4*R713</f>
        <v/>
      </c>
      <c r="T735" s="15">
        <f>RAND()*$G$12</f>
        <v/>
      </c>
      <c r="U735" s="15">
        <f>S735+T735</f>
        <v/>
      </c>
      <c r="V735" s="15">
        <f>INT((2^$J$12-1)*U735/100)/(2^$J$12-1)*100</f>
        <v/>
      </c>
      <c r="X735" s="15">
        <f>M735 * 1.05</f>
        <v/>
      </c>
      <c r="Y735" s="15">
        <f>M735 * 0.95</f>
        <v/>
      </c>
      <c r="Z735" s="15">
        <f>IF(AND(V735 &lt;= X735, V735 &gt;= Y735), 1, 0)</f>
        <v/>
      </c>
    </row>
    <row r="736">
      <c r="L736" s="15" t="n">
        <v>734</v>
      </c>
      <c r="M736" s="15">
        <f>IF(L736&lt;$D$16,$D$13,IF(L736&lt;$E$16,$E$13,$F$13))</f>
        <v/>
      </c>
      <c r="N736" s="15">
        <f>M736-V736</f>
        <v/>
      </c>
      <c r="O736" s="15">
        <f>IF(MOD(L736,$B$11)=0,OFFSET(O736,-$B$11,0)+ $E$2*N736+$E$3*OFFSET(N736,-$B$11,0)+ $E$4*OFFSET(N736,-2* $B$11,0), O735)</f>
        <v/>
      </c>
      <c r="P736" s="15">
        <f>INT((2^$J$12-1)*O736/100)/(2^$J$12-1)*100</f>
        <v/>
      </c>
      <c r="Q736" s="15" t="n">
        <v>0</v>
      </c>
      <c r="R736" s="15">
        <f>P736+Q736</f>
        <v/>
      </c>
      <c r="S736" s="15">
        <f>$I$1*S735-$I$2*S734+$I$3*R715+$I$4*R714</f>
        <v/>
      </c>
      <c r="T736" s="15">
        <f>RAND()*$G$12</f>
        <v/>
      </c>
      <c r="U736" s="15">
        <f>S736+T736</f>
        <v/>
      </c>
      <c r="V736" s="15">
        <f>INT((2^$J$12-1)*U736/100)/(2^$J$12-1)*100</f>
        <v/>
      </c>
      <c r="X736" s="15">
        <f>M736 * 1.05</f>
        <v/>
      </c>
      <c r="Y736" s="15">
        <f>M736 * 0.95</f>
        <v/>
      </c>
      <c r="Z736" s="15">
        <f>IF(AND(V736 &lt;= X736, V736 &gt;= Y736), 1, 0)</f>
        <v/>
      </c>
    </row>
    <row r="737">
      <c r="L737" s="15" t="n">
        <v>735</v>
      </c>
      <c r="M737" s="15">
        <f>IF(L737&lt;$D$16,$D$13,IF(L737&lt;$E$16,$E$13,$F$13))</f>
        <v/>
      </c>
      <c r="N737" s="15">
        <f>M737-V737</f>
        <v/>
      </c>
      <c r="O737" s="15">
        <f>IF(MOD(L737,$B$11)=0,OFFSET(O737,-$B$11,0)+ $E$2*N737+$E$3*OFFSET(N737,-$B$11,0)+ $E$4*OFFSET(N737,-2* $B$11,0), O736)</f>
        <v/>
      </c>
      <c r="P737" s="15">
        <f>INT((2^$J$12-1)*O737/100)/(2^$J$12-1)*100</f>
        <v/>
      </c>
      <c r="Q737" s="15" t="n">
        <v>0</v>
      </c>
      <c r="R737" s="15">
        <f>P737+Q737</f>
        <v/>
      </c>
      <c r="S737" s="15">
        <f>$I$1*S736-$I$2*S735+$I$3*R716+$I$4*R715</f>
        <v/>
      </c>
      <c r="T737" s="15">
        <f>RAND()*$G$12</f>
        <v/>
      </c>
      <c r="U737" s="15">
        <f>S737+T737</f>
        <v/>
      </c>
      <c r="V737" s="15">
        <f>INT((2^$J$12-1)*U737/100)/(2^$J$12-1)*100</f>
        <v/>
      </c>
      <c r="X737" s="15">
        <f>M737 * 1.05</f>
        <v/>
      </c>
      <c r="Y737" s="15">
        <f>M737 * 0.95</f>
        <v/>
      </c>
      <c r="Z737" s="15">
        <f>IF(AND(V737 &lt;= X737, V737 &gt;= Y737), 1, 0)</f>
        <v/>
      </c>
    </row>
    <row r="738">
      <c r="L738" s="15" t="n">
        <v>736</v>
      </c>
      <c r="M738" s="15">
        <f>IF(L738&lt;$D$16,$D$13,IF(L738&lt;$E$16,$E$13,$F$13))</f>
        <v/>
      </c>
      <c r="N738" s="15">
        <f>M738-V738</f>
        <v/>
      </c>
      <c r="O738" s="15">
        <f>IF(MOD(L738,$B$11)=0,OFFSET(O738,-$B$11,0)+ $E$2*N738+$E$3*OFFSET(N738,-$B$11,0)+ $E$4*OFFSET(N738,-2* $B$11,0), O737)</f>
        <v/>
      </c>
      <c r="P738" s="15">
        <f>INT((2^$J$12-1)*O738/100)/(2^$J$12-1)*100</f>
        <v/>
      </c>
      <c r="Q738" s="15" t="n">
        <v>0</v>
      </c>
      <c r="R738" s="15">
        <f>P738+Q738</f>
        <v/>
      </c>
      <c r="S738" s="15">
        <f>$I$1*S737-$I$2*S736+$I$3*R717+$I$4*R716</f>
        <v/>
      </c>
      <c r="T738" s="15">
        <f>RAND()*$G$12</f>
        <v/>
      </c>
      <c r="U738" s="15">
        <f>S738+T738</f>
        <v/>
      </c>
      <c r="V738" s="15">
        <f>INT((2^$J$12-1)*U738/100)/(2^$J$12-1)*100</f>
        <v/>
      </c>
      <c r="X738" s="15">
        <f>M738 * 1.05</f>
        <v/>
      </c>
      <c r="Y738" s="15">
        <f>M738 * 0.95</f>
        <v/>
      </c>
      <c r="Z738" s="15">
        <f>IF(AND(V738 &lt;= X738, V738 &gt;= Y738), 1, 0)</f>
        <v/>
      </c>
    </row>
    <row r="739">
      <c r="L739" s="15" t="n">
        <v>737</v>
      </c>
      <c r="M739" s="15">
        <f>IF(L739&lt;$D$16,$D$13,IF(L739&lt;$E$16,$E$13,$F$13))</f>
        <v/>
      </c>
      <c r="N739" s="15">
        <f>M739-V739</f>
        <v/>
      </c>
      <c r="O739" s="15">
        <f>IF(MOD(L739,$B$11)=0,OFFSET(O739,-$B$11,0)+ $E$2*N739+$E$3*OFFSET(N739,-$B$11,0)+ $E$4*OFFSET(N739,-2* $B$11,0), O738)</f>
        <v/>
      </c>
      <c r="P739" s="15">
        <f>INT((2^$J$12-1)*O739/100)/(2^$J$12-1)*100</f>
        <v/>
      </c>
      <c r="Q739" s="15" t="n">
        <v>0</v>
      </c>
      <c r="R739" s="15">
        <f>P739+Q739</f>
        <v/>
      </c>
      <c r="S739" s="15">
        <f>$I$1*S738-$I$2*S737+$I$3*R718+$I$4*R717</f>
        <v/>
      </c>
      <c r="T739" s="15">
        <f>RAND()*$G$12</f>
        <v/>
      </c>
      <c r="U739" s="15">
        <f>S739+T739</f>
        <v/>
      </c>
      <c r="V739" s="15">
        <f>INT((2^$J$12-1)*U739/100)/(2^$J$12-1)*100</f>
        <v/>
      </c>
      <c r="X739" s="15">
        <f>M739 * 1.05</f>
        <v/>
      </c>
      <c r="Y739" s="15">
        <f>M739 * 0.95</f>
        <v/>
      </c>
      <c r="Z739" s="15">
        <f>IF(AND(V739 &lt;= X739, V739 &gt;= Y739), 1, 0)</f>
        <v/>
      </c>
    </row>
    <row r="740">
      <c r="L740" s="15" t="n">
        <v>738</v>
      </c>
      <c r="M740" s="15">
        <f>IF(L740&lt;$D$16,$D$13,IF(L740&lt;$E$16,$E$13,$F$13))</f>
        <v/>
      </c>
      <c r="N740" s="15">
        <f>M740-V740</f>
        <v/>
      </c>
      <c r="O740" s="15">
        <f>IF(MOD(L740,$B$11)=0,OFFSET(O740,-$B$11,0)+ $E$2*N740+$E$3*OFFSET(N740,-$B$11,0)+ $E$4*OFFSET(N740,-2* $B$11,0), O739)</f>
        <v/>
      </c>
      <c r="P740" s="15">
        <f>INT((2^$J$12-1)*O740/100)/(2^$J$12-1)*100</f>
        <v/>
      </c>
      <c r="Q740" s="15" t="n">
        <v>0</v>
      </c>
      <c r="R740" s="15">
        <f>P740+Q740</f>
        <v/>
      </c>
      <c r="S740" s="15">
        <f>$I$1*S739-$I$2*S738+$I$3*R719+$I$4*R718</f>
        <v/>
      </c>
      <c r="T740" s="15">
        <f>RAND()*$G$12</f>
        <v/>
      </c>
      <c r="U740" s="15">
        <f>S740+T740</f>
        <v/>
      </c>
      <c r="V740" s="15">
        <f>INT((2^$J$12-1)*U740/100)/(2^$J$12-1)*100</f>
        <v/>
      </c>
      <c r="X740" s="15">
        <f>M740 * 1.05</f>
        <v/>
      </c>
      <c r="Y740" s="15">
        <f>M740 * 0.95</f>
        <v/>
      </c>
      <c r="Z740" s="15">
        <f>IF(AND(V740 &lt;= X740, V740 &gt;= Y740), 1, 0)</f>
        <v/>
      </c>
    </row>
    <row r="741">
      <c r="L741" s="15" t="n">
        <v>739</v>
      </c>
      <c r="M741" s="15">
        <f>IF(L741&lt;$D$16,$D$13,IF(L741&lt;$E$16,$E$13,$F$13))</f>
        <v/>
      </c>
      <c r="N741" s="15">
        <f>M741-V741</f>
        <v/>
      </c>
      <c r="O741" s="15">
        <f>IF(MOD(L741,$B$11)=0,OFFSET(O741,-$B$11,0)+ $E$2*N741+$E$3*OFFSET(N741,-$B$11,0)+ $E$4*OFFSET(N741,-2* $B$11,0), O740)</f>
        <v/>
      </c>
      <c r="P741" s="15">
        <f>INT((2^$J$12-1)*O741/100)/(2^$J$12-1)*100</f>
        <v/>
      </c>
      <c r="Q741" s="15" t="n">
        <v>0</v>
      </c>
      <c r="R741" s="15">
        <f>P741+Q741</f>
        <v/>
      </c>
      <c r="S741" s="15">
        <f>$I$1*S740-$I$2*S739+$I$3*R720+$I$4*R719</f>
        <v/>
      </c>
      <c r="T741" s="15">
        <f>RAND()*$G$12</f>
        <v/>
      </c>
      <c r="U741" s="15">
        <f>S741+T741</f>
        <v/>
      </c>
      <c r="V741" s="15">
        <f>INT((2^$J$12-1)*U741/100)/(2^$J$12-1)*100</f>
        <v/>
      </c>
      <c r="X741" s="15">
        <f>M741 * 1.05</f>
        <v/>
      </c>
      <c r="Y741" s="15">
        <f>M741 * 0.95</f>
        <v/>
      </c>
      <c r="Z741" s="15">
        <f>IF(AND(V741 &lt;= X741, V741 &gt;= Y741), 1, 0)</f>
        <v/>
      </c>
    </row>
    <row r="742">
      <c r="L742" s="15" t="n">
        <v>740</v>
      </c>
      <c r="M742" s="15">
        <f>IF(L742&lt;$D$16,$D$13,IF(L742&lt;$E$16,$E$13,$F$13))</f>
        <v/>
      </c>
      <c r="N742" s="15">
        <f>M742-V742</f>
        <v/>
      </c>
      <c r="O742" s="15">
        <f>IF(MOD(L742,$B$11)=0,OFFSET(O742,-$B$11,0)+ $E$2*N742+$E$3*OFFSET(N742,-$B$11,0)+ $E$4*OFFSET(N742,-2* $B$11,0), O741)</f>
        <v/>
      </c>
      <c r="P742" s="15">
        <f>INT((2^$J$12-1)*O742/100)/(2^$J$12-1)*100</f>
        <v/>
      </c>
      <c r="Q742" s="15" t="n">
        <v>0</v>
      </c>
      <c r="R742" s="15">
        <f>P742+Q742</f>
        <v/>
      </c>
      <c r="S742" s="15">
        <f>$I$1*S741-$I$2*S740+$I$3*R721+$I$4*R720</f>
        <v/>
      </c>
      <c r="T742" s="15">
        <f>RAND()*$G$12</f>
        <v/>
      </c>
      <c r="U742" s="15">
        <f>S742+T742</f>
        <v/>
      </c>
      <c r="V742" s="15">
        <f>INT((2^$J$12-1)*U742/100)/(2^$J$12-1)*100</f>
        <v/>
      </c>
      <c r="X742" s="15">
        <f>M742 * 1.05</f>
        <v/>
      </c>
      <c r="Y742" s="15">
        <f>M742 * 0.95</f>
        <v/>
      </c>
      <c r="Z742" s="15">
        <f>IF(AND(V742 &lt;= X742, V742 &gt;= Y742), 1, 0)</f>
        <v/>
      </c>
    </row>
    <row r="743">
      <c r="L743" s="15" t="n">
        <v>741</v>
      </c>
      <c r="M743" s="15">
        <f>IF(L743&lt;$D$16,$D$13,IF(L743&lt;$E$16,$E$13,$F$13))</f>
        <v/>
      </c>
      <c r="N743" s="15">
        <f>M743-V743</f>
        <v/>
      </c>
      <c r="O743" s="15">
        <f>IF(MOD(L743,$B$11)=0,OFFSET(O743,-$B$11,0)+ $E$2*N743+$E$3*OFFSET(N743,-$B$11,0)+ $E$4*OFFSET(N743,-2* $B$11,0), O742)</f>
        <v/>
      </c>
      <c r="P743" s="15">
        <f>INT((2^$J$12-1)*O743/100)/(2^$J$12-1)*100</f>
        <v/>
      </c>
      <c r="Q743" s="15" t="n">
        <v>0</v>
      </c>
      <c r="R743" s="15">
        <f>P743+Q743</f>
        <v/>
      </c>
      <c r="S743" s="15">
        <f>$I$1*S742-$I$2*S741+$I$3*R722+$I$4*R721</f>
        <v/>
      </c>
      <c r="T743" s="15">
        <f>RAND()*$G$12</f>
        <v/>
      </c>
      <c r="U743" s="15">
        <f>S743+T743</f>
        <v/>
      </c>
      <c r="V743" s="15">
        <f>INT((2^$J$12-1)*U743/100)/(2^$J$12-1)*100</f>
        <v/>
      </c>
      <c r="X743" s="15">
        <f>M743 * 1.05</f>
        <v/>
      </c>
      <c r="Y743" s="15">
        <f>M743 * 0.95</f>
        <v/>
      </c>
      <c r="Z743" s="15">
        <f>IF(AND(V743 &lt;= X743, V743 &gt;= Y743), 1, 0)</f>
        <v/>
      </c>
    </row>
    <row r="744">
      <c r="L744" s="15" t="n">
        <v>742</v>
      </c>
      <c r="M744" s="15">
        <f>IF(L744&lt;$D$16,$D$13,IF(L744&lt;$E$16,$E$13,$F$13))</f>
        <v/>
      </c>
      <c r="N744" s="15">
        <f>M744-V744</f>
        <v/>
      </c>
      <c r="O744" s="15">
        <f>IF(MOD(L744,$B$11)=0,OFFSET(O744,-$B$11,0)+ $E$2*N744+$E$3*OFFSET(N744,-$B$11,0)+ $E$4*OFFSET(N744,-2* $B$11,0), O743)</f>
        <v/>
      </c>
      <c r="P744" s="15">
        <f>INT((2^$J$12-1)*O744/100)/(2^$J$12-1)*100</f>
        <v/>
      </c>
      <c r="Q744" s="15" t="n">
        <v>0</v>
      </c>
      <c r="R744" s="15">
        <f>P744+Q744</f>
        <v/>
      </c>
      <c r="S744" s="15">
        <f>$I$1*S743-$I$2*S742+$I$3*R723+$I$4*R722</f>
        <v/>
      </c>
      <c r="T744" s="15">
        <f>RAND()*$G$12</f>
        <v/>
      </c>
      <c r="U744" s="15">
        <f>S744+T744</f>
        <v/>
      </c>
      <c r="V744" s="15">
        <f>INT((2^$J$12-1)*U744/100)/(2^$J$12-1)*100</f>
        <v/>
      </c>
      <c r="X744" s="15">
        <f>M744 * 1.05</f>
        <v/>
      </c>
      <c r="Y744" s="15">
        <f>M744 * 0.95</f>
        <v/>
      </c>
      <c r="Z744" s="15">
        <f>IF(AND(V744 &lt;= X744, V744 &gt;= Y744), 1, 0)</f>
        <v/>
      </c>
    </row>
    <row r="745">
      <c r="L745" s="15" t="n">
        <v>743</v>
      </c>
      <c r="M745" s="15">
        <f>IF(L745&lt;$D$16,$D$13,IF(L745&lt;$E$16,$E$13,$F$13))</f>
        <v/>
      </c>
      <c r="N745" s="15">
        <f>M745-V745</f>
        <v/>
      </c>
      <c r="O745" s="15">
        <f>IF(MOD(L745,$B$11)=0,OFFSET(O745,-$B$11,0)+ $E$2*N745+$E$3*OFFSET(N745,-$B$11,0)+ $E$4*OFFSET(N745,-2* $B$11,0), O744)</f>
        <v/>
      </c>
      <c r="P745" s="15">
        <f>INT((2^$J$12-1)*O745/100)/(2^$J$12-1)*100</f>
        <v/>
      </c>
      <c r="Q745" s="15" t="n">
        <v>0</v>
      </c>
      <c r="R745" s="15">
        <f>P745+Q745</f>
        <v/>
      </c>
      <c r="S745" s="15">
        <f>$I$1*S744-$I$2*S743+$I$3*R724+$I$4*R723</f>
        <v/>
      </c>
      <c r="T745" s="15">
        <f>RAND()*$G$12</f>
        <v/>
      </c>
      <c r="U745" s="15">
        <f>S745+T745</f>
        <v/>
      </c>
      <c r="V745" s="15">
        <f>INT((2^$J$12-1)*U745/100)/(2^$J$12-1)*100</f>
        <v/>
      </c>
      <c r="X745" s="15">
        <f>M745 * 1.05</f>
        <v/>
      </c>
      <c r="Y745" s="15">
        <f>M745 * 0.95</f>
        <v/>
      </c>
      <c r="Z745" s="15">
        <f>IF(AND(V745 &lt;= X745, V745 &gt;= Y745), 1, 0)</f>
        <v/>
      </c>
    </row>
    <row r="746">
      <c r="L746" s="15" t="n">
        <v>744</v>
      </c>
      <c r="M746" s="15">
        <f>IF(L746&lt;$D$16,$D$13,IF(L746&lt;$E$16,$E$13,$F$13))</f>
        <v/>
      </c>
      <c r="N746" s="15">
        <f>M746-V746</f>
        <v/>
      </c>
      <c r="O746" s="15">
        <f>IF(MOD(L746,$B$11)=0,OFFSET(O746,-$B$11,0)+ $E$2*N746+$E$3*OFFSET(N746,-$B$11,0)+ $E$4*OFFSET(N746,-2* $B$11,0), O745)</f>
        <v/>
      </c>
      <c r="P746" s="15">
        <f>INT((2^$J$12-1)*O746/100)/(2^$J$12-1)*100</f>
        <v/>
      </c>
      <c r="Q746" s="15" t="n">
        <v>0</v>
      </c>
      <c r="R746" s="15">
        <f>P746+Q746</f>
        <v/>
      </c>
      <c r="S746" s="15">
        <f>$I$1*S745-$I$2*S744+$I$3*R725+$I$4*R724</f>
        <v/>
      </c>
      <c r="T746" s="15">
        <f>RAND()*$G$12</f>
        <v/>
      </c>
      <c r="U746" s="15">
        <f>S746+T746</f>
        <v/>
      </c>
      <c r="V746" s="15">
        <f>INT((2^$J$12-1)*U746/100)/(2^$J$12-1)*100</f>
        <v/>
      </c>
      <c r="X746" s="15">
        <f>M746 * 1.05</f>
        <v/>
      </c>
      <c r="Y746" s="15">
        <f>M746 * 0.95</f>
        <v/>
      </c>
      <c r="Z746" s="15">
        <f>IF(AND(V746 &lt;= X746, V746 &gt;= Y746), 1, 0)</f>
        <v/>
      </c>
    </row>
    <row r="747">
      <c r="L747" s="15" t="n">
        <v>745</v>
      </c>
      <c r="M747" s="15">
        <f>IF(L747&lt;$D$16,$D$13,IF(L747&lt;$E$16,$E$13,$F$13))</f>
        <v/>
      </c>
      <c r="N747" s="15">
        <f>M747-V747</f>
        <v/>
      </c>
      <c r="O747" s="15">
        <f>IF(MOD(L747,$B$11)=0,OFFSET(O747,-$B$11,0)+ $E$2*N747+$E$3*OFFSET(N747,-$B$11,0)+ $E$4*OFFSET(N747,-2* $B$11,0), O746)</f>
        <v/>
      </c>
      <c r="P747" s="15">
        <f>INT((2^$J$12-1)*O747/100)/(2^$J$12-1)*100</f>
        <v/>
      </c>
      <c r="Q747" s="15" t="n">
        <v>0</v>
      </c>
      <c r="R747" s="15">
        <f>P747+Q747</f>
        <v/>
      </c>
      <c r="S747" s="15">
        <f>$I$1*S746-$I$2*S745+$I$3*R726+$I$4*R725</f>
        <v/>
      </c>
      <c r="T747" s="15">
        <f>RAND()*$G$12</f>
        <v/>
      </c>
      <c r="U747" s="15">
        <f>S747+T747</f>
        <v/>
      </c>
      <c r="V747" s="15">
        <f>INT((2^$J$12-1)*U747/100)/(2^$J$12-1)*100</f>
        <v/>
      </c>
      <c r="X747" s="15">
        <f>M747 * 1.05</f>
        <v/>
      </c>
      <c r="Y747" s="15">
        <f>M747 * 0.95</f>
        <v/>
      </c>
      <c r="Z747" s="15">
        <f>IF(AND(V747 &lt;= X747, V747 &gt;= Y747), 1, 0)</f>
        <v/>
      </c>
    </row>
    <row r="748">
      <c r="L748" s="15" t="n">
        <v>746</v>
      </c>
      <c r="M748" s="15">
        <f>IF(L748&lt;$D$16,$D$13,IF(L748&lt;$E$16,$E$13,$F$13))</f>
        <v/>
      </c>
      <c r="N748" s="15">
        <f>M748-V748</f>
        <v/>
      </c>
      <c r="O748" s="15">
        <f>IF(MOD(L748,$B$11)=0,OFFSET(O748,-$B$11,0)+ $E$2*N748+$E$3*OFFSET(N748,-$B$11,0)+ $E$4*OFFSET(N748,-2* $B$11,0), O747)</f>
        <v/>
      </c>
      <c r="P748" s="15">
        <f>INT((2^$J$12-1)*O748/100)/(2^$J$12-1)*100</f>
        <v/>
      </c>
      <c r="Q748" s="15" t="n">
        <v>0</v>
      </c>
      <c r="R748" s="15">
        <f>P748+Q748</f>
        <v/>
      </c>
      <c r="S748" s="15">
        <f>$I$1*S747-$I$2*S746+$I$3*R727+$I$4*R726</f>
        <v/>
      </c>
      <c r="T748" s="15">
        <f>RAND()*$G$12</f>
        <v/>
      </c>
      <c r="U748" s="15">
        <f>S748+T748</f>
        <v/>
      </c>
      <c r="V748" s="15">
        <f>INT((2^$J$12-1)*U748/100)/(2^$J$12-1)*100</f>
        <v/>
      </c>
      <c r="X748" s="15">
        <f>M748 * 1.05</f>
        <v/>
      </c>
      <c r="Y748" s="15">
        <f>M748 * 0.95</f>
        <v/>
      </c>
      <c r="Z748" s="15">
        <f>IF(AND(V748 &lt;= X748, V748 &gt;= Y748), 1, 0)</f>
        <v/>
      </c>
    </row>
    <row r="749">
      <c r="L749" s="15" t="n">
        <v>747</v>
      </c>
      <c r="M749" s="15">
        <f>IF(L749&lt;$D$16,$D$13,IF(L749&lt;$E$16,$E$13,$F$13))</f>
        <v/>
      </c>
      <c r="N749" s="15">
        <f>M749-V749</f>
        <v/>
      </c>
      <c r="O749" s="15">
        <f>IF(MOD(L749,$B$11)=0,OFFSET(O749,-$B$11,0)+ $E$2*N749+$E$3*OFFSET(N749,-$B$11,0)+ $E$4*OFFSET(N749,-2* $B$11,0), O748)</f>
        <v/>
      </c>
      <c r="P749" s="15">
        <f>INT((2^$J$12-1)*O749/100)/(2^$J$12-1)*100</f>
        <v/>
      </c>
      <c r="Q749" s="15" t="n">
        <v>0</v>
      </c>
      <c r="R749" s="15">
        <f>P749+Q749</f>
        <v/>
      </c>
      <c r="S749" s="15">
        <f>$I$1*S748-$I$2*S747+$I$3*R728+$I$4*R727</f>
        <v/>
      </c>
      <c r="T749" s="15">
        <f>RAND()*$G$12</f>
        <v/>
      </c>
      <c r="U749" s="15">
        <f>S749+T749</f>
        <v/>
      </c>
      <c r="V749" s="15">
        <f>INT((2^$J$12-1)*U749/100)/(2^$J$12-1)*100</f>
        <v/>
      </c>
      <c r="X749" s="15">
        <f>M749 * 1.05</f>
        <v/>
      </c>
      <c r="Y749" s="15">
        <f>M749 * 0.95</f>
        <v/>
      </c>
      <c r="Z749" s="15">
        <f>IF(AND(V749 &lt;= X749, V749 &gt;= Y749), 1, 0)</f>
        <v/>
      </c>
    </row>
    <row r="750">
      <c r="L750" s="15" t="n">
        <v>748</v>
      </c>
      <c r="M750" s="15">
        <f>IF(L750&lt;$D$16,$D$13,IF(L750&lt;$E$16,$E$13,$F$13))</f>
        <v/>
      </c>
      <c r="N750" s="15">
        <f>M750-V750</f>
        <v/>
      </c>
      <c r="O750" s="15">
        <f>IF(MOD(L750,$B$11)=0,OFFSET(O750,-$B$11,0)+ $E$2*N750+$E$3*OFFSET(N750,-$B$11,0)+ $E$4*OFFSET(N750,-2* $B$11,0), O749)</f>
        <v/>
      </c>
      <c r="P750" s="15">
        <f>INT((2^$J$12-1)*O750/100)/(2^$J$12-1)*100</f>
        <v/>
      </c>
      <c r="Q750" s="15" t="n">
        <v>0</v>
      </c>
      <c r="R750" s="15">
        <f>P750+Q750</f>
        <v/>
      </c>
      <c r="S750" s="15">
        <f>$I$1*S749-$I$2*S748+$I$3*R729+$I$4*R728</f>
        <v/>
      </c>
      <c r="T750" s="15">
        <f>RAND()*$G$12</f>
        <v/>
      </c>
      <c r="U750" s="15">
        <f>S750+T750</f>
        <v/>
      </c>
      <c r="V750" s="15">
        <f>INT((2^$J$12-1)*U750/100)/(2^$J$12-1)*100</f>
        <v/>
      </c>
      <c r="X750" s="15">
        <f>M750 * 1.05</f>
        <v/>
      </c>
      <c r="Y750" s="15">
        <f>M750 * 0.95</f>
        <v/>
      </c>
      <c r="Z750" s="15">
        <f>IF(AND(V750 &lt;= X750, V750 &gt;= Y750), 1, 0)</f>
        <v/>
      </c>
    </row>
    <row r="751">
      <c r="L751" s="15" t="n">
        <v>749</v>
      </c>
      <c r="M751" s="15">
        <f>IF(L751&lt;$D$16,$D$13,IF(L751&lt;$E$16,$E$13,$F$13))</f>
        <v/>
      </c>
      <c r="N751" s="15">
        <f>M751-V751</f>
        <v/>
      </c>
      <c r="O751" s="15">
        <f>IF(MOD(L751,$B$11)=0,OFFSET(O751,-$B$11,0)+ $E$2*N751+$E$3*OFFSET(N751,-$B$11,0)+ $E$4*OFFSET(N751,-2* $B$11,0), O750)</f>
        <v/>
      </c>
      <c r="P751" s="15">
        <f>INT((2^$J$12-1)*O751/100)/(2^$J$12-1)*100</f>
        <v/>
      </c>
      <c r="Q751" s="15" t="n">
        <v>0</v>
      </c>
      <c r="R751" s="15">
        <f>P751+Q751</f>
        <v/>
      </c>
      <c r="S751" s="15">
        <f>$I$1*S750-$I$2*S749+$I$3*R730+$I$4*R729</f>
        <v/>
      </c>
      <c r="T751" s="15">
        <f>RAND()*$G$12</f>
        <v/>
      </c>
      <c r="U751" s="15">
        <f>S751+T751</f>
        <v/>
      </c>
      <c r="V751" s="15">
        <f>INT((2^$J$12-1)*U751/100)/(2^$J$12-1)*100</f>
        <v/>
      </c>
      <c r="X751" s="15">
        <f>M751 * 1.05</f>
        <v/>
      </c>
      <c r="Y751" s="15">
        <f>M751 * 0.95</f>
        <v/>
      </c>
      <c r="Z751" s="15">
        <f>IF(AND(V751 &lt;= X751, V751 &gt;= Y751), 1, 0)</f>
        <v/>
      </c>
    </row>
    <row r="752">
      <c r="L752" s="15" t="n">
        <v>750</v>
      </c>
      <c r="M752" s="15">
        <f>IF(L752&lt;$D$16,$D$13,IF(L752&lt;$E$16,$E$13,$F$13))</f>
        <v/>
      </c>
      <c r="N752" s="15">
        <f>M752-V752</f>
        <v/>
      </c>
      <c r="O752" s="15">
        <f>IF(MOD(L752,$B$11)=0,OFFSET(O752,-$B$11,0)+ $E$2*N752+$E$3*OFFSET(N752,-$B$11,0)+ $E$4*OFFSET(N752,-2* $B$11,0), O751)</f>
        <v/>
      </c>
      <c r="P752" s="15">
        <f>INT((2^$J$12-1)*O752/100)/(2^$J$12-1)*100</f>
        <v/>
      </c>
      <c r="Q752" s="15" t="n">
        <v>0</v>
      </c>
      <c r="R752" s="15">
        <f>P752+Q752</f>
        <v/>
      </c>
      <c r="S752" s="15">
        <f>$I$1*S751-$I$2*S750+$I$3*R731+$I$4*R730</f>
        <v/>
      </c>
      <c r="T752" s="15">
        <f>RAND()*$G$12</f>
        <v/>
      </c>
      <c r="U752" s="15">
        <f>S752+T752</f>
        <v/>
      </c>
      <c r="V752" s="15">
        <f>INT((2^$J$12-1)*U752/100)/(2^$J$12-1)*100</f>
        <v/>
      </c>
      <c r="X752" s="15">
        <f>M752 * 1.05</f>
        <v/>
      </c>
      <c r="Y752" s="15">
        <f>M752 * 0.95</f>
        <v/>
      </c>
      <c r="Z752" s="15">
        <f>IF(AND(V752 &lt;= X752, V752 &gt;= Y752), 1, 0)</f>
        <v/>
      </c>
    </row>
    <row r="753">
      <c r="L753" s="15" t="n">
        <v>751</v>
      </c>
      <c r="M753" s="15">
        <f>IF(L753&lt;$D$16,$D$13,IF(L753&lt;$E$16,$E$13,$F$13))</f>
        <v/>
      </c>
      <c r="N753" s="15">
        <f>M753-V753</f>
        <v/>
      </c>
      <c r="O753" s="15">
        <f>IF(MOD(L753,$B$11)=0,OFFSET(O753,-$B$11,0)+ $E$2*N753+$E$3*OFFSET(N753,-$B$11,0)+ $E$4*OFFSET(N753,-2* $B$11,0), O752)</f>
        <v/>
      </c>
      <c r="P753" s="15">
        <f>INT((2^$J$12-1)*O753/100)/(2^$J$12-1)*100</f>
        <v/>
      </c>
      <c r="Q753" s="15" t="n">
        <v>0</v>
      </c>
      <c r="R753" s="15">
        <f>P753+Q753</f>
        <v/>
      </c>
      <c r="S753" s="15">
        <f>$I$1*S752-$I$2*S751+$I$3*R732+$I$4*R731</f>
        <v/>
      </c>
      <c r="T753" s="15">
        <f>RAND()*$G$12</f>
        <v/>
      </c>
      <c r="U753" s="15">
        <f>S753+T753</f>
        <v/>
      </c>
      <c r="V753" s="15">
        <f>INT((2^$J$12-1)*U753/100)/(2^$J$12-1)*100</f>
        <v/>
      </c>
      <c r="X753" s="15">
        <f>M753 * 1.05</f>
        <v/>
      </c>
      <c r="Y753" s="15">
        <f>M753 * 0.95</f>
        <v/>
      </c>
      <c r="Z753" s="15">
        <f>IF(AND(V753 &lt;= X753, V753 &gt;= Y753), 1, 0)</f>
        <v/>
      </c>
    </row>
    <row r="754">
      <c r="L754" s="15" t="n">
        <v>752</v>
      </c>
      <c r="M754" s="15">
        <f>IF(L754&lt;$D$16,$D$13,IF(L754&lt;$E$16,$E$13,$F$13))</f>
        <v/>
      </c>
      <c r="N754" s="15">
        <f>M754-V754</f>
        <v/>
      </c>
      <c r="O754" s="15">
        <f>IF(MOD(L754,$B$11)=0,OFFSET(O754,-$B$11,0)+ $E$2*N754+$E$3*OFFSET(N754,-$B$11,0)+ $E$4*OFFSET(N754,-2* $B$11,0), O753)</f>
        <v/>
      </c>
      <c r="P754" s="15">
        <f>INT((2^$J$12-1)*O754/100)/(2^$J$12-1)*100</f>
        <v/>
      </c>
      <c r="Q754" s="15" t="n">
        <v>0</v>
      </c>
      <c r="R754" s="15">
        <f>P754+Q754</f>
        <v/>
      </c>
      <c r="S754" s="15">
        <f>$I$1*S753-$I$2*S752+$I$3*R733+$I$4*R732</f>
        <v/>
      </c>
      <c r="T754" s="15">
        <f>RAND()*$G$12</f>
        <v/>
      </c>
      <c r="U754" s="15">
        <f>S754+T754</f>
        <v/>
      </c>
      <c r="V754" s="15">
        <f>INT((2^$J$12-1)*U754/100)/(2^$J$12-1)*100</f>
        <v/>
      </c>
      <c r="X754" s="15">
        <f>M754 * 1.05</f>
        <v/>
      </c>
      <c r="Y754" s="15">
        <f>M754 * 0.95</f>
        <v/>
      </c>
      <c r="Z754" s="15">
        <f>IF(AND(V754 &lt;= X754, V754 &gt;= Y754), 1, 0)</f>
        <v/>
      </c>
    </row>
    <row r="755">
      <c r="L755" s="15" t="n">
        <v>753</v>
      </c>
      <c r="M755" s="15">
        <f>IF(L755&lt;$D$16,$D$13,IF(L755&lt;$E$16,$E$13,$F$13))</f>
        <v/>
      </c>
      <c r="N755" s="15">
        <f>M755-V755</f>
        <v/>
      </c>
      <c r="O755" s="15">
        <f>IF(MOD(L755,$B$11)=0,OFFSET(O755,-$B$11,0)+ $E$2*N755+$E$3*OFFSET(N755,-$B$11,0)+ $E$4*OFFSET(N755,-2* $B$11,0), O754)</f>
        <v/>
      </c>
      <c r="P755" s="15">
        <f>INT((2^$J$12-1)*O755/100)/(2^$J$12-1)*100</f>
        <v/>
      </c>
      <c r="Q755" s="15" t="n">
        <v>0</v>
      </c>
      <c r="R755" s="15">
        <f>P755+Q755</f>
        <v/>
      </c>
      <c r="S755" s="15">
        <f>$I$1*S754-$I$2*S753+$I$3*R734+$I$4*R733</f>
        <v/>
      </c>
      <c r="T755" s="15">
        <f>RAND()*$G$12</f>
        <v/>
      </c>
      <c r="U755" s="15">
        <f>S755+T755</f>
        <v/>
      </c>
      <c r="V755" s="15">
        <f>INT((2^$J$12-1)*U755/100)/(2^$J$12-1)*100</f>
        <v/>
      </c>
      <c r="X755" s="15">
        <f>M755 * 1.05</f>
        <v/>
      </c>
      <c r="Y755" s="15">
        <f>M755 * 0.95</f>
        <v/>
      </c>
      <c r="Z755" s="15">
        <f>IF(AND(V755 &lt;= X755, V755 &gt;= Y755), 1, 0)</f>
        <v/>
      </c>
    </row>
    <row r="756">
      <c r="L756" s="15" t="n">
        <v>754</v>
      </c>
      <c r="M756" s="15">
        <f>IF(L756&lt;$D$16,$D$13,IF(L756&lt;$E$16,$E$13,$F$13))</f>
        <v/>
      </c>
      <c r="N756" s="15">
        <f>M756-V756</f>
        <v/>
      </c>
      <c r="O756" s="15">
        <f>IF(MOD(L756,$B$11)=0,OFFSET(O756,-$B$11,0)+ $E$2*N756+$E$3*OFFSET(N756,-$B$11,0)+ $E$4*OFFSET(N756,-2* $B$11,0), O755)</f>
        <v/>
      </c>
      <c r="P756" s="15">
        <f>INT((2^$J$12-1)*O756/100)/(2^$J$12-1)*100</f>
        <v/>
      </c>
      <c r="Q756" s="15" t="n">
        <v>0</v>
      </c>
      <c r="R756" s="15">
        <f>P756+Q756</f>
        <v/>
      </c>
      <c r="S756" s="15">
        <f>$I$1*S755-$I$2*S754+$I$3*R735+$I$4*R734</f>
        <v/>
      </c>
      <c r="T756" s="15">
        <f>RAND()*$G$12</f>
        <v/>
      </c>
      <c r="U756" s="15">
        <f>S756+T756</f>
        <v/>
      </c>
      <c r="V756" s="15">
        <f>INT((2^$J$12-1)*U756/100)/(2^$J$12-1)*100</f>
        <v/>
      </c>
      <c r="X756" s="15">
        <f>M756 * 1.05</f>
        <v/>
      </c>
      <c r="Y756" s="15">
        <f>M756 * 0.95</f>
        <v/>
      </c>
      <c r="Z756" s="15">
        <f>IF(AND(V756 &lt;= X756, V756 &gt;= Y756), 1, 0)</f>
        <v/>
      </c>
    </row>
    <row r="757">
      <c r="L757" s="15" t="n">
        <v>755</v>
      </c>
      <c r="M757" s="15">
        <f>IF(L757&lt;$D$16,$D$13,IF(L757&lt;$E$16,$E$13,$F$13))</f>
        <v/>
      </c>
      <c r="N757" s="15">
        <f>M757-V757</f>
        <v/>
      </c>
      <c r="O757" s="15">
        <f>IF(MOD(L757,$B$11)=0,OFFSET(O757,-$B$11,0)+ $E$2*N757+$E$3*OFFSET(N757,-$B$11,0)+ $E$4*OFFSET(N757,-2* $B$11,0), O756)</f>
        <v/>
      </c>
      <c r="P757" s="15">
        <f>INT((2^$J$12-1)*O757/100)/(2^$J$12-1)*100</f>
        <v/>
      </c>
      <c r="Q757" s="15" t="n">
        <v>0</v>
      </c>
      <c r="R757" s="15">
        <f>P757+Q757</f>
        <v/>
      </c>
      <c r="S757" s="15">
        <f>$I$1*S756-$I$2*S755+$I$3*R736+$I$4*R735</f>
        <v/>
      </c>
      <c r="T757" s="15">
        <f>RAND()*$G$12</f>
        <v/>
      </c>
      <c r="U757" s="15">
        <f>S757+T757</f>
        <v/>
      </c>
      <c r="V757" s="15">
        <f>INT((2^$J$12-1)*U757/100)/(2^$J$12-1)*100</f>
        <v/>
      </c>
      <c r="X757" s="15">
        <f>M757 * 1.05</f>
        <v/>
      </c>
      <c r="Y757" s="15">
        <f>M757 * 0.95</f>
        <v/>
      </c>
      <c r="Z757" s="15">
        <f>IF(AND(V757 &lt;= X757, V757 &gt;= Y757), 1, 0)</f>
        <v/>
      </c>
    </row>
    <row r="758">
      <c r="L758" s="15" t="n">
        <v>756</v>
      </c>
      <c r="M758" s="15">
        <f>IF(L758&lt;$D$16,$D$13,IF(L758&lt;$E$16,$E$13,$F$13))</f>
        <v/>
      </c>
      <c r="N758" s="15">
        <f>M758-V758</f>
        <v/>
      </c>
      <c r="O758" s="15">
        <f>IF(MOD(L758,$B$11)=0,OFFSET(O758,-$B$11,0)+ $E$2*N758+$E$3*OFFSET(N758,-$B$11,0)+ $E$4*OFFSET(N758,-2* $B$11,0), O757)</f>
        <v/>
      </c>
      <c r="P758" s="15">
        <f>INT((2^$J$12-1)*O758/100)/(2^$J$12-1)*100</f>
        <v/>
      </c>
      <c r="Q758" s="15" t="n">
        <v>0</v>
      </c>
      <c r="R758" s="15">
        <f>P758+Q758</f>
        <v/>
      </c>
      <c r="S758" s="15">
        <f>$I$1*S757-$I$2*S756+$I$3*R737+$I$4*R736</f>
        <v/>
      </c>
      <c r="T758" s="15">
        <f>RAND()*$G$12</f>
        <v/>
      </c>
      <c r="U758" s="15">
        <f>S758+T758</f>
        <v/>
      </c>
      <c r="V758" s="15">
        <f>INT((2^$J$12-1)*U758/100)/(2^$J$12-1)*100</f>
        <v/>
      </c>
      <c r="X758" s="15">
        <f>M758 * 1.05</f>
        <v/>
      </c>
      <c r="Y758" s="15">
        <f>M758 * 0.95</f>
        <v/>
      </c>
      <c r="Z758" s="15">
        <f>IF(AND(V758 &lt;= X758, V758 &gt;= Y758), 1, 0)</f>
        <v/>
      </c>
    </row>
    <row r="759">
      <c r="L759" s="15" t="n">
        <v>757</v>
      </c>
      <c r="M759" s="15">
        <f>IF(L759&lt;$D$16,$D$13,IF(L759&lt;$E$16,$E$13,$F$13))</f>
        <v/>
      </c>
      <c r="N759" s="15">
        <f>M759-V759</f>
        <v/>
      </c>
      <c r="O759" s="15">
        <f>IF(MOD(L759,$B$11)=0,OFFSET(O759,-$B$11,0)+ $E$2*N759+$E$3*OFFSET(N759,-$B$11,0)+ $E$4*OFFSET(N759,-2* $B$11,0), O758)</f>
        <v/>
      </c>
      <c r="P759" s="15">
        <f>INT((2^$J$12-1)*O759/100)/(2^$J$12-1)*100</f>
        <v/>
      </c>
      <c r="Q759" s="15" t="n">
        <v>0</v>
      </c>
      <c r="R759" s="15">
        <f>P759+Q759</f>
        <v/>
      </c>
      <c r="S759" s="15">
        <f>$I$1*S758-$I$2*S757+$I$3*R738+$I$4*R737</f>
        <v/>
      </c>
      <c r="T759" s="15">
        <f>RAND()*$G$12</f>
        <v/>
      </c>
      <c r="U759" s="15">
        <f>S759+T759</f>
        <v/>
      </c>
      <c r="V759" s="15">
        <f>INT((2^$J$12-1)*U759/100)/(2^$J$12-1)*100</f>
        <v/>
      </c>
      <c r="X759" s="15">
        <f>M759 * 1.05</f>
        <v/>
      </c>
      <c r="Y759" s="15">
        <f>M759 * 0.95</f>
        <v/>
      </c>
      <c r="Z759" s="15">
        <f>IF(AND(V759 &lt;= X759, V759 &gt;= Y759), 1, 0)</f>
        <v/>
      </c>
    </row>
    <row r="760">
      <c r="L760" s="15" t="n">
        <v>758</v>
      </c>
      <c r="M760" s="15">
        <f>IF(L760&lt;$D$16,$D$13,IF(L760&lt;$E$16,$E$13,$F$13))</f>
        <v/>
      </c>
      <c r="N760" s="15">
        <f>M760-V760</f>
        <v/>
      </c>
      <c r="O760" s="15">
        <f>IF(MOD(L760,$B$11)=0,OFFSET(O760,-$B$11,0)+ $E$2*N760+$E$3*OFFSET(N760,-$B$11,0)+ $E$4*OFFSET(N760,-2* $B$11,0), O759)</f>
        <v/>
      </c>
      <c r="P760" s="15">
        <f>INT((2^$J$12-1)*O760/100)/(2^$J$12-1)*100</f>
        <v/>
      </c>
      <c r="Q760" s="15" t="n">
        <v>0</v>
      </c>
      <c r="R760" s="15">
        <f>P760+Q760</f>
        <v/>
      </c>
      <c r="S760" s="15">
        <f>$I$1*S759-$I$2*S758+$I$3*R739+$I$4*R738</f>
        <v/>
      </c>
      <c r="T760" s="15">
        <f>RAND()*$G$12</f>
        <v/>
      </c>
      <c r="U760" s="15">
        <f>S760+T760</f>
        <v/>
      </c>
      <c r="V760" s="15">
        <f>INT((2^$J$12-1)*U760/100)/(2^$J$12-1)*100</f>
        <v/>
      </c>
      <c r="X760" s="15">
        <f>M760 * 1.05</f>
        <v/>
      </c>
      <c r="Y760" s="15">
        <f>M760 * 0.95</f>
        <v/>
      </c>
      <c r="Z760" s="15">
        <f>IF(AND(V760 &lt;= X760, V760 &gt;= Y760), 1, 0)</f>
        <v/>
      </c>
    </row>
    <row r="761">
      <c r="L761" s="15" t="n">
        <v>759</v>
      </c>
      <c r="M761" s="15">
        <f>IF(L761&lt;$D$16,$D$13,IF(L761&lt;$E$16,$E$13,$F$13))</f>
        <v/>
      </c>
      <c r="N761" s="15">
        <f>M761-V761</f>
        <v/>
      </c>
      <c r="O761" s="15">
        <f>IF(MOD(L761,$B$11)=0,OFFSET(O761,-$B$11,0)+ $E$2*N761+$E$3*OFFSET(N761,-$B$11,0)+ $E$4*OFFSET(N761,-2* $B$11,0), O760)</f>
        <v/>
      </c>
      <c r="P761" s="15">
        <f>INT((2^$J$12-1)*O761/100)/(2^$J$12-1)*100</f>
        <v/>
      </c>
      <c r="Q761" s="15" t="n">
        <v>0</v>
      </c>
      <c r="R761" s="15">
        <f>P761+Q761</f>
        <v/>
      </c>
      <c r="S761" s="15">
        <f>$I$1*S760-$I$2*S759+$I$3*R740+$I$4*R739</f>
        <v/>
      </c>
      <c r="T761" s="15">
        <f>RAND()*$G$12</f>
        <v/>
      </c>
      <c r="U761" s="15">
        <f>S761+T761</f>
        <v/>
      </c>
      <c r="V761" s="15">
        <f>INT((2^$J$12-1)*U761/100)/(2^$J$12-1)*100</f>
        <v/>
      </c>
      <c r="X761" s="15">
        <f>M761 * 1.05</f>
        <v/>
      </c>
      <c r="Y761" s="15">
        <f>M761 * 0.95</f>
        <v/>
      </c>
      <c r="Z761" s="15">
        <f>IF(AND(V761 &lt;= X761, V761 &gt;= Y761), 1, 0)</f>
        <v/>
      </c>
    </row>
    <row r="762">
      <c r="L762" s="15" t="n">
        <v>760</v>
      </c>
      <c r="M762" s="15">
        <f>IF(L762&lt;$D$16,$D$13,IF(L762&lt;$E$16,$E$13,$F$13))</f>
        <v/>
      </c>
      <c r="N762" s="15">
        <f>M762-V762</f>
        <v/>
      </c>
      <c r="O762" s="15">
        <f>IF(MOD(L762,$B$11)=0,OFFSET(O762,-$B$11,0)+ $E$2*N762+$E$3*OFFSET(N762,-$B$11,0)+ $E$4*OFFSET(N762,-2* $B$11,0), O761)</f>
        <v/>
      </c>
      <c r="P762" s="15">
        <f>INT((2^$J$12-1)*O762/100)/(2^$J$12-1)*100</f>
        <v/>
      </c>
      <c r="Q762" s="15" t="n">
        <v>0</v>
      </c>
      <c r="R762" s="15">
        <f>P762+Q762</f>
        <v/>
      </c>
      <c r="S762" s="15">
        <f>$I$1*S761-$I$2*S760+$I$3*R741+$I$4*R740</f>
        <v/>
      </c>
      <c r="T762" s="15">
        <f>RAND()*$G$12</f>
        <v/>
      </c>
      <c r="U762" s="15">
        <f>S762+T762</f>
        <v/>
      </c>
      <c r="V762" s="15">
        <f>INT((2^$J$12-1)*U762/100)/(2^$J$12-1)*100</f>
        <v/>
      </c>
      <c r="X762" s="15">
        <f>M762 * 1.05</f>
        <v/>
      </c>
      <c r="Y762" s="15">
        <f>M762 * 0.95</f>
        <v/>
      </c>
      <c r="Z762" s="15">
        <f>IF(AND(V762 &lt;= X762, V762 &gt;= Y762), 1, 0)</f>
        <v/>
      </c>
    </row>
    <row r="763">
      <c r="L763" s="15" t="n">
        <v>761</v>
      </c>
      <c r="M763" s="15">
        <f>IF(L763&lt;$D$16,$D$13,IF(L763&lt;$E$16,$E$13,$F$13))</f>
        <v/>
      </c>
      <c r="N763" s="15">
        <f>M763-V763</f>
        <v/>
      </c>
      <c r="O763" s="15">
        <f>IF(MOD(L763,$B$11)=0,OFFSET(O763,-$B$11,0)+ $E$2*N763+$E$3*OFFSET(N763,-$B$11,0)+ $E$4*OFFSET(N763,-2* $B$11,0), O762)</f>
        <v/>
      </c>
      <c r="P763" s="15">
        <f>INT((2^$J$12-1)*O763/100)/(2^$J$12-1)*100</f>
        <v/>
      </c>
      <c r="Q763" s="15" t="n">
        <v>0</v>
      </c>
      <c r="R763" s="15">
        <f>P763+Q763</f>
        <v/>
      </c>
      <c r="S763" s="15">
        <f>$I$1*S762-$I$2*S761+$I$3*R742+$I$4*R741</f>
        <v/>
      </c>
      <c r="T763" s="15">
        <f>RAND()*$G$12</f>
        <v/>
      </c>
      <c r="U763" s="15">
        <f>S763+T763</f>
        <v/>
      </c>
      <c r="V763" s="15">
        <f>INT((2^$J$12-1)*U763/100)/(2^$J$12-1)*100</f>
        <v/>
      </c>
      <c r="X763" s="15">
        <f>M763 * 1.05</f>
        <v/>
      </c>
      <c r="Y763" s="15">
        <f>M763 * 0.95</f>
        <v/>
      </c>
      <c r="Z763" s="15">
        <f>IF(AND(V763 &lt;= X763, V763 &gt;= Y763), 1, 0)</f>
        <v/>
      </c>
    </row>
    <row r="764">
      <c r="L764" s="15" t="n">
        <v>762</v>
      </c>
      <c r="M764" s="15">
        <f>IF(L764&lt;$D$16,$D$13,IF(L764&lt;$E$16,$E$13,$F$13))</f>
        <v/>
      </c>
      <c r="N764" s="15">
        <f>M764-V764</f>
        <v/>
      </c>
      <c r="O764" s="15">
        <f>IF(MOD(L764,$B$11)=0,OFFSET(O764,-$B$11,0)+ $E$2*N764+$E$3*OFFSET(N764,-$B$11,0)+ $E$4*OFFSET(N764,-2* $B$11,0), O763)</f>
        <v/>
      </c>
      <c r="P764" s="15">
        <f>INT((2^$J$12-1)*O764/100)/(2^$J$12-1)*100</f>
        <v/>
      </c>
      <c r="Q764" s="15" t="n">
        <v>0</v>
      </c>
      <c r="R764" s="15">
        <f>P764+Q764</f>
        <v/>
      </c>
      <c r="S764" s="15">
        <f>$I$1*S763-$I$2*S762+$I$3*R743+$I$4*R742</f>
        <v/>
      </c>
      <c r="T764" s="15">
        <f>RAND()*$G$12</f>
        <v/>
      </c>
      <c r="U764" s="15">
        <f>S764+T764</f>
        <v/>
      </c>
      <c r="V764" s="15">
        <f>INT((2^$J$12-1)*U764/100)/(2^$J$12-1)*100</f>
        <v/>
      </c>
      <c r="X764" s="15">
        <f>M764 * 1.05</f>
        <v/>
      </c>
      <c r="Y764" s="15">
        <f>M764 * 0.95</f>
        <v/>
      </c>
      <c r="Z764" s="15">
        <f>IF(AND(V764 &lt;= X764, V764 &gt;= Y764), 1, 0)</f>
        <v/>
      </c>
    </row>
    <row r="765">
      <c r="L765" s="15" t="n">
        <v>763</v>
      </c>
      <c r="M765" s="15">
        <f>IF(L765&lt;$D$16,$D$13,IF(L765&lt;$E$16,$E$13,$F$13))</f>
        <v/>
      </c>
      <c r="N765" s="15">
        <f>M765-V765</f>
        <v/>
      </c>
      <c r="O765" s="15">
        <f>IF(MOD(L765,$B$11)=0,OFFSET(O765,-$B$11,0)+ $E$2*N765+$E$3*OFFSET(N765,-$B$11,0)+ $E$4*OFFSET(N765,-2* $B$11,0), O764)</f>
        <v/>
      </c>
      <c r="P765" s="15">
        <f>INT((2^$J$12-1)*O765/100)/(2^$J$12-1)*100</f>
        <v/>
      </c>
      <c r="Q765" s="15" t="n">
        <v>0</v>
      </c>
      <c r="R765" s="15">
        <f>P765+Q765</f>
        <v/>
      </c>
      <c r="S765" s="15">
        <f>$I$1*S764-$I$2*S763+$I$3*R744+$I$4*R743</f>
        <v/>
      </c>
      <c r="T765" s="15">
        <f>RAND()*$G$12</f>
        <v/>
      </c>
      <c r="U765" s="15">
        <f>S765+T765</f>
        <v/>
      </c>
      <c r="V765" s="15">
        <f>INT((2^$J$12-1)*U765/100)/(2^$J$12-1)*100</f>
        <v/>
      </c>
      <c r="X765" s="15">
        <f>M765 * 1.05</f>
        <v/>
      </c>
      <c r="Y765" s="15">
        <f>M765 * 0.95</f>
        <v/>
      </c>
      <c r="Z765" s="15">
        <f>IF(AND(V765 &lt;= X765, V765 &gt;= Y765), 1, 0)</f>
        <v/>
      </c>
    </row>
    <row r="766">
      <c r="L766" s="15" t="n">
        <v>764</v>
      </c>
      <c r="M766" s="15">
        <f>IF(L766&lt;$D$16,$D$13,IF(L766&lt;$E$16,$E$13,$F$13))</f>
        <v/>
      </c>
      <c r="N766" s="15">
        <f>M766-V766</f>
        <v/>
      </c>
      <c r="O766" s="15">
        <f>IF(MOD(L766,$B$11)=0,OFFSET(O766,-$B$11,0)+ $E$2*N766+$E$3*OFFSET(N766,-$B$11,0)+ $E$4*OFFSET(N766,-2* $B$11,0), O765)</f>
        <v/>
      </c>
      <c r="P766" s="15">
        <f>INT((2^$J$12-1)*O766/100)/(2^$J$12-1)*100</f>
        <v/>
      </c>
      <c r="Q766" s="15" t="n">
        <v>0</v>
      </c>
      <c r="R766" s="15">
        <f>P766+Q766</f>
        <v/>
      </c>
      <c r="S766" s="15">
        <f>$I$1*S765-$I$2*S764+$I$3*R745+$I$4*R744</f>
        <v/>
      </c>
      <c r="T766" s="15">
        <f>RAND()*$G$12</f>
        <v/>
      </c>
      <c r="U766" s="15">
        <f>S766+T766</f>
        <v/>
      </c>
      <c r="V766" s="15">
        <f>INT((2^$J$12-1)*U766/100)/(2^$J$12-1)*100</f>
        <v/>
      </c>
      <c r="X766" s="15">
        <f>M766 * 1.05</f>
        <v/>
      </c>
      <c r="Y766" s="15">
        <f>M766 * 0.95</f>
        <v/>
      </c>
      <c r="Z766" s="15">
        <f>IF(AND(V766 &lt;= X766, V766 &gt;= Y766), 1, 0)</f>
        <v/>
      </c>
    </row>
    <row r="767">
      <c r="L767" s="15" t="n">
        <v>765</v>
      </c>
      <c r="M767" s="15">
        <f>IF(L767&lt;$D$16,$D$13,IF(L767&lt;$E$16,$E$13,$F$13))</f>
        <v/>
      </c>
      <c r="N767" s="15">
        <f>M767-V767</f>
        <v/>
      </c>
      <c r="O767" s="15">
        <f>IF(MOD(L767,$B$11)=0,OFFSET(O767,-$B$11,0)+ $E$2*N767+$E$3*OFFSET(N767,-$B$11,0)+ $E$4*OFFSET(N767,-2* $B$11,0), O766)</f>
        <v/>
      </c>
      <c r="P767" s="15">
        <f>INT((2^$J$12-1)*O767/100)/(2^$J$12-1)*100</f>
        <v/>
      </c>
      <c r="Q767" s="15" t="n">
        <v>0</v>
      </c>
      <c r="R767" s="15">
        <f>P767+Q767</f>
        <v/>
      </c>
      <c r="S767" s="15">
        <f>$I$1*S766-$I$2*S765+$I$3*R746+$I$4*R745</f>
        <v/>
      </c>
      <c r="T767" s="15">
        <f>RAND()*$G$12</f>
        <v/>
      </c>
      <c r="U767" s="15">
        <f>S767+T767</f>
        <v/>
      </c>
      <c r="V767" s="15">
        <f>INT((2^$J$12-1)*U767/100)/(2^$J$12-1)*100</f>
        <v/>
      </c>
      <c r="X767" s="15">
        <f>M767 * 1.05</f>
        <v/>
      </c>
      <c r="Y767" s="15">
        <f>M767 * 0.95</f>
        <v/>
      </c>
      <c r="Z767" s="15">
        <f>IF(AND(V767 &lt;= X767, V767 &gt;= Y767), 1, 0)</f>
        <v/>
      </c>
    </row>
    <row r="768">
      <c r="L768" s="15" t="n">
        <v>766</v>
      </c>
      <c r="M768" s="15">
        <f>IF(L768&lt;$D$16,$D$13,IF(L768&lt;$E$16,$E$13,$F$13))</f>
        <v/>
      </c>
      <c r="N768" s="15">
        <f>M768-V768</f>
        <v/>
      </c>
      <c r="O768" s="15">
        <f>IF(MOD(L768,$B$11)=0,OFFSET(O768,-$B$11,0)+ $E$2*N768+$E$3*OFFSET(N768,-$B$11,0)+ $E$4*OFFSET(N768,-2* $B$11,0), O767)</f>
        <v/>
      </c>
      <c r="P768" s="15">
        <f>INT((2^$J$12-1)*O768/100)/(2^$J$12-1)*100</f>
        <v/>
      </c>
      <c r="Q768" s="15" t="n">
        <v>0</v>
      </c>
      <c r="R768" s="15">
        <f>P768+Q768</f>
        <v/>
      </c>
      <c r="S768" s="15">
        <f>$I$1*S767-$I$2*S766+$I$3*R747+$I$4*R746</f>
        <v/>
      </c>
      <c r="T768" s="15">
        <f>RAND()*$G$12</f>
        <v/>
      </c>
      <c r="U768" s="15">
        <f>S768+T768</f>
        <v/>
      </c>
      <c r="V768" s="15">
        <f>INT((2^$J$12-1)*U768/100)/(2^$J$12-1)*100</f>
        <v/>
      </c>
      <c r="X768" s="15">
        <f>M768 * 1.05</f>
        <v/>
      </c>
      <c r="Y768" s="15">
        <f>M768 * 0.95</f>
        <v/>
      </c>
      <c r="Z768" s="15">
        <f>IF(AND(V768 &lt;= X768, V768 &gt;= Y768), 1, 0)</f>
        <v/>
      </c>
    </row>
    <row r="769">
      <c r="L769" s="15" t="n">
        <v>767</v>
      </c>
      <c r="M769" s="15">
        <f>IF(L769&lt;$D$16,$D$13,IF(L769&lt;$E$16,$E$13,$F$13))</f>
        <v/>
      </c>
      <c r="N769" s="15">
        <f>M769-V769</f>
        <v/>
      </c>
      <c r="O769" s="15">
        <f>IF(MOD(L769,$B$11)=0,OFFSET(O769,-$B$11,0)+ $E$2*N769+$E$3*OFFSET(N769,-$B$11,0)+ $E$4*OFFSET(N769,-2* $B$11,0), O768)</f>
        <v/>
      </c>
      <c r="P769" s="15">
        <f>INT((2^$J$12-1)*O769/100)/(2^$J$12-1)*100</f>
        <v/>
      </c>
      <c r="Q769" s="15" t="n">
        <v>0</v>
      </c>
      <c r="R769" s="15">
        <f>P769+Q769</f>
        <v/>
      </c>
      <c r="S769" s="15">
        <f>$I$1*S768-$I$2*S767+$I$3*R748+$I$4*R747</f>
        <v/>
      </c>
      <c r="T769" s="15">
        <f>RAND()*$G$12</f>
        <v/>
      </c>
      <c r="U769" s="15">
        <f>S769+T769</f>
        <v/>
      </c>
      <c r="V769" s="15">
        <f>INT((2^$J$12-1)*U769/100)/(2^$J$12-1)*100</f>
        <v/>
      </c>
      <c r="X769" s="15">
        <f>M769 * 1.05</f>
        <v/>
      </c>
      <c r="Y769" s="15">
        <f>M769 * 0.95</f>
        <v/>
      </c>
      <c r="Z769" s="15">
        <f>IF(AND(V769 &lt;= X769, V769 &gt;= Y769), 1, 0)</f>
        <v/>
      </c>
    </row>
    <row r="770">
      <c r="L770" s="15" t="n">
        <v>768</v>
      </c>
      <c r="M770" s="15">
        <f>IF(L770&lt;$D$16,$D$13,IF(L770&lt;$E$16,$E$13,$F$13))</f>
        <v/>
      </c>
      <c r="N770" s="15">
        <f>M770-V770</f>
        <v/>
      </c>
      <c r="O770" s="15">
        <f>IF(MOD(L770,$B$11)=0,OFFSET(O770,-$B$11,0)+ $E$2*N770+$E$3*OFFSET(N770,-$B$11,0)+ $E$4*OFFSET(N770,-2* $B$11,0), O769)</f>
        <v/>
      </c>
      <c r="P770" s="15">
        <f>INT((2^$J$12-1)*O770/100)/(2^$J$12-1)*100</f>
        <v/>
      </c>
      <c r="Q770" s="15" t="n">
        <v>0</v>
      </c>
      <c r="R770" s="15">
        <f>P770+Q770</f>
        <v/>
      </c>
      <c r="S770" s="15">
        <f>$I$1*S769-$I$2*S768+$I$3*R749+$I$4*R748</f>
        <v/>
      </c>
      <c r="T770" s="15">
        <f>RAND()*$G$12</f>
        <v/>
      </c>
      <c r="U770" s="15">
        <f>S770+T770</f>
        <v/>
      </c>
      <c r="V770" s="15">
        <f>INT((2^$J$12-1)*U770/100)/(2^$J$12-1)*100</f>
        <v/>
      </c>
      <c r="X770" s="15">
        <f>M770 * 1.05</f>
        <v/>
      </c>
      <c r="Y770" s="15">
        <f>M770 * 0.95</f>
        <v/>
      </c>
      <c r="Z770" s="15">
        <f>IF(AND(V770 &lt;= X770, V770 &gt;= Y770), 1, 0)</f>
        <v/>
      </c>
    </row>
    <row r="771">
      <c r="L771" s="15" t="n">
        <v>769</v>
      </c>
      <c r="M771" s="15">
        <f>IF(L771&lt;$D$16,$D$13,IF(L771&lt;$E$16,$E$13,$F$13))</f>
        <v/>
      </c>
      <c r="N771" s="15">
        <f>M771-V771</f>
        <v/>
      </c>
      <c r="O771" s="15">
        <f>IF(MOD(L771,$B$11)=0,OFFSET(O771,-$B$11,0)+ $E$2*N771+$E$3*OFFSET(N771,-$B$11,0)+ $E$4*OFFSET(N771,-2* $B$11,0), O770)</f>
        <v/>
      </c>
      <c r="P771" s="15">
        <f>INT((2^$J$12-1)*O771/100)/(2^$J$12-1)*100</f>
        <v/>
      </c>
      <c r="Q771" s="15" t="n">
        <v>0</v>
      </c>
      <c r="R771" s="15">
        <f>P771+Q771</f>
        <v/>
      </c>
      <c r="S771" s="15">
        <f>$I$1*S770-$I$2*S769+$I$3*R750+$I$4*R749</f>
        <v/>
      </c>
      <c r="T771" s="15">
        <f>RAND()*$G$12</f>
        <v/>
      </c>
      <c r="U771" s="15">
        <f>S771+T771</f>
        <v/>
      </c>
      <c r="V771" s="15">
        <f>INT((2^$J$12-1)*U771/100)/(2^$J$12-1)*100</f>
        <v/>
      </c>
      <c r="X771" s="15">
        <f>M771 * 1.05</f>
        <v/>
      </c>
      <c r="Y771" s="15">
        <f>M771 * 0.95</f>
        <v/>
      </c>
      <c r="Z771" s="15">
        <f>IF(AND(V771 &lt;= X771, V771 &gt;= Y771), 1, 0)</f>
        <v/>
      </c>
    </row>
    <row r="772">
      <c r="L772" s="15" t="n">
        <v>770</v>
      </c>
      <c r="M772" s="15">
        <f>IF(L772&lt;$D$16,$D$13,IF(L772&lt;$E$16,$E$13,$F$13))</f>
        <v/>
      </c>
      <c r="N772" s="15">
        <f>M772-V772</f>
        <v/>
      </c>
      <c r="O772" s="15">
        <f>IF(MOD(L772,$B$11)=0,OFFSET(O772,-$B$11,0)+ $E$2*N772+$E$3*OFFSET(N772,-$B$11,0)+ $E$4*OFFSET(N772,-2* $B$11,0), O771)</f>
        <v/>
      </c>
      <c r="P772" s="15">
        <f>INT((2^$J$12-1)*O772/100)/(2^$J$12-1)*100</f>
        <v/>
      </c>
      <c r="Q772" s="15" t="n">
        <v>0</v>
      </c>
      <c r="R772" s="15">
        <f>P772+Q772</f>
        <v/>
      </c>
      <c r="S772" s="15">
        <f>$I$1*S771-$I$2*S770+$I$3*R751+$I$4*R750</f>
        <v/>
      </c>
      <c r="T772" s="15">
        <f>RAND()*$G$12</f>
        <v/>
      </c>
      <c r="U772" s="15">
        <f>S772+T772</f>
        <v/>
      </c>
      <c r="V772" s="15">
        <f>INT((2^$J$12-1)*U772/100)/(2^$J$12-1)*100</f>
        <v/>
      </c>
      <c r="X772" s="15">
        <f>M772 * 1.05</f>
        <v/>
      </c>
      <c r="Y772" s="15">
        <f>M772 * 0.95</f>
        <v/>
      </c>
      <c r="Z772" s="15">
        <f>IF(AND(V772 &lt;= X772, V772 &gt;= Y772), 1, 0)</f>
        <v/>
      </c>
    </row>
    <row r="773">
      <c r="L773" s="15" t="n">
        <v>771</v>
      </c>
      <c r="M773" s="15">
        <f>IF(L773&lt;$D$16,$D$13,IF(L773&lt;$E$16,$E$13,$F$13))</f>
        <v/>
      </c>
      <c r="N773" s="15">
        <f>M773-V773</f>
        <v/>
      </c>
      <c r="O773" s="15">
        <f>IF(MOD(L773,$B$11)=0,OFFSET(O773,-$B$11,0)+ $E$2*N773+$E$3*OFFSET(N773,-$B$11,0)+ $E$4*OFFSET(N773,-2* $B$11,0), O772)</f>
        <v/>
      </c>
      <c r="P773" s="15">
        <f>INT((2^$J$12-1)*O773/100)/(2^$J$12-1)*100</f>
        <v/>
      </c>
      <c r="Q773" s="15" t="n">
        <v>0</v>
      </c>
      <c r="R773" s="15">
        <f>P773+Q773</f>
        <v/>
      </c>
      <c r="S773" s="15">
        <f>$I$1*S772-$I$2*S771+$I$3*R752+$I$4*R751</f>
        <v/>
      </c>
      <c r="T773" s="15">
        <f>RAND()*$G$12</f>
        <v/>
      </c>
      <c r="U773" s="15">
        <f>S773+T773</f>
        <v/>
      </c>
      <c r="V773" s="15">
        <f>INT((2^$J$12-1)*U773/100)/(2^$J$12-1)*100</f>
        <v/>
      </c>
      <c r="X773" s="15">
        <f>M773 * 1.05</f>
        <v/>
      </c>
      <c r="Y773" s="15">
        <f>M773 * 0.95</f>
        <v/>
      </c>
      <c r="Z773" s="15">
        <f>IF(AND(V773 &lt;= X773, V773 &gt;= Y773), 1, 0)</f>
        <v/>
      </c>
    </row>
    <row r="774">
      <c r="L774" s="15" t="n">
        <v>772</v>
      </c>
      <c r="M774" s="15">
        <f>IF(L774&lt;$D$16,$D$13,IF(L774&lt;$E$16,$E$13,$F$13))</f>
        <v/>
      </c>
      <c r="N774" s="15">
        <f>M774-V774</f>
        <v/>
      </c>
      <c r="O774" s="15">
        <f>IF(MOD(L774,$B$11)=0,OFFSET(O774,-$B$11,0)+ $E$2*N774+$E$3*OFFSET(N774,-$B$11,0)+ $E$4*OFFSET(N774,-2* $B$11,0), O773)</f>
        <v/>
      </c>
      <c r="P774" s="15">
        <f>INT((2^$J$12-1)*O774/100)/(2^$J$12-1)*100</f>
        <v/>
      </c>
      <c r="Q774" s="15" t="n">
        <v>0</v>
      </c>
      <c r="R774" s="15">
        <f>P774+Q774</f>
        <v/>
      </c>
      <c r="S774" s="15">
        <f>$I$1*S773-$I$2*S772+$I$3*R753+$I$4*R752</f>
        <v/>
      </c>
      <c r="T774" s="15">
        <f>RAND()*$G$12</f>
        <v/>
      </c>
      <c r="U774" s="15">
        <f>S774+T774</f>
        <v/>
      </c>
      <c r="V774" s="15">
        <f>INT((2^$J$12-1)*U774/100)/(2^$J$12-1)*100</f>
        <v/>
      </c>
      <c r="X774" s="15">
        <f>M774 * 1.05</f>
        <v/>
      </c>
      <c r="Y774" s="15">
        <f>M774 * 0.95</f>
        <v/>
      </c>
      <c r="Z774" s="15">
        <f>IF(AND(V774 &lt;= X774, V774 &gt;= Y774), 1, 0)</f>
        <v/>
      </c>
    </row>
    <row r="775">
      <c r="L775" s="15" t="n">
        <v>773</v>
      </c>
      <c r="M775" s="15">
        <f>IF(L775&lt;$D$16,$D$13,IF(L775&lt;$E$16,$E$13,$F$13))</f>
        <v/>
      </c>
      <c r="N775" s="15">
        <f>M775-V775</f>
        <v/>
      </c>
      <c r="O775" s="15">
        <f>IF(MOD(L775,$B$11)=0,OFFSET(O775,-$B$11,0)+ $E$2*N775+$E$3*OFFSET(N775,-$B$11,0)+ $E$4*OFFSET(N775,-2* $B$11,0), O774)</f>
        <v/>
      </c>
      <c r="P775" s="15">
        <f>INT((2^$J$12-1)*O775/100)/(2^$J$12-1)*100</f>
        <v/>
      </c>
      <c r="Q775" s="15" t="n">
        <v>0</v>
      </c>
      <c r="R775" s="15">
        <f>P775+Q775</f>
        <v/>
      </c>
      <c r="S775" s="15">
        <f>$I$1*S774-$I$2*S773+$I$3*R754+$I$4*R753</f>
        <v/>
      </c>
      <c r="T775" s="15">
        <f>RAND()*$G$12</f>
        <v/>
      </c>
      <c r="U775" s="15">
        <f>S775+T775</f>
        <v/>
      </c>
      <c r="V775" s="15">
        <f>INT((2^$J$12-1)*U775/100)/(2^$J$12-1)*100</f>
        <v/>
      </c>
      <c r="X775" s="15">
        <f>M775 * 1.05</f>
        <v/>
      </c>
      <c r="Y775" s="15">
        <f>M775 * 0.95</f>
        <v/>
      </c>
      <c r="Z775" s="15">
        <f>IF(AND(V775 &lt;= X775, V775 &gt;= Y775), 1, 0)</f>
        <v/>
      </c>
    </row>
    <row r="776">
      <c r="L776" s="15" t="n">
        <v>774</v>
      </c>
      <c r="M776" s="15">
        <f>IF(L776&lt;$D$16,$D$13,IF(L776&lt;$E$16,$E$13,$F$13))</f>
        <v/>
      </c>
      <c r="N776" s="15">
        <f>M776-V776</f>
        <v/>
      </c>
      <c r="O776" s="15">
        <f>IF(MOD(L776,$B$11)=0,OFFSET(O776,-$B$11,0)+ $E$2*N776+$E$3*OFFSET(N776,-$B$11,0)+ $E$4*OFFSET(N776,-2* $B$11,0), O775)</f>
        <v/>
      </c>
      <c r="P776" s="15">
        <f>INT((2^$J$12-1)*O776/100)/(2^$J$12-1)*100</f>
        <v/>
      </c>
      <c r="Q776" s="15" t="n">
        <v>0</v>
      </c>
      <c r="R776" s="15">
        <f>P776+Q776</f>
        <v/>
      </c>
      <c r="S776" s="15">
        <f>$I$1*S775-$I$2*S774+$I$3*R755+$I$4*R754</f>
        <v/>
      </c>
      <c r="T776" s="15">
        <f>RAND()*$G$12</f>
        <v/>
      </c>
      <c r="U776" s="15">
        <f>S776+T776</f>
        <v/>
      </c>
      <c r="V776" s="15">
        <f>INT((2^$J$12-1)*U776/100)/(2^$J$12-1)*100</f>
        <v/>
      </c>
      <c r="X776" s="15">
        <f>M776 * 1.05</f>
        <v/>
      </c>
      <c r="Y776" s="15">
        <f>M776 * 0.95</f>
        <v/>
      </c>
      <c r="Z776" s="15">
        <f>IF(AND(V776 &lt;= X776, V776 &gt;= Y776), 1, 0)</f>
        <v/>
      </c>
    </row>
    <row r="777">
      <c r="L777" s="15" t="n">
        <v>775</v>
      </c>
      <c r="M777" s="15">
        <f>IF(L777&lt;$D$16,$D$13,IF(L777&lt;$E$16,$E$13,$F$13))</f>
        <v/>
      </c>
      <c r="N777" s="15">
        <f>M777-V777</f>
        <v/>
      </c>
      <c r="O777" s="15">
        <f>IF(MOD(L777,$B$11)=0,OFFSET(O777,-$B$11,0)+ $E$2*N777+$E$3*OFFSET(N777,-$B$11,0)+ $E$4*OFFSET(N777,-2* $B$11,0), O776)</f>
        <v/>
      </c>
      <c r="P777" s="15">
        <f>INT((2^$J$12-1)*O777/100)/(2^$J$12-1)*100</f>
        <v/>
      </c>
      <c r="Q777" s="15" t="n">
        <v>0</v>
      </c>
      <c r="R777" s="15">
        <f>P777+Q777</f>
        <v/>
      </c>
      <c r="S777" s="15">
        <f>$I$1*S776-$I$2*S775+$I$3*R756+$I$4*R755</f>
        <v/>
      </c>
      <c r="T777" s="15">
        <f>RAND()*$G$12</f>
        <v/>
      </c>
      <c r="U777" s="15">
        <f>S777+T777</f>
        <v/>
      </c>
      <c r="V777" s="15">
        <f>INT((2^$J$12-1)*U777/100)/(2^$J$12-1)*100</f>
        <v/>
      </c>
      <c r="X777" s="15">
        <f>M777 * 1.05</f>
        <v/>
      </c>
      <c r="Y777" s="15">
        <f>M777 * 0.95</f>
        <v/>
      </c>
      <c r="Z777" s="15">
        <f>IF(AND(V777 &lt;= X777, V777 &gt;= Y777), 1, 0)</f>
        <v/>
      </c>
    </row>
    <row r="778">
      <c r="L778" s="15" t="n">
        <v>776</v>
      </c>
      <c r="M778" s="15">
        <f>IF(L778&lt;$D$16,$D$13,IF(L778&lt;$E$16,$E$13,$F$13))</f>
        <v/>
      </c>
      <c r="N778" s="15">
        <f>M778-V778</f>
        <v/>
      </c>
      <c r="O778" s="15">
        <f>IF(MOD(L778,$B$11)=0,OFFSET(O778,-$B$11,0)+ $E$2*N778+$E$3*OFFSET(N778,-$B$11,0)+ $E$4*OFFSET(N778,-2* $B$11,0), O777)</f>
        <v/>
      </c>
      <c r="P778" s="15">
        <f>INT((2^$J$12-1)*O778/100)/(2^$J$12-1)*100</f>
        <v/>
      </c>
      <c r="Q778" s="15" t="n">
        <v>0</v>
      </c>
      <c r="R778" s="15">
        <f>P778+Q778</f>
        <v/>
      </c>
      <c r="S778" s="15">
        <f>$I$1*S777-$I$2*S776+$I$3*R757+$I$4*R756</f>
        <v/>
      </c>
      <c r="T778" s="15">
        <f>RAND()*$G$12</f>
        <v/>
      </c>
      <c r="U778" s="15">
        <f>S778+T778</f>
        <v/>
      </c>
      <c r="V778" s="15">
        <f>INT((2^$J$12-1)*U778/100)/(2^$J$12-1)*100</f>
        <v/>
      </c>
      <c r="X778" s="15">
        <f>M778 * 1.05</f>
        <v/>
      </c>
      <c r="Y778" s="15">
        <f>M778 * 0.95</f>
        <v/>
      </c>
      <c r="Z778" s="15">
        <f>IF(AND(V778 &lt;= X778, V778 &gt;= Y778), 1, 0)</f>
        <v/>
      </c>
    </row>
    <row r="779">
      <c r="L779" s="15" t="n">
        <v>777</v>
      </c>
      <c r="M779" s="15">
        <f>IF(L779&lt;$D$16,$D$13,IF(L779&lt;$E$16,$E$13,$F$13))</f>
        <v/>
      </c>
      <c r="N779" s="15">
        <f>M779-V779</f>
        <v/>
      </c>
      <c r="O779" s="15">
        <f>IF(MOD(L779,$B$11)=0,OFFSET(O779,-$B$11,0)+ $E$2*N779+$E$3*OFFSET(N779,-$B$11,0)+ $E$4*OFFSET(N779,-2* $B$11,0), O778)</f>
        <v/>
      </c>
      <c r="P779" s="15">
        <f>INT((2^$J$12-1)*O779/100)/(2^$J$12-1)*100</f>
        <v/>
      </c>
      <c r="Q779" s="15" t="n">
        <v>0</v>
      </c>
      <c r="R779" s="15">
        <f>P779+Q779</f>
        <v/>
      </c>
      <c r="S779" s="15">
        <f>$I$1*S778-$I$2*S777+$I$3*R758+$I$4*R757</f>
        <v/>
      </c>
      <c r="T779" s="15">
        <f>RAND()*$G$12</f>
        <v/>
      </c>
      <c r="U779" s="15">
        <f>S779+T779</f>
        <v/>
      </c>
      <c r="V779" s="15">
        <f>INT((2^$J$12-1)*U779/100)/(2^$J$12-1)*100</f>
        <v/>
      </c>
      <c r="X779" s="15">
        <f>M779 * 1.05</f>
        <v/>
      </c>
      <c r="Y779" s="15">
        <f>M779 * 0.95</f>
        <v/>
      </c>
      <c r="Z779" s="15">
        <f>IF(AND(V779 &lt;= X779, V779 &gt;= Y779), 1, 0)</f>
        <v/>
      </c>
    </row>
    <row r="780">
      <c r="L780" s="15" t="n">
        <v>778</v>
      </c>
      <c r="M780" s="15">
        <f>IF(L780&lt;$D$16,$D$13,IF(L780&lt;$E$16,$E$13,$F$13))</f>
        <v/>
      </c>
      <c r="N780" s="15">
        <f>M780-V780</f>
        <v/>
      </c>
      <c r="O780" s="15">
        <f>IF(MOD(L780,$B$11)=0,OFFSET(O780,-$B$11,0)+ $E$2*N780+$E$3*OFFSET(N780,-$B$11,0)+ $E$4*OFFSET(N780,-2* $B$11,0), O779)</f>
        <v/>
      </c>
      <c r="P780" s="15">
        <f>INT((2^$J$12-1)*O780/100)/(2^$J$12-1)*100</f>
        <v/>
      </c>
      <c r="Q780" s="15" t="n">
        <v>0</v>
      </c>
      <c r="R780" s="15">
        <f>P780+Q780</f>
        <v/>
      </c>
      <c r="S780" s="15">
        <f>$I$1*S779-$I$2*S778+$I$3*R759+$I$4*R758</f>
        <v/>
      </c>
      <c r="T780" s="15">
        <f>RAND()*$G$12</f>
        <v/>
      </c>
      <c r="U780" s="15">
        <f>S780+T780</f>
        <v/>
      </c>
      <c r="V780" s="15">
        <f>INT((2^$J$12-1)*U780/100)/(2^$J$12-1)*100</f>
        <v/>
      </c>
      <c r="X780" s="15">
        <f>M780 * 1.05</f>
        <v/>
      </c>
      <c r="Y780" s="15">
        <f>M780 * 0.95</f>
        <v/>
      </c>
      <c r="Z780" s="15">
        <f>IF(AND(V780 &lt;= X780, V780 &gt;= Y780), 1, 0)</f>
        <v/>
      </c>
    </row>
    <row r="781">
      <c r="L781" s="15" t="n">
        <v>779</v>
      </c>
      <c r="M781" s="15">
        <f>IF(L781&lt;$D$16,$D$13,IF(L781&lt;$E$16,$E$13,$F$13))</f>
        <v/>
      </c>
      <c r="N781" s="15">
        <f>M781-V781</f>
        <v/>
      </c>
      <c r="O781" s="15">
        <f>IF(MOD(L781,$B$11)=0,OFFSET(O781,-$B$11,0)+ $E$2*N781+$E$3*OFFSET(N781,-$B$11,0)+ $E$4*OFFSET(N781,-2* $B$11,0), O780)</f>
        <v/>
      </c>
      <c r="P781" s="15">
        <f>INT((2^$J$12-1)*O781/100)/(2^$J$12-1)*100</f>
        <v/>
      </c>
      <c r="Q781" s="15" t="n">
        <v>0</v>
      </c>
      <c r="R781" s="15">
        <f>P781+Q781</f>
        <v/>
      </c>
      <c r="S781" s="15">
        <f>$I$1*S780-$I$2*S779+$I$3*R760+$I$4*R759</f>
        <v/>
      </c>
      <c r="T781" s="15">
        <f>RAND()*$G$12</f>
        <v/>
      </c>
      <c r="U781" s="15">
        <f>S781+T781</f>
        <v/>
      </c>
      <c r="V781" s="15">
        <f>INT((2^$J$12-1)*U781/100)/(2^$J$12-1)*100</f>
        <v/>
      </c>
      <c r="X781" s="15">
        <f>M781 * 1.05</f>
        <v/>
      </c>
      <c r="Y781" s="15">
        <f>M781 * 0.95</f>
        <v/>
      </c>
      <c r="Z781" s="15">
        <f>IF(AND(V781 &lt;= X781, V781 &gt;= Y781), 1, 0)</f>
        <v/>
      </c>
    </row>
    <row r="782">
      <c r="L782" s="15" t="n">
        <v>780</v>
      </c>
      <c r="M782" s="15">
        <f>IF(L782&lt;$D$16,$D$13,IF(L782&lt;$E$16,$E$13,$F$13))</f>
        <v/>
      </c>
      <c r="N782" s="15">
        <f>M782-V782</f>
        <v/>
      </c>
      <c r="O782" s="15">
        <f>IF(MOD(L782,$B$11)=0,OFFSET(O782,-$B$11,0)+ $E$2*N782+$E$3*OFFSET(N782,-$B$11,0)+ $E$4*OFFSET(N782,-2* $B$11,0), O781)</f>
        <v/>
      </c>
      <c r="P782" s="15">
        <f>INT((2^$J$12-1)*O782/100)/(2^$J$12-1)*100</f>
        <v/>
      </c>
      <c r="Q782" s="15" t="n">
        <v>0</v>
      </c>
      <c r="R782" s="15">
        <f>P782+Q782</f>
        <v/>
      </c>
      <c r="S782" s="15">
        <f>$I$1*S781-$I$2*S780+$I$3*R761+$I$4*R760</f>
        <v/>
      </c>
      <c r="T782" s="15">
        <f>RAND()*$G$12</f>
        <v/>
      </c>
      <c r="U782" s="15">
        <f>S782+T782</f>
        <v/>
      </c>
      <c r="V782" s="15">
        <f>INT((2^$J$12-1)*U782/100)/(2^$J$12-1)*100</f>
        <v/>
      </c>
      <c r="X782" s="15">
        <f>M782 * 1.05</f>
        <v/>
      </c>
      <c r="Y782" s="15">
        <f>M782 * 0.95</f>
        <v/>
      </c>
      <c r="Z782" s="15">
        <f>IF(AND(V782 &lt;= X782, V782 &gt;= Y782), 1, 0)</f>
        <v/>
      </c>
    </row>
    <row r="783">
      <c r="L783" s="15" t="n">
        <v>781</v>
      </c>
      <c r="M783" s="15">
        <f>IF(L783&lt;$D$16,$D$13,IF(L783&lt;$E$16,$E$13,$F$13))</f>
        <v/>
      </c>
      <c r="N783" s="15">
        <f>M783-V783</f>
        <v/>
      </c>
      <c r="O783" s="15">
        <f>IF(MOD(L783,$B$11)=0,OFFSET(O783,-$B$11,0)+ $E$2*N783+$E$3*OFFSET(N783,-$B$11,0)+ $E$4*OFFSET(N783,-2* $B$11,0), O782)</f>
        <v/>
      </c>
      <c r="P783" s="15">
        <f>INT((2^$J$12-1)*O783/100)/(2^$J$12-1)*100</f>
        <v/>
      </c>
      <c r="Q783" s="15" t="n">
        <v>0</v>
      </c>
      <c r="R783" s="15">
        <f>P783+Q783</f>
        <v/>
      </c>
      <c r="S783" s="15">
        <f>$I$1*S782-$I$2*S781+$I$3*R762+$I$4*R761</f>
        <v/>
      </c>
      <c r="T783" s="15">
        <f>RAND()*$G$12</f>
        <v/>
      </c>
      <c r="U783" s="15">
        <f>S783+T783</f>
        <v/>
      </c>
      <c r="V783" s="15">
        <f>INT((2^$J$12-1)*U783/100)/(2^$J$12-1)*100</f>
        <v/>
      </c>
      <c r="X783" s="15">
        <f>M783 * 1.05</f>
        <v/>
      </c>
      <c r="Y783" s="15">
        <f>M783 * 0.95</f>
        <v/>
      </c>
      <c r="Z783" s="15">
        <f>IF(AND(V783 &lt;= X783, V783 &gt;= Y783), 1, 0)</f>
        <v/>
      </c>
    </row>
    <row r="784">
      <c r="L784" s="15" t="n">
        <v>782</v>
      </c>
      <c r="M784" s="15">
        <f>IF(L784&lt;$D$16,$D$13,IF(L784&lt;$E$16,$E$13,$F$13))</f>
        <v/>
      </c>
      <c r="N784" s="15">
        <f>M784-V784</f>
        <v/>
      </c>
      <c r="O784" s="15">
        <f>IF(MOD(L784,$B$11)=0,OFFSET(O784,-$B$11,0)+ $E$2*N784+$E$3*OFFSET(N784,-$B$11,0)+ $E$4*OFFSET(N784,-2* $B$11,0), O783)</f>
        <v/>
      </c>
      <c r="P784" s="15">
        <f>INT((2^$J$12-1)*O784/100)/(2^$J$12-1)*100</f>
        <v/>
      </c>
      <c r="Q784" s="15" t="n">
        <v>0</v>
      </c>
      <c r="R784" s="15">
        <f>P784+Q784</f>
        <v/>
      </c>
      <c r="S784" s="15">
        <f>$I$1*S783-$I$2*S782+$I$3*R763+$I$4*R762</f>
        <v/>
      </c>
      <c r="T784" s="15">
        <f>RAND()*$G$12</f>
        <v/>
      </c>
      <c r="U784" s="15">
        <f>S784+T784</f>
        <v/>
      </c>
      <c r="V784" s="15">
        <f>INT((2^$J$12-1)*U784/100)/(2^$J$12-1)*100</f>
        <v/>
      </c>
      <c r="X784" s="15">
        <f>M784 * 1.05</f>
        <v/>
      </c>
      <c r="Y784" s="15">
        <f>M784 * 0.95</f>
        <v/>
      </c>
      <c r="Z784" s="15">
        <f>IF(AND(V784 &lt;= X784, V784 &gt;= Y784), 1, 0)</f>
        <v/>
      </c>
    </row>
    <row r="785">
      <c r="L785" s="15" t="n">
        <v>783</v>
      </c>
      <c r="M785" s="15">
        <f>IF(L785&lt;$D$16,$D$13,IF(L785&lt;$E$16,$E$13,$F$13))</f>
        <v/>
      </c>
      <c r="N785" s="15">
        <f>M785-V785</f>
        <v/>
      </c>
      <c r="O785" s="15">
        <f>IF(MOD(L785,$B$11)=0,OFFSET(O785,-$B$11,0)+ $E$2*N785+$E$3*OFFSET(N785,-$B$11,0)+ $E$4*OFFSET(N785,-2* $B$11,0), O784)</f>
        <v/>
      </c>
      <c r="P785" s="15">
        <f>INT((2^$J$12-1)*O785/100)/(2^$J$12-1)*100</f>
        <v/>
      </c>
      <c r="Q785" s="15" t="n">
        <v>0</v>
      </c>
      <c r="R785" s="15">
        <f>P785+Q785</f>
        <v/>
      </c>
      <c r="S785" s="15">
        <f>$I$1*S784-$I$2*S783+$I$3*R764+$I$4*R763</f>
        <v/>
      </c>
      <c r="T785" s="15">
        <f>RAND()*$G$12</f>
        <v/>
      </c>
      <c r="U785" s="15">
        <f>S785+T785</f>
        <v/>
      </c>
      <c r="V785" s="15">
        <f>INT((2^$J$12-1)*U785/100)/(2^$J$12-1)*100</f>
        <v/>
      </c>
      <c r="X785" s="15">
        <f>M785 * 1.05</f>
        <v/>
      </c>
      <c r="Y785" s="15">
        <f>M785 * 0.95</f>
        <v/>
      </c>
      <c r="Z785" s="15">
        <f>IF(AND(V785 &lt;= X785, V785 &gt;= Y785), 1, 0)</f>
        <v/>
      </c>
    </row>
    <row r="786">
      <c r="L786" s="15" t="n">
        <v>784</v>
      </c>
      <c r="M786" s="15">
        <f>IF(L786&lt;$D$16,$D$13,IF(L786&lt;$E$16,$E$13,$F$13))</f>
        <v/>
      </c>
      <c r="N786" s="15">
        <f>M786-V786</f>
        <v/>
      </c>
      <c r="O786" s="15">
        <f>IF(MOD(L786,$B$11)=0,OFFSET(O786,-$B$11,0)+ $E$2*N786+$E$3*OFFSET(N786,-$B$11,0)+ $E$4*OFFSET(N786,-2* $B$11,0), O785)</f>
        <v/>
      </c>
      <c r="P786" s="15">
        <f>INT((2^$J$12-1)*O786/100)/(2^$J$12-1)*100</f>
        <v/>
      </c>
      <c r="Q786" s="15" t="n">
        <v>0</v>
      </c>
      <c r="R786" s="15">
        <f>P786+Q786</f>
        <v/>
      </c>
      <c r="S786" s="15">
        <f>$I$1*S785-$I$2*S784+$I$3*R765+$I$4*R764</f>
        <v/>
      </c>
      <c r="T786" s="15">
        <f>RAND()*$G$12</f>
        <v/>
      </c>
      <c r="U786" s="15">
        <f>S786+T786</f>
        <v/>
      </c>
      <c r="V786" s="15">
        <f>INT((2^$J$12-1)*U786/100)/(2^$J$12-1)*100</f>
        <v/>
      </c>
      <c r="X786" s="15">
        <f>M786 * 1.05</f>
        <v/>
      </c>
      <c r="Y786" s="15">
        <f>M786 * 0.95</f>
        <v/>
      </c>
      <c r="Z786" s="15">
        <f>IF(AND(V786 &lt;= X786, V786 &gt;= Y786), 1, 0)</f>
        <v/>
      </c>
    </row>
    <row r="787">
      <c r="L787" s="15" t="n">
        <v>785</v>
      </c>
      <c r="M787" s="15">
        <f>IF(L787&lt;$D$16,$D$13,IF(L787&lt;$E$16,$E$13,$F$13))</f>
        <v/>
      </c>
      <c r="N787" s="15">
        <f>M787-V787</f>
        <v/>
      </c>
      <c r="O787" s="15">
        <f>IF(MOD(L787,$B$11)=0,OFFSET(O787,-$B$11,0)+ $E$2*N787+$E$3*OFFSET(N787,-$B$11,0)+ $E$4*OFFSET(N787,-2* $B$11,0), O786)</f>
        <v/>
      </c>
      <c r="P787" s="15">
        <f>INT((2^$J$12-1)*O787/100)/(2^$J$12-1)*100</f>
        <v/>
      </c>
      <c r="Q787" s="15" t="n">
        <v>0</v>
      </c>
      <c r="R787" s="15">
        <f>P787+Q787</f>
        <v/>
      </c>
      <c r="S787" s="15">
        <f>$I$1*S786-$I$2*S785+$I$3*R766+$I$4*R765</f>
        <v/>
      </c>
      <c r="T787" s="15">
        <f>RAND()*$G$12</f>
        <v/>
      </c>
      <c r="U787" s="15">
        <f>S787+T787</f>
        <v/>
      </c>
      <c r="V787" s="15">
        <f>INT((2^$J$12-1)*U787/100)/(2^$J$12-1)*100</f>
        <v/>
      </c>
      <c r="X787" s="15">
        <f>M787 * 1.05</f>
        <v/>
      </c>
      <c r="Y787" s="15">
        <f>M787 * 0.95</f>
        <v/>
      </c>
      <c r="Z787" s="15">
        <f>IF(AND(V787 &lt;= X787, V787 &gt;= Y787), 1, 0)</f>
        <v/>
      </c>
    </row>
    <row r="788">
      <c r="L788" s="15" t="n">
        <v>786</v>
      </c>
      <c r="M788" s="15">
        <f>IF(L788&lt;$D$16,$D$13,IF(L788&lt;$E$16,$E$13,$F$13))</f>
        <v/>
      </c>
      <c r="N788" s="15">
        <f>M788-V788</f>
        <v/>
      </c>
      <c r="O788" s="15">
        <f>IF(MOD(L788,$B$11)=0,OFFSET(O788,-$B$11,0)+ $E$2*N788+$E$3*OFFSET(N788,-$B$11,0)+ $E$4*OFFSET(N788,-2* $B$11,0), O787)</f>
        <v/>
      </c>
      <c r="P788" s="15">
        <f>INT((2^$J$12-1)*O788/100)/(2^$J$12-1)*100</f>
        <v/>
      </c>
      <c r="Q788" s="15" t="n">
        <v>0</v>
      </c>
      <c r="R788" s="15">
        <f>P788+Q788</f>
        <v/>
      </c>
      <c r="S788" s="15">
        <f>$I$1*S787-$I$2*S786+$I$3*R767+$I$4*R766</f>
        <v/>
      </c>
      <c r="T788" s="15">
        <f>RAND()*$G$12</f>
        <v/>
      </c>
      <c r="U788" s="15">
        <f>S788+T788</f>
        <v/>
      </c>
      <c r="V788" s="15">
        <f>INT((2^$J$12-1)*U788/100)/(2^$J$12-1)*100</f>
        <v/>
      </c>
      <c r="X788" s="15">
        <f>M788 * 1.05</f>
        <v/>
      </c>
      <c r="Y788" s="15">
        <f>M788 * 0.95</f>
        <v/>
      </c>
      <c r="Z788" s="15">
        <f>IF(AND(V788 &lt;= X788, V788 &gt;= Y788), 1, 0)</f>
        <v/>
      </c>
    </row>
    <row r="789">
      <c r="L789" s="15" t="n">
        <v>787</v>
      </c>
      <c r="M789" s="15">
        <f>IF(L789&lt;$D$16,$D$13,IF(L789&lt;$E$16,$E$13,$F$13))</f>
        <v/>
      </c>
      <c r="N789" s="15">
        <f>M789-V789</f>
        <v/>
      </c>
      <c r="O789" s="15">
        <f>IF(MOD(L789,$B$11)=0,OFFSET(O789,-$B$11,0)+ $E$2*N789+$E$3*OFFSET(N789,-$B$11,0)+ $E$4*OFFSET(N789,-2* $B$11,0), O788)</f>
        <v/>
      </c>
      <c r="P789" s="15">
        <f>INT((2^$J$12-1)*O789/100)/(2^$J$12-1)*100</f>
        <v/>
      </c>
      <c r="Q789" s="15" t="n">
        <v>0</v>
      </c>
      <c r="R789" s="15">
        <f>P789+Q789</f>
        <v/>
      </c>
      <c r="S789" s="15">
        <f>$I$1*S788-$I$2*S787+$I$3*R768+$I$4*R767</f>
        <v/>
      </c>
      <c r="T789" s="15">
        <f>RAND()*$G$12</f>
        <v/>
      </c>
      <c r="U789" s="15">
        <f>S789+T789</f>
        <v/>
      </c>
      <c r="V789" s="15">
        <f>INT((2^$J$12-1)*U789/100)/(2^$J$12-1)*100</f>
        <v/>
      </c>
      <c r="X789" s="15">
        <f>M789 * 1.05</f>
        <v/>
      </c>
      <c r="Y789" s="15">
        <f>M789 * 0.95</f>
        <v/>
      </c>
      <c r="Z789" s="15">
        <f>IF(AND(V789 &lt;= X789, V789 &gt;= Y789), 1, 0)</f>
        <v/>
      </c>
    </row>
    <row r="790">
      <c r="L790" s="15" t="n">
        <v>788</v>
      </c>
      <c r="M790" s="15">
        <f>IF(L790&lt;$D$16,$D$13,IF(L790&lt;$E$16,$E$13,$F$13))</f>
        <v/>
      </c>
      <c r="N790" s="15">
        <f>M790-V790</f>
        <v/>
      </c>
      <c r="O790" s="15">
        <f>IF(MOD(L790,$B$11)=0,OFFSET(O790,-$B$11,0)+ $E$2*N790+$E$3*OFFSET(N790,-$B$11,0)+ $E$4*OFFSET(N790,-2* $B$11,0), O789)</f>
        <v/>
      </c>
      <c r="P790" s="15">
        <f>INT((2^$J$12-1)*O790/100)/(2^$J$12-1)*100</f>
        <v/>
      </c>
      <c r="Q790" s="15" t="n">
        <v>0</v>
      </c>
      <c r="R790" s="15">
        <f>P790+Q790</f>
        <v/>
      </c>
      <c r="S790" s="15">
        <f>$I$1*S789-$I$2*S788+$I$3*R769+$I$4*R768</f>
        <v/>
      </c>
      <c r="T790" s="15">
        <f>RAND()*$G$12</f>
        <v/>
      </c>
      <c r="U790" s="15">
        <f>S790+T790</f>
        <v/>
      </c>
      <c r="V790" s="15">
        <f>INT((2^$J$12-1)*U790/100)/(2^$J$12-1)*100</f>
        <v/>
      </c>
      <c r="X790" s="15">
        <f>M790 * 1.05</f>
        <v/>
      </c>
      <c r="Y790" s="15">
        <f>M790 * 0.95</f>
        <v/>
      </c>
      <c r="Z790" s="15">
        <f>IF(AND(V790 &lt;= X790, V790 &gt;= Y790), 1, 0)</f>
        <v/>
      </c>
    </row>
    <row r="791">
      <c r="L791" s="15" t="n">
        <v>789</v>
      </c>
      <c r="M791" s="15">
        <f>IF(L791&lt;$D$16,$D$13,IF(L791&lt;$E$16,$E$13,$F$13))</f>
        <v/>
      </c>
      <c r="N791" s="15">
        <f>M791-V791</f>
        <v/>
      </c>
      <c r="O791" s="15">
        <f>IF(MOD(L791,$B$11)=0,OFFSET(O791,-$B$11,0)+ $E$2*N791+$E$3*OFFSET(N791,-$B$11,0)+ $E$4*OFFSET(N791,-2* $B$11,0), O790)</f>
        <v/>
      </c>
      <c r="P791" s="15">
        <f>INT((2^$J$12-1)*O791/100)/(2^$J$12-1)*100</f>
        <v/>
      </c>
      <c r="Q791" s="15" t="n">
        <v>0</v>
      </c>
      <c r="R791" s="15">
        <f>P791+Q791</f>
        <v/>
      </c>
      <c r="S791" s="15">
        <f>$I$1*S790-$I$2*S789+$I$3*R770+$I$4*R769</f>
        <v/>
      </c>
      <c r="T791" s="15">
        <f>RAND()*$G$12</f>
        <v/>
      </c>
      <c r="U791" s="15">
        <f>S791+T791</f>
        <v/>
      </c>
      <c r="V791" s="15">
        <f>INT((2^$J$12-1)*U791/100)/(2^$J$12-1)*100</f>
        <v/>
      </c>
      <c r="X791" s="15">
        <f>M791 * 1.05</f>
        <v/>
      </c>
      <c r="Y791" s="15">
        <f>M791 * 0.95</f>
        <v/>
      </c>
      <c r="Z791" s="15">
        <f>IF(AND(V791 &lt;= X791, V791 &gt;= Y791), 1, 0)</f>
        <v/>
      </c>
    </row>
    <row r="792">
      <c r="L792" s="15" t="n">
        <v>790</v>
      </c>
      <c r="M792" s="15">
        <f>IF(L792&lt;$D$16,$D$13,IF(L792&lt;$E$16,$E$13,$F$13))</f>
        <v/>
      </c>
      <c r="N792" s="15">
        <f>M792-V792</f>
        <v/>
      </c>
      <c r="O792" s="15">
        <f>IF(MOD(L792,$B$11)=0,OFFSET(O792,-$B$11,0)+ $E$2*N792+$E$3*OFFSET(N792,-$B$11,0)+ $E$4*OFFSET(N792,-2* $B$11,0), O791)</f>
        <v/>
      </c>
      <c r="P792" s="15">
        <f>INT((2^$J$12-1)*O792/100)/(2^$J$12-1)*100</f>
        <v/>
      </c>
      <c r="Q792" s="15" t="n">
        <v>0</v>
      </c>
      <c r="R792" s="15">
        <f>P792+Q792</f>
        <v/>
      </c>
      <c r="S792" s="15">
        <f>$I$1*S791-$I$2*S790+$I$3*R771+$I$4*R770</f>
        <v/>
      </c>
      <c r="T792" s="15">
        <f>RAND()*$G$12</f>
        <v/>
      </c>
      <c r="U792" s="15">
        <f>S792+T792</f>
        <v/>
      </c>
      <c r="V792" s="15">
        <f>INT((2^$J$12-1)*U792/100)/(2^$J$12-1)*100</f>
        <v/>
      </c>
      <c r="X792" s="15">
        <f>M792 * 1.05</f>
        <v/>
      </c>
      <c r="Y792" s="15">
        <f>M792 * 0.95</f>
        <v/>
      </c>
      <c r="Z792" s="15">
        <f>IF(AND(V792 &lt;= X792, V792 &gt;= Y792), 1, 0)</f>
        <v/>
      </c>
    </row>
    <row r="793">
      <c r="L793" s="15" t="n">
        <v>791</v>
      </c>
      <c r="M793" s="15">
        <f>IF(L793&lt;$D$16,$D$13,IF(L793&lt;$E$16,$E$13,$F$13))</f>
        <v/>
      </c>
      <c r="N793" s="15">
        <f>M793-V793</f>
        <v/>
      </c>
      <c r="O793" s="15">
        <f>IF(MOD(L793,$B$11)=0,OFFSET(O793,-$B$11,0)+ $E$2*N793+$E$3*OFFSET(N793,-$B$11,0)+ $E$4*OFFSET(N793,-2* $B$11,0), O792)</f>
        <v/>
      </c>
      <c r="P793" s="15">
        <f>INT((2^$J$12-1)*O793/100)/(2^$J$12-1)*100</f>
        <v/>
      </c>
      <c r="Q793" s="15" t="n">
        <v>0</v>
      </c>
      <c r="R793" s="15">
        <f>P793+Q793</f>
        <v/>
      </c>
      <c r="S793" s="15">
        <f>$I$1*S792-$I$2*S791+$I$3*R772+$I$4*R771</f>
        <v/>
      </c>
      <c r="T793" s="15">
        <f>RAND()*$G$12</f>
        <v/>
      </c>
      <c r="U793" s="15">
        <f>S793+T793</f>
        <v/>
      </c>
      <c r="V793" s="15">
        <f>INT((2^$J$12-1)*U793/100)/(2^$J$12-1)*100</f>
        <v/>
      </c>
      <c r="X793" s="15">
        <f>M793 * 1.05</f>
        <v/>
      </c>
      <c r="Y793" s="15">
        <f>M793 * 0.95</f>
        <v/>
      </c>
      <c r="Z793" s="15">
        <f>IF(AND(V793 &lt;= X793, V793 &gt;= Y793), 1, 0)</f>
        <v/>
      </c>
    </row>
    <row r="794">
      <c r="L794" s="15" t="n">
        <v>792</v>
      </c>
      <c r="M794" s="15">
        <f>IF(L794&lt;$D$16,$D$13,IF(L794&lt;$E$16,$E$13,$F$13))</f>
        <v/>
      </c>
      <c r="N794" s="15">
        <f>M794-V794</f>
        <v/>
      </c>
      <c r="O794" s="15">
        <f>IF(MOD(L794,$B$11)=0,OFFSET(O794,-$B$11,0)+ $E$2*N794+$E$3*OFFSET(N794,-$B$11,0)+ $E$4*OFFSET(N794,-2* $B$11,0), O793)</f>
        <v/>
      </c>
      <c r="P794" s="15">
        <f>INT((2^$J$12-1)*O794/100)/(2^$J$12-1)*100</f>
        <v/>
      </c>
      <c r="Q794" s="15" t="n">
        <v>0</v>
      </c>
      <c r="R794" s="15">
        <f>P794+Q794</f>
        <v/>
      </c>
      <c r="S794" s="15">
        <f>$I$1*S793-$I$2*S792+$I$3*R773+$I$4*R772</f>
        <v/>
      </c>
      <c r="T794" s="15">
        <f>RAND()*$G$12</f>
        <v/>
      </c>
      <c r="U794" s="15">
        <f>S794+T794</f>
        <v/>
      </c>
      <c r="V794" s="15">
        <f>INT((2^$J$12-1)*U794/100)/(2^$J$12-1)*100</f>
        <v/>
      </c>
      <c r="X794" s="15">
        <f>M794 * 1.05</f>
        <v/>
      </c>
      <c r="Y794" s="15">
        <f>M794 * 0.95</f>
        <v/>
      </c>
      <c r="Z794" s="15">
        <f>IF(AND(V794 &lt;= X794, V794 &gt;= Y794), 1, 0)</f>
        <v/>
      </c>
    </row>
    <row r="795">
      <c r="L795" s="15" t="n">
        <v>793</v>
      </c>
      <c r="M795" s="15">
        <f>IF(L795&lt;$D$16,$D$13,IF(L795&lt;$E$16,$E$13,$F$13))</f>
        <v/>
      </c>
      <c r="N795" s="15">
        <f>M795-V795</f>
        <v/>
      </c>
      <c r="O795" s="15">
        <f>IF(MOD(L795,$B$11)=0,OFFSET(O795,-$B$11,0)+ $E$2*N795+$E$3*OFFSET(N795,-$B$11,0)+ $E$4*OFFSET(N795,-2* $B$11,0), O794)</f>
        <v/>
      </c>
      <c r="P795" s="15">
        <f>INT((2^$J$12-1)*O795/100)/(2^$J$12-1)*100</f>
        <v/>
      </c>
      <c r="Q795" s="15" t="n">
        <v>0</v>
      </c>
      <c r="R795" s="15">
        <f>P795+Q795</f>
        <v/>
      </c>
      <c r="S795" s="15">
        <f>$I$1*S794-$I$2*S793+$I$3*R774+$I$4*R773</f>
        <v/>
      </c>
      <c r="T795" s="15">
        <f>RAND()*$G$12</f>
        <v/>
      </c>
      <c r="U795" s="15">
        <f>S795+T795</f>
        <v/>
      </c>
      <c r="V795" s="15">
        <f>INT((2^$J$12-1)*U795/100)/(2^$J$12-1)*100</f>
        <v/>
      </c>
      <c r="X795" s="15">
        <f>M795 * 1.05</f>
        <v/>
      </c>
      <c r="Y795" s="15">
        <f>M795 * 0.95</f>
        <v/>
      </c>
      <c r="Z795" s="15">
        <f>IF(AND(V795 &lt;= X795, V795 &gt;= Y795), 1, 0)</f>
        <v/>
      </c>
    </row>
    <row r="796">
      <c r="L796" s="15" t="n">
        <v>794</v>
      </c>
      <c r="M796" s="15">
        <f>IF(L796&lt;$D$16,$D$13,IF(L796&lt;$E$16,$E$13,$F$13))</f>
        <v/>
      </c>
      <c r="N796" s="15">
        <f>M796-V796</f>
        <v/>
      </c>
      <c r="O796" s="15">
        <f>IF(MOD(L796,$B$11)=0,OFFSET(O796,-$B$11,0)+ $E$2*N796+$E$3*OFFSET(N796,-$B$11,0)+ $E$4*OFFSET(N796,-2* $B$11,0), O795)</f>
        <v/>
      </c>
      <c r="P796" s="15">
        <f>INT((2^$J$12-1)*O796/100)/(2^$J$12-1)*100</f>
        <v/>
      </c>
      <c r="Q796" s="15" t="n">
        <v>0</v>
      </c>
      <c r="R796" s="15">
        <f>P796+Q796</f>
        <v/>
      </c>
      <c r="S796" s="15">
        <f>$I$1*S795-$I$2*S794+$I$3*R775+$I$4*R774</f>
        <v/>
      </c>
      <c r="T796" s="15">
        <f>RAND()*$G$12</f>
        <v/>
      </c>
      <c r="U796" s="15">
        <f>S796+T796</f>
        <v/>
      </c>
      <c r="V796" s="15">
        <f>INT((2^$J$12-1)*U796/100)/(2^$J$12-1)*100</f>
        <v/>
      </c>
      <c r="X796" s="15">
        <f>M796 * 1.05</f>
        <v/>
      </c>
      <c r="Y796" s="15">
        <f>M796 * 0.95</f>
        <v/>
      </c>
      <c r="Z796" s="15">
        <f>IF(AND(V796 &lt;= X796, V796 &gt;= Y796), 1, 0)</f>
        <v/>
      </c>
    </row>
    <row r="797">
      <c r="L797" s="15" t="n">
        <v>795</v>
      </c>
      <c r="M797" s="15">
        <f>IF(L797&lt;$D$16,$D$13,IF(L797&lt;$E$16,$E$13,$F$13))</f>
        <v/>
      </c>
      <c r="N797" s="15">
        <f>M797-V797</f>
        <v/>
      </c>
      <c r="O797" s="15">
        <f>IF(MOD(L797,$B$11)=0,OFFSET(O797,-$B$11,0)+ $E$2*N797+$E$3*OFFSET(N797,-$B$11,0)+ $E$4*OFFSET(N797,-2* $B$11,0), O796)</f>
        <v/>
      </c>
      <c r="P797" s="15">
        <f>INT((2^$J$12-1)*O797/100)/(2^$J$12-1)*100</f>
        <v/>
      </c>
      <c r="Q797" s="15" t="n">
        <v>0</v>
      </c>
      <c r="R797" s="15">
        <f>P797+Q797</f>
        <v/>
      </c>
      <c r="S797" s="15">
        <f>$I$1*S796-$I$2*S795+$I$3*R776+$I$4*R775</f>
        <v/>
      </c>
      <c r="T797" s="15">
        <f>RAND()*$G$12</f>
        <v/>
      </c>
      <c r="U797" s="15">
        <f>S797+T797</f>
        <v/>
      </c>
      <c r="V797" s="15">
        <f>INT((2^$J$12-1)*U797/100)/(2^$J$12-1)*100</f>
        <v/>
      </c>
      <c r="X797" s="15">
        <f>M797 * 1.05</f>
        <v/>
      </c>
      <c r="Y797" s="15">
        <f>M797 * 0.95</f>
        <v/>
      </c>
      <c r="Z797" s="15">
        <f>IF(AND(V797 &lt;= X797, V797 &gt;= Y797), 1, 0)</f>
        <v/>
      </c>
    </row>
    <row r="798">
      <c r="L798" s="15" t="n">
        <v>796</v>
      </c>
      <c r="M798" s="15">
        <f>IF(L798&lt;$D$16,$D$13,IF(L798&lt;$E$16,$E$13,$F$13))</f>
        <v/>
      </c>
      <c r="N798" s="15">
        <f>M798-V798</f>
        <v/>
      </c>
      <c r="O798" s="15">
        <f>IF(MOD(L798,$B$11)=0,OFFSET(O798,-$B$11,0)+ $E$2*N798+$E$3*OFFSET(N798,-$B$11,0)+ $E$4*OFFSET(N798,-2* $B$11,0), O797)</f>
        <v/>
      </c>
      <c r="P798" s="15">
        <f>INT((2^$J$12-1)*O798/100)/(2^$J$12-1)*100</f>
        <v/>
      </c>
      <c r="Q798" s="15" t="n">
        <v>0</v>
      </c>
      <c r="R798" s="15">
        <f>P798+Q798</f>
        <v/>
      </c>
      <c r="S798" s="15">
        <f>$I$1*S797-$I$2*S796+$I$3*R777+$I$4*R776</f>
        <v/>
      </c>
      <c r="T798" s="15">
        <f>RAND()*$G$12</f>
        <v/>
      </c>
      <c r="U798" s="15">
        <f>S798+T798</f>
        <v/>
      </c>
      <c r="V798" s="15">
        <f>INT((2^$J$12-1)*U798/100)/(2^$J$12-1)*100</f>
        <v/>
      </c>
      <c r="X798" s="15">
        <f>M798 * 1.05</f>
        <v/>
      </c>
      <c r="Y798" s="15">
        <f>M798 * 0.95</f>
        <v/>
      </c>
      <c r="Z798" s="15">
        <f>IF(AND(V798 &lt;= X798, V798 &gt;= Y798), 1, 0)</f>
        <v/>
      </c>
    </row>
    <row r="799">
      <c r="L799" s="15" t="n">
        <v>797</v>
      </c>
      <c r="M799" s="15">
        <f>IF(L799&lt;$D$16,$D$13,IF(L799&lt;$E$16,$E$13,$F$13))</f>
        <v/>
      </c>
      <c r="N799" s="15">
        <f>M799-V799</f>
        <v/>
      </c>
      <c r="O799" s="15">
        <f>IF(MOD(L799,$B$11)=0,OFFSET(O799,-$B$11,0)+ $E$2*N799+$E$3*OFFSET(N799,-$B$11,0)+ $E$4*OFFSET(N799,-2* $B$11,0), O798)</f>
        <v/>
      </c>
      <c r="P799" s="15">
        <f>INT((2^$J$12-1)*O799/100)/(2^$J$12-1)*100</f>
        <v/>
      </c>
      <c r="Q799" s="15" t="n">
        <v>0</v>
      </c>
      <c r="R799" s="15">
        <f>P799+Q799</f>
        <v/>
      </c>
      <c r="S799" s="15">
        <f>$I$1*S798-$I$2*S797+$I$3*R778+$I$4*R777</f>
        <v/>
      </c>
      <c r="T799" s="15">
        <f>RAND()*$G$12</f>
        <v/>
      </c>
      <c r="U799" s="15">
        <f>S799+T799</f>
        <v/>
      </c>
      <c r="V799" s="15">
        <f>INT((2^$J$12-1)*U799/100)/(2^$J$12-1)*100</f>
        <v/>
      </c>
      <c r="X799" s="15">
        <f>M799 * 1.05</f>
        <v/>
      </c>
      <c r="Y799" s="15">
        <f>M799 * 0.95</f>
        <v/>
      </c>
      <c r="Z799" s="15">
        <f>IF(AND(V799 &lt;= X799, V799 &gt;= Y799), 1, 0)</f>
        <v/>
      </c>
    </row>
    <row r="800">
      <c r="L800" s="15" t="n">
        <v>798</v>
      </c>
      <c r="M800" s="15">
        <f>IF(L800&lt;$D$16,$D$13,IF(L800&lt;$E$16,$E$13,$F$13))</f>
        <v/>
      </c>
      <c r="N800" s="15">
        <f>M800-V800</f>
        <v/>
      </c>
      <c r="O800" s="15">
        <f>IF(MOD(L800,$B$11)=0,OFFSET(O800,-$B$11,0)+ $E$2*N800+$E$3*OFFSET(N800,-$B$11,0)+ $E$4*OFFSET(N800,-2* $B$11,0), O799)</f>
        <v/>
      </c>
      <c r="P800" s="15">
        <f>INT((2^$J$12-1)*O800/100)/(2^$J$12-1)*100</f>
        <v/>
      </c>
      <c r="Q800" s="15" t="n">
        <v>0</v>
      </c>
      <c r="R800" s="15">
        <f>P800+Q800</f>
        <v/>
      </c>
      <c r="S800" s="15">
        <f>$I$1*S799-$I$2*S798+$I$3*R779+$I$4*R778</f>
        <v/>
      </c>
      <c r="T800" s="15">
        <f>RAND()*$G$12</f>
        <v/>
      </c>
      <c r="U800" s="15">
        <f>S800+T800</f>
        <v/>
      </c>
      <c r="V800" s="15">
        <f>INT((2^$J$12-1)*U800/100)/(2^$J$12-1)*100</f>
        <v/>
      </c>
      <c r="X800" s="15">
        <f>M800 * 1.05</f>
        <v/>
      </c>
      <c r="Y800" s="15">
        <f>M800 * 0.95</f>
        <v/>
      </c>
      <c r="Z800" s="15">
        <f>IF(AND(V800 &lt;= X800, V800 &gt;= Y800), 1, 0)</f>
        <v/>
      </c>
    </row>
    <row r="801">
      <c r="L801" s="15" t="n">
        <v>799</v>
      </c>
      <c r="M801" s="15">
        <f>IF(L801&lt;$D$16,$D$13,IF(L801&lt;$E$16,$E$13,$F$13))</f>
        <v/>
      </c>
      <c r="N801" s="15">
        <f>M801-V801</f>
        <v/>
      </c>
      <c r="O801" s="15">
        <f>IF(MOD(L801,$B$11)=0,OFFSET(O801,-$B$11,0)+ $E$2*N801+$E$3*OFFSET(N801,-$B$11,0)+ $E$4*OFFSET(N801,-2* $B$11,0), O800)</f>
        <v/>
      </c>
      <c r="P801" s="15">
        <f>INT((2^$J$12-1)*O801/100)/(2^$J$12-1)*100</f>
        <v/>
      </c>
      <c r="Q801" s="15" t="n">
        <v>0</v>
      </c>
      <c r="R801" s="15">
        <f>P801+Q801</f>
        <v/>
      </c>
      <c r="S801" s="15">
        <f>$I$1*S800-$I$2*S799+$I$3*R780+$I$4*R779</f>
        <v/>
      </c>
      <c r="T801" s="15">
        <f>RAND()*$G$12</f>
        <v/>
      </c>
      <c r="U801" s="15">
        <f>S801+T801</f>
        <v/>
      </c>
      <c r="V801" s="15">
        <f>INT((2^$J$12-1)*U801/100)/(2^$J$12-1)*100</f>
        <v/>
      </c>
      <c r="X801" s="15">
        <f>M801 * 1.05</f>
        <v/>
      </c>
      <c r="Y801" s="15">
        <f>M801 * 0.95</f>
        <v/>
      </c>
      <c r="Z801" s="15">
        <f>IF(AND(V801 &lt;= X801, V801 &gt;= Y801), 1, 0)</f>
        <v/>
      </c>
    </row>
    <row r="802">
      <c r="L802" s="15" t="n">
        <v>800</v>
      </c>
      <c r="M802" s="15">
        <f>IF(L802&lt;$D$16,$D$13,IF(L802&lt;$E$16,$E$13,$F$13))</f>
        <v/>
      </c>
      <c r="N802" s="15">
        <f>M802-V802</f>
        <v/>
      </c>
      <c r="O802" s="15">
        <f>IF(MOD(L802,$B$11)=0,OFFSET(O802,-$B$11,0)+ $E$2*N802+$E$3*OFFSET(N802,-$B$11,0)+ $E$4*OFFSET(N802,-2* $B$11,0), O801)</f>
        <v/>
      </c>
      <c r="P802" s="15">
        <f>INT((2^$J$12-1)*O802/100)/(2^$J$12-1)*100</f>
        <v/>
      </c>
      <c r="Q802" s="15" t="n">
        <v>0</v>
      </c>
      <c r="R802" s="15">
        <f>P802+Q802</f>
        <v/>
      </c>
      <c r="S802" s="15">
        <f>$I$1*S801-$I$2*S800+$I$3*R781+$I$4*R780</f>
        <v/>
      </c>
      <c r="T802" s="15">
        <f>RAND()*$G$12</f>
        <v/>
      </c>
      <c r="U802" s="15">
        <f>S802+T802</f>
        <v/>
      </c>
      <c r="V802" s="15">
        <f>INT((2^$J$12-1)*U802/100)/(2^$J$12-1)*100</f>
        <v/>
      </c>
      <c r="X802" s="15">
        <f>M802 * 1.05</f>
        <v/>
      </c>
      <c r="Y802" s="15">
        <f>M802 * 0.95</f>
        <v/>
      </c>
      <c r="Z802" s="15">
        <f>IF(AND(V802 &lt;= X802, V802 &gt;= Y802), 1, 0)</f>
        <v/>
      </c>
    </row>
    <row r="803">
      <c r="L803" s="15" t="n">
        <v>801</v>
      </c>
      <c r="M803" s="15">
        <f>IF(L803&lt;$D$16,$D$13,IF(L803&lt;$E$16,$E$13,$F$13))</f>
        <v/>
      </c>
      <c r="N803" s="15">
        <f>M803-V803</f>
        <v/>
      </c>
      <c r="O803" s="15">
        <f>IF(MOD(L803,$B$11)=0,OFFSET(O803,-$B$11,0)+ $E$2*N803+$E$3*OFFSET(N803,-$B$11,0)+ $E$4*OFFSET(N803,-2* $B$11,0), O802)</f>
        <v/>
      </c>
      <c r="P803" s="15">
        <f>INT((2^$J$12-1)*O803/100)/(2^$J$12-1)*100</f>
        <v/>
      </c>
      <c r="Q803" s="15" t="n">
        <v>0</v>
      </c>
      <c r="R803" s="15">
        <f>P803+Q803</f>
        <v/>
      </c>
      <c r="S803" s="15">
        <f>$I$1*S802-$I$2*S801+$I$3*R782+$I$4*R781</f>
        <v/>
      </c>
      <c r="T803" s="15">
        <f>RAND()*$G$12</f>
        <v/>
      </c>
      <c r="U803" s="15">
        <f>S803+T803</f>
        <v/>
      </c>
      <c r="V803" s="15">
        <f>INT((2^$J$12-1)*U803/100)/(2^$J$12-1)*100</f>
        <v/>
      </c>
      <c r="X803" s="15">
        <f>M803 * 1.05</f>
        <v/>
      </c>
      <c r="Y803" s="15">
        <f>M803 * 0.95</f>
        <v/>
      </c>
      <c r="Z803" s="15">
        <f>IF(AND(V803 &lt;= X803, V803 &gt;= Y803), 1, 0)</f>
        <v/>
      </c>
    </row>
    <row r="804">
      <c r="L804" s="15" t="n">
        <v>802</v>
      </c>
      <c r="M804" s="15">
        <f>IF(L804&lt;$D$16,$D$13,IF(L804&lt;$E$16,$E$13,$F$13))</f>
        <v/>
      </c>
      <c r="N804" s="15">
        <f>M804-V804</f>
        <v/>
      </c>
      <c r="O804" s="15">
        <f>IF(MOD(L804,$B$11)=0,OFFSET(O804,-$B$11,0)+ $E$2*N804+$E$3*OFFSET(N804,-$B$11,0)+ $E$4*OFFSET(N804,-2* $B$11,0), O803)</f>
        <v/>
      </c>
      <c r="P804" s="15">
        <f>INT((2^$J$12-1)*O804/100)/(2^$J$12-1)*100</f>
        <v/>
      </c>
      <c r="Q804" s="15" t="n">
        <v>0</v>
      </c>
      <c r="R804" s="15">
        <f>P804+Q804</f>
        <v/>
      </c>
      <c r="S804" s="15">
        <f>$I$1*S803-$I$2*S802+$I$3*R783+$I$4*R782</f>
        <v/>
      </c>
      <c r="T804" s="15">
        <f>RAND()*$G$12</f>
        <v/>
      </c>
      <c r="U804" s="15">
        <f>S804+T804</f>
        <v/>
      </c>
      <c r="V804" s="15">
        <f>INT((2^$J$12-1)*U804/100)/(2^$J$12-1)*100</f>
        <v/>
      </c>
      <c r="X804" s="15">
        <f>M804 * 1.05</f>
        <v/>
      </c>
      <c r="Y804" s="15">
        <f>M804 * 0.95</f>
        <v/>
      </c>
      <c r="Z804" s="15">
        <f>IF(AND(V804 &lt;= X804, V804 &gt;= Y804), 1, 0)</f>
        <v/>
      </c>
    </row>
    <row r="805">
      <c r="L805" s="15" t="n">
        <v>803</v>
      </c>
      <c r="M805" s="15">
        <f>IF(L805&lt;$D$16,$D$13,IF(L805&lt;$E$16,$E$13,$F$13))</f>
        <v/>
      </c>
      <c r="N805" s="15">
        <f>M805-V805</f>
        <v/>
      </c>
      <c r="O805" s="15">
        <f>IF(MOD(L805,$B$11)=0,OFFSET(O805,-$B$11,0)+ $E$2*N805+$E$3*OFFSET(N805,-$B$11,0)+ $E$4*OFFSET(N805,-2* $B$11,0), O804)</f>
        <v/>
      </c>
      <c r="P805" s="15">
        <f>INT((2^$J$12-1)*O805/100)/(2^$J$12-1)*100</f>
        <v/>
      </c>
      <c r="Q805" s="15" t="n">
        <v>0</v>
      </c>
      <c r="R805" s="15">
        <f>P805+Q805</f>
        <v/>
      </c>
      <c r="S805" s="15">
        <f>$I$1*S804-$I$2*S803+$I$3*R784+$I$4*R783</f>
        <v/>
      </c>
      <c r="T805" s="15">
        <f>RAND()*$G$12</f>
        <v/>
      </c>
      <c r="U805" s="15">
        <f>S805+T805</f>
        <v/>
      </c>
      <c r="V805" s="15">
        <f>INT((2^$J$12-1)*U805/100)/(2^$J$12-1)*100</f>
        <v/>
      </c>
      <c r="X805" s="15">
        <f>M805 * 1.05</f>
        <v/>
      </c>
      <c r="Y805" s="15">
        <f>M805 * 0.95</f>
        <v/>
      </c>
      <c r="Z805" s="15">
        <f>IF(AND(V805 &lt;= X805, V805 &gt;= Y805), 1, 0)</f>
        <v/>
      </c>
    </row>
    <row r="806">
      <c r="L806" s="15" t="n">
        <v>804</v>
      </c>
      <c r="M806" s="15">
        <f>IF(L806&lt;$D$16,$D$13,IF(L806&lt;$E$16,$E$13,$F$13))</f>
        <v/>
      </c>
      <c r="N806" s="15">
        <f>M806-V806</f>
        <v/>
      </c>
      <c r="O806" s="15">
        <f>IF(MOD(L806,$B$11)=0,OFFSET(O806,-$B$11,0)+ $E$2*N806+$E$3*OFFSET(N806,-$B$11,0)+ $E$4*OFFSET(N806,-2* $B$11,0), O805)</f>
        <v/>
      </c>
      <c r="P806" s="15">
        <f>INT((2^$J$12-1)*O806/100)/(2^$J$12-1)*100</f>
        <v/>
      </c>
      <c r="Q806" s="15" t="n">
        <v>0</v>
      </c>
      <c r="R806" s="15">
        <f>P806+Q806</f>
        <v/>
      </c>
      <c r="S806" s="15">
        <f>$I$1*S805-$I$2*S804+$I$3*R785+$I$4*R784</f>
        <v/>
      </c>
      <c r="T806" s="15">
        <f>RAND()*$G$12</f>
        <v/>
      </c>
      <c r="U806" s="15">
        <f>S806+T806</f>
        <v/>
      </c>
      <c r="V806" s="15">
        <f>INT((2^$J$12-1)*U806/100)/(2^$J$12-1)*100</f>
        <v/>
      </c>
      <c r="X806" s="15">
        <f>M806 * 1.05</f>
        <v/>
      </c>
      <c r="Y806" s="15">
        <f>M806 * 0.95</f>
        <v/>
      </c>
      <c r="Z806" s="15">
        <f>IF(AND(V806 &lt;= X806, V806 &gt;= Y806), 1, 0)</f>
        <v/>
      </c>
    </row>
    <row r="807">
      <c r="L807" s="15" t="n">
        <v>805</v>
      </c>
      <c r="M807" s="15">
        <f>IF(L807&lt;$D$16,$D$13,IF(L807&lt;$E$16,$E$13,$F$13))</f>
        <v/>
      </c>
      <c r="N807" s="15">
        <f>M807-V807</f>
        <v/>
      </c>
      <c r="O807" s="15">
        <f>IF(MOD(L807,$B$11)=0,OFFSET(O807,-$B$11,0)+ $E$2*N807+$E$3*OFFSET(N807,-$B$11,0)+ $E$4*OFFSET(N807,-2* $B$11,0), O806)</f>
        <v/>
      </c>
      <c r="P807" s="15">
        <f>INT((2^$J$12-1)*O807/100)/(2^$J$12-1)*100</f>
        <v/>
      </c>
      <c r="Q807" s="15" t="n">
        <v>0</v>
      </c>
      <c r="R807" s="15">
        <f>P807+Q807</f>
        <v/>
      </c>
      <c r="S807" s="15">
        <f>$I$1*S806-$I$2*S805+$I$3*R786+$I$4*R785</f>
        <v/>
      </c>
      <c r="T807" s="15">
        <f>RAND()*$G$12</f>
        <v/>
      </c>
      <c r="U807" s="15">
        <f>S807+T807</f>
        <v/>
      </c>
      <c r="V807" s="15">
        <f>INT((2^$J$12-1)*U807/100)/(2^$J$12-1)*100</f>
        <v/>
      </c>
      <c r="X807" s="15">
        <f>M807 * 1.05</f>
        <v/>
      </c>
      <c r="Y807" s="15">
        <f>M807 * 0.95</f>
        <v/>
      </c>
      <c r="Z807" s="15">
        <f>IF(AND(V807 &lt;= X807, V807 &gt;= Y807), 1, 0)</f>
        <v/>
      </c>
    </row>
    <row r="808">
      <c r="L808" s="15" t="n">
        <v>806</v>
      </c>
      <c r="M808" s="15">
        <f>IF(L808&lt;$D$16,$D$13,IF(L808&lt;$E$16,$E$13,$F$13))</f>
        <v/>
      </c>
      <c r="N808" s="15">
        <f>M808-V808</f>
        <v/>
      </c>
      <c r="O808" s="15">
        <f>IF(MOD(L808,$B$11)=0,OFFSET(O808,-$B$11,0)+ $E$2*N808+$E$3*OFFSET(N808,-$B$11,0)+ $E$4*OFFSET(N808,-2* $B$11,0), O807)</f>
        <v/>
      </c>
      <c r="P808" s="15">
        <f>INT((2^$J$12-1)*O808/100)/(2^$J$12-1)*100</f>
        <v/>
      </c>
      <c r="Q808" s="15" t="n">
        <v>0</v>
      </c>
      <c r="R808" s="15">
        <f>P808+Q808</f>
        <v/>
      </c>
      <c r="S808" s="15">
        <f>$I$1*S807-$I$2*S806+$I$3*R787+$I$4*R786</f>
        <v/>
      </c>
      <c r="T808" s="15">
        <f>RAND()*$G$12</f>
        <v/>
      </c>
      <c r="U808" s="15">
        <f>S808+T808</f>
        <v/>
      </c>
      <c r="V808" s="15">
        <f>INT((2^$J$12-1)*U808/100)/(2^$J$12-1)*100</f>
        <v/>
      </c>
      <c r="X808" s="15">
        <f>M808 * 1.05</f>
        <v/>
      </c>
      <c r="Y808" s="15">
        <f>M808 * 0.95</f>
        <v/>
      </c>
      <c r="Z808" s="15">
        <f>IF(AND(V808 &lt;= X808, V808 &gt;= Y808), 1, 0)</f>
        <v/>
      </c>
    </row>
    <row r="809">
      <c r="L809" s="15" t="n">
        <v>807</v>
      </c>
      <c r="M809" s="15">
        <f>IF(L809&lt;$D$16,$D$13,IF(L809&lt;$E$16,$E$13,$F$13))</f>
        <v/>
      </c>
      <c r="N809" s="15">
        <f>M809-V809</f>
        <v/>
      </c>
      <c r="O809" s="15">
        <f>IF(MOD(L809,$B$11)=0,OFFSET(O809,-$B$11,0)+ $E$2*N809+$E$3*OFFSET(N809,-$B$11,0)+ $E$4*OFFSET(N809,-2* $B$11,0), O808)</f>
        <v/>
      </c>
      <c r="P809" s="15">
        <f>INT((2^$J$12-1)*O809/100)/(2^$J$12-1)*100</f>
        <v/>
      </c>
      <c r="Q809" s="15" t="n">
        <v>0</v>
      </c>
      <c r="R809" s="15">
        <f>P809+Q809</f>
        <v/>
      </c>
      <c r="S809" s="15">
        <f>$I$1*S808-$I$2*S807+$I$3*R788+$I$4*R787</f>
        <v/>
      </c>
      <c r="T809" s="15">
        <f>RAND()*$G$12</f>
        <v/>
      </c>
      <c r="U809" s="15">
        <f>S809+T809</f>
        <v/>
      </c>
      <c r="V809" s="15">
        <f>INT((2^$J$12-1)*U809/100)/(2^$J$12-1)*100</f>
        <v/>
      </c>
      <c r="X809" s="15">
        <f>M809 * 1.05</f>
        <v/>
      </c>
      <c r="Y809" s="15">
        <f>M809 * 0.95</f>
        <v/>
      </c>
      <c r="Z809" s="15">
        <f>IF(AND(V809 &lt;= X809, V809 &gt;= Y809), 1, 0)</f>
        <v/>
      </c>
    </row>
    <row r="810">
      <c r="L810" s="15" t="n">
        <v>808</v>
      </c>
      <c r="M810" s="15">
        <f>IF(L810&lt;$D$16,$D$13,IF(L810&lt;$E$16,$E$13,$F$13))</f>
        <v/>
      </c>
      <c r="N810" s="15">
        <f>M810-V810</f>
        <v/>
      </c>
      <c r="O810" s="15">
        <f>IF(MOD(L810,$B$11)=0,OFFSET(O810,-$B$11,0)+ $E$2*N810+$E$3*OFFSET(N810,-$B$11,0)+ $E$4*OFFSET(N810,-2* $B$11,0), O809)</f>
        <v/>
      </c>
      <c r="P810" s="15">
        <f>INT((2^$J$12-1)*O810/100)/(2^$J$12-1)*100</f>
        <v/>
      </c>
      <c r="Q810" s="15" t="n">
        <v>0</v>
      </c>
      <c r="R810" s="15">
        <f>P810+Q810</f>
        <v/>
      </c>
      <c r="S810" s="15">
        <f>$I$1*S809-$I$2*S808+$I$3*R789+$I$4*R788</f>
        <v/>
      </c>
      <c r="T810" s="15">
        <f>RAND()*$G$12</f>
        <v/>
      </c>
      <c r="U810" s="15">
        <f>S810+T810</f>
        <v/>
      </c>
      <c r="V810" s="15">
        <f>INT((2^$J$12-1)*U810/100)/(2^$J$12-1)*100</f>
        <v/>
      </c>
      <c r="X810" s="15">
        <f>M810 * 1.05</f>
        <v/>
      </c>
      <c r="Y810" s="15">
        <f>M810 * 0.95</f>
        <v/>
      </c>
      <c r="Z810" s="15">
        <f>IF(AND(V810 &lt;= X810, V810 &gt;= Y810), 1, 0)</f>
        <v/>
      </c>
    </row>
    <row r="811">
      <c r="L811" s="15" t="n">
        <v>809</v>
      </c>
      <c r="M811" s="15">
        <f>IF(L811&lt;$D$16,$D$13,IF(L811&lt;$E$16,$E$13,$F$13))</f>
        <v/>
      </c>
      <c r="N811" s="15">
        <f>M811-V811</f>
        <v/>
      </c>
      <c r="O811" s="15">
        <f>IF(MOD(L811,$B$11)=0,OFFSET(O811,-$B$11,0)+ $E$2*N811+$E$3*OFFSET(N811,-$B$11,0)+ $E$4*OFFSET(N811,-2* $B$11,0), O810)</f>
        <v/>
      </c>
      <c r="P811" s="15">
        <f>INT((2^$J$12-1)*O811/100)/(2^$J$12-1)*100</f>
        <v/>
      </c>
      <c r="Q811" s="15" t="n">
        <v>0</v>
      </c>
      <c r="R811" s="15">
        <f>P811+Q811</f>
        <v/>
      </c>
      <c r="S811" s="15">
        <f>$I$1*S810-$I$2*S809+$I$3*R790+$I$4*R789</f>
        <v/>
      </c>
      <c r="T811" s="15">
        <f>RAND()*$G$12</f>
        <v/>
      </c>
      <c r="U811" s="15">
        <f>S811+T811</f>
        <v/>
      </c>
      <c r="V811" s="15">
        <f>INT((2^$J$12-1)*U811/100)/(2^$J$12-1)*100</f>
        <v/>
      </c>
      <c r="X811" s="15">
        <f>M811 * 1.05</f>
        <v/>
      </c>
      <c r="Y811" s="15">
        <f>M811 * 0.95</f>
        <v/>
      </c>
      <c r="Z811" s="15">
        <f>IF(AND(V811 &lt;= X811, V811 &gt;= Y811), 1, 0)</f>
        <v/>
      </c>
    </row>
    <row r="812">
      <c r="L812" s="15" t="n">
        <v>810</v>
      </c>
      <c r="M812" s="15">
        <f>IF(L812&lt;$D$16,$D$13,IF(L812&lt;$E$16,$E$13,$F$13))</f>
        <v/>
      </c>
      <c r="N812" s="15">
        <f>M812-V812</f>
        <v/>
      </c>
      <c r="O812" s="15">
        <f>IF(MOD(L812,$B$11)=0,OFFSET(O812,-$B$11,0)+ $E$2*N812+$E$3*OFFSET(N812,-$B$11,0)+ $E$4*OFFSET(N812,-2* $B$11,0), O811)</f>
        <v/>
      </c>
      <c r="P812" s="15">
        <f>INT((2^$J$12-1)*O812/100)/(2^$J$12-1)*100</f>
        <v/>
      </c>
      <c r="Q812" s="15" t="n">
        <v>0</v>
      </c>
      <c r="R812" s="15">
        <f>P812+Q812</f>
        <v/>
      </c>
      <c r="S812" s="15">
        <f>$I$1*S811-$I$2*S810+$I$3*R791+$I$4*R790</f>
        <v/>
      </c>
      <c r="T812" s="15">
        <f>RAND()*$G$12</f>
        <v/>
      </c>
      <c r="U812" s="15">
        <f>S812+T812</f>
        <v/>
      </c>
      <c r="V812" s="15">
        <f>INT((2^$J$12-1)*U812/100)/(2^$J$12-1)*100</f>
        <v/>
      </c>
      <c r="X812" s="15">
        <f>M812 * 1.05</f>
        <v/>
      </c>
      <c r="Y812" s="15">
        <f>M812 * 0.95</f>
        <v/>
      </c>
      <c r="Z812" s="15">
        <f>IF(AND(V812 &lt;= X812, V812 &gt;= Y812), 1, 0)</f>
        <v/>
      </c>
    </row>
    <row r="813">
      <c r="L813" s="15" t="n">
        <v>811</v>
      </c>
      <c r="M813" s="15">
        <f>IF(L813&lt;$D$16,$D$13,IF(L813&lt;$E$16,$E$13,$F$13))</f>
        <v/>
      </c>
      <c r="N813" s="15">
        <f>M813-V813</f>
        <v/>
      </c>
      <c r="O813" s="15">
        <f>IF(MOD(L813,$B$11)=0,OFFSET(O813,-$B$11,0)+ $E$2*N813+$E$3*OFFSET(N813,-$B$11,0)+ $E$4*OFFSET(N813,-2* $B$11,0), O812)</f>
        <v/>
      </c>
      <c r="P813" s="15">
        <f>INT((2^$J$12-1)*O813/100)/(2^$J$12-1)*100</f>
        <v/>
      </c>
      <c r="Q813" s="15" t="n">
        <v>0</v>
      </c>
      <c r="R813" s="15">
        <f>P813+Q813</f>
        <v/>
      </c>
      <c r="S813" s="15">
        <f>$I$1*S812-$I$2*S811+$I$3*R792+$I$4*R791</f>
        <v/>
      </c>
      <c r="T813" s="15">
        <f>RAND()*$G$12</f>
        <v/>
      </c>
      <c r="U813" s="15">
        <f>S813+T813</f>
        <v/>
      </c>
      <c r="V813" s="15">
        <f>INT((2^$J$12-1)*U813/100)/(2^$J$12-1)*100</f>
        <v/>
      </c>
      <c r="X813" s="15">
        <f>M813 * 1.05</f>
        <v/>
      </c>
      <c r="Y813" s="15">
        <f>M813 * 0.95</f>
        <v/>
      </c>
      <c r="Z813" s="15">
        <f>IF(AND(V813 &lt;= X813, V813 &gt;= Y813), 1, 0)</f>
        <v/>
      </c>
    </row>
    <row r="814">
      <c r="L814" s="15" t="n">
        <v>812</v>
      </c>
      <c r="M814" s="15">
        <f>IF(L814&lt;$D$16,$D$13,IF(L814&lt;$E$16,$E$13,$F$13))</f>
        <v/>
      </c>
      <c r="N814" s="15">
        <f>M814-V814</f>
        <v/>
      </c>
      <c r="O814" s="15">
        <f>IF(MOD(L814,$B$11)=0,OFFSET(O814,-$B$11,0)+ $E$2*N814+$E$3*OFFSET(N814,-$B$11,0)+ $E$4*OFFSET(N814,-2* $B$11,0), O813)</f>
        <v/>
      </c>
      <c r="P814" s="15">
        <f>INT((2^$J$12-1)*O814/100)/(2^$J$12-1)*100</f>
        <v/>
      </c>
      <c r="Q814" s="15" t="n">
        <v>0</v>
      </c>
      <c r="R814" s="15">
        <f>P814+Q814</f>
        <v/>
      </c>
      <c r="S814" s="15">
        <f>$I$1*S813-$I$2*S812+$I$3*R793+$I$4*R792</f>
        <v/>
      </c>
      <c r="T814" s="15">
        <f>RAND()*$G$12</f>
        <v/>
      </c>
      <c r="U814" s="15">
        <f>S814+T814</f>
        <v/>
      </c>
      <c r="V814" s="15">
        <f>INT((2^$J$12-1)*U814/100)/(2^$J$12-1)*100</f>
        <v/>
      </c>
      <c r="X814" s="15">
        <f>M814 * 1.05</f>
        <v/>
      </c>
      <c r="Y814" s="15">
        <f>M814 * 0.95</f>
        <v/>
      </c>
      <c r="Z814" s="15">
        <f>IF(AND(V814 &lt;= X814, V814 &gt;= Y814), 1, 0)</f>
        <v/>
      </c>
    </row>
    <row r="815">
      <c r="L815" s="15" t="n">
        <v>813</v>
      </c>
      <c r="M815" s="15">
        <f>IF(L815&lt;$D$16,$D$13,IF(L815&lt;$E$16,$E$13,$F$13))</f>
        <v/>
      </c>
      <c r="N815" s="15">
        <f>M815-V815</f>
        <v/>
      </c>
      <c r="O815" s="15">
        <f>IF(MOD(L815,$B$11)=0,OFFSET(O815,-$B$11,0)+ $E$2*N815+$E$3*OFFSET(N815,-$B$11,0)+ $E$4*OFFSET(N815,-2* $B$11,0), O814)</f>
        <v/>
      </c>
      <c r="P815" s="15">
        <f>INT((2^$J$12-1)*O815/100)/(2^$J$12-1)*100</f>
        <v/>
      </c>
      <c r="Q815" s="15" t="n">
        <v>0</v>
      </c>
      <c r="R815" s="15">
        <f>P815+Q815</f>
        <v/>
      </c>
      <c r="S815" s="15">
        <f>$I$1*S814-$I$2*S813+$I$3*R794+$I$4*R793</f>
        <v/>
      </c>
      <c r="T815" s="15">
        <f>RAND()*$G$12</f>
        <v/>
      </c>
      <c r="U815" s="15">
        <f>S815+T815</f>
        <v/>
      </c>
      <c r="V815" s="15">
        <f>INT((2^$J$12-1)*U815/100)/(2^$J$12-1)*100</f>
        <v/>
      </c>
      <c r="X815" s="15">
        <f>M815 * 1.05</f>
        <v/>
      </c>
      <c r="Y815" s="15">
        <f>M815 * 0.95</f>
        <v/>
      </c>
      <c r="Z815" s="15">
        <f>IF(AND(V815 &lt;= X815, V815 &gt;= Y815), 1, 0)</f>
        <v/>
      </c>
    </row>
    <row r="816">
      <c r="L816" s="15" t="n">
        <v>814</v>
      </c>
      <c r="M816" s="15">
        <f>IF(L816&lt;$D$16,$D$13,IF(L816&lt;$E$16,$E$13,$F$13))</f>
        <v/>
      </c>
      <c r="N816" s="15">
        <f>M816-V816</f>
        <v/>
      </c>
      <c r="O816" s="15">
        <f>IF(MOD(L816,$B$11)=0,OFFSET(O816,-$B$11,0)+ $E$2*N816+$E$3*OFFSET(N816,-$B$11,0)+ $E$4*OFFSET(N816,-2* $B$11,0), O815)</f>
        <v/>
      </c>
      <c r="P816" s="15">
        <f>INT((2^$J$12-1)*O816/100)/(2^$J$12-1)*100</f>
        <v/>
      </c>
      <c r="Q816" s="15" t="n">
        <v>0</v>
      </c>
      <c r="R816" s="15">
        <f>P816+Q816</f>
        <v/>
      </c>
      <c r="S816" s="15">
        <f>$I$1*S815-$I$2*S814+$I$3*R795+$I$4*R794</f>
        <v/>
      </c>
      <c r="T816" s="15">
        <f>RAND()*$G$12</f>
        <v/>
      </c>
      <c r="U816" s="15">
        <f>S816+T816</f>
        <v/>
      </c>
      <c r="V816" s="15">
        <f>INT((2^$J$12-1)*U816/100)/(2^$J$12-1)*100</f>
        <v/>
      </c>
      <c r="X816" s="15">
        <f>M816 * 1.05</f>
        <v/>
      </c>
      <c r="Y816" s="15">
        <f>M816 * 0.95</f>
        <v/>
      </c>
      <c r="Z816" s="15">
        <f>IF(AND(V816 &lt;= X816, V816 &gt;= Y816), 1, 0)</f>
        <v/>
      </c>
    </row>
    <row r="817">
      <c r="L817" s="15" t="n">
        <v>815</v>
      </c>
      <c r="M817" s="15">
        <f>IF(L817&lt;$D$16,$D$13,IF(L817&lt;$E$16,$E$13,$F$13))</f>
        <v/>
      </c>
      <c r="N817" s="15">
        <f>M817-V817</f>
        <v/>
      </c>
      <c r="O817" s="15">
        <f>IF(MOD(L817,$B$11)=0,OFFSET(O817,-$B$11,0)+ $E$2*N817+$E$3*OFFSET(N817,-$B$11,0)+ $E$4*OFFSET(N817,-2* $B$11,0), O816)</f>
        <v/>
      </c>
      <c r="P817" s="15">
        <f>INT((2^$J$12-1)*O817/100)/(2^$J$12-1)*100</f>
        <v/>
      </c>
      <c r="Q817" s="15" t="n">
        <v>0</v>
      </c>
      <c r="R817" s="15">
        <f>P817+Q817</f>
        <v/>
      </c>
      <c r="S817" s="15">
        <f>$I$1*S816-$I$2*S815+$I$3*R796+$I$4*R795</f>
        <v/>
      </c>
      <c r="T817" s="15">
        <f>RAND()*$G$12</f>
        <v/>
      </c>
      <c r="U817" s="15">
        <f>S817+T817</f>
        <v/>
      </c>
      <c r="V817" s="15">
        <f>INT((2^$J$12-1)*U817/100)/(2^$J$12-1)*100</f>
        <v/>
      </c>
      <c r="X817" s="15">
        <f>M817 * 1.05</f>
        <v/>
      </c>
      <c r="Y817" s="15">
        <f>M817 * 0.95</f>
        <v/>
      </c>
      <c r="Z817" s="15">
        <f>IF(AND(V817 &lt;= X817, V817 &gt;= Y817), 1, 0)</f>
        <v/>
      </c>
    </row>
    <row r="818">
      <c r="L818" s="15" t="n">
        <v>816</v>
      </c>
      <c r="M818" s="15">
        <f>IF(L818&lt;$D$16,$D$13,IF(L818&lt;$E$16,$E$13,$F$13))</f>
        <v/>
      </c>
      <c r="N818" s="15">
        <f>M818-V818</f>
        <v/>
      </c>
      <c r="O818" s="15">
        <f>IF(MOD(L818,$B$11)=0,OFFSET(O818,-$B$11,0)+ $E$2*N818+$E$3*OFFSET(N818,-$B$11,0)+ $E$4*OFFSET(N818,-2* $B$11,0), O817)</f>
        <v/>
      </c>
      <c r="P818" s="15">
        <f>INT((2^$J$12-1)*O818/100)/(2^$J$12-1)*100</f>
        <v/>
      </c>
      <c r="Q818" s="15" t="n">
        <v>0</v>
      </c>
      <c r="R818" s="15">
        <f>P818+Q818</f>
        <v/>
      </c>
      <c r="S818" s="15">
        <f>$I$1*S817-$I$2*S816+$I$3*R797+$I$4*R796</f>
        <v/>
      </c>
      <c r="T818" s="15">
        <f>RAND()*$G$12</f>
        <v/>
      </c>
      <c r="U818" s="15">
        <f>S818+T818</f>
        <v/>
      </c>
      <c r="V818" s="15">
        <f>INT((2^$J$12-1)*U818/100)/(2^$J$12-1)*100</f>
        <v/>
      </c>
      <c r="X818" s="15">
        <f>M818 * 1.05</f>
        <v/>
      </c>
      <c r="Y818" s="15">
        <f>M818 * 0.95</f>
        <v/>
      </c>
      <c r="Z818" s="15">
        <f>IF(AND(V818 &lt;= X818, V818 &gt;= Y818), 1, 0)</f>
        <v/>
      </c>
    </row>
    <row r="819">
      <c r="L819" s="15" t="n">
        <v>817</v>
      </c>
      <c r="M819" s="15">
        <f>IF(L819&lt;$D$16,$D$13,IF(L819&lt;$E$16,$E$13,$F$13))</f>
        <v/>
      </c>
      <c r="N819" s="15">
        <f>M819-V819</f>
        <v/>
      </c>
      <c r="O819" s="15">
        <f>IF(MOD(L819,$B$11)=0,OFFSET(O819,-$B$11,0)+ $E$2*N819+$E$3*OFFSET(N819,-$B$11,0)+ $E$4*OFFSET(N819,-2* $B$11,0), O818)</f>
        <v/>
      </c>
      <c r="P819" s="15">
        <f>INT((2^$J$12-1)*O819/100)/(2^$J$12-1)*100</f>
        <v/>
      </c>
      <c r="Q819" s="15" t="n">
        <v>0</v>
      </c>
      <c r="R819" s="15">
        <f>P819+Q819</f>
        <v/>
      </c>
      <c r="S819" s="15">
        <f>$I$1*S818-$I$2*S817+$I$3*R798+$I$4*R797</f>
        <v/>
      </c>
      <c r="T819" s="15">
        <f>RAND()*$G$12</f>
        <v/>
      </c>
      <c r="U819" s="15">
        <f>S819+T819</f>
        <v/>
      </c>
      <c r="V819" s="15">
        <f>INT((2^$J$12-1)*U819/100)/(2^$J$12-1)*100</f>
        <v/>
      </c>
      <c r="X819" s="15">
        <f>M819 * 1.05</f>
        <v/>
      </c>
      <c r="Y819" s="15">
        <f>M819 * 0.95</f>
        <v/>
      </c>
      <c r="Z819" s="15">
        <f>IF(AND(V819 &lt;= X819, V819 &gt;= Y819), 1, 0)</f>
        <v/>
      </c>
    </row>
    <row r="820">
      <c r="L820" s="15" t="n">
        <v>818</v>
      </c>
      <c r="M820" s="15">
        <f>IF(L820&lt;$D$16,$D$13,IF(L820&lt;$E$16,$E$13,$F$13))</f>
        <v/>
      </c>
      <c r="N820" s="15">
        <f>M820-V820</f>
        <v/>
      </c>
      <c r="O820" s="15">
        <f>IF(MOD(L820,$B$11)=0,OFFSET(O820,-$B$11,0)+ $E$2*N820+$E$3*OFFSET(N820,-$B$11,0)+ $E$4*OFFSET(N820,-2* $B$11,0), O819)</f>
        <v/>
      </c>
      <c r="P820" s="15">
        <f>INT((2^$J$12-1)*O820/100)/(2^$J$12-1)*100</f>
        <v/>
      </c>
      <c r="Q820" s="15" t="n">
        <v>0</v>
      </c>
      <c r="R820" s="15">
        <f>P820+Q820</f>
        <v/>
      </c>
      <c r="S820" s="15">
        <f>$I$1*S819-$I$2*S818+$I$3*R799+$I$4*R798</f>
        <v/>
      </c>
      <c r="T820" s="15">
        <f>RAND()*$G$12</f>
        <v/>
      </c>
      <c r="U820" s="15">
        <f>S820+T820</f>
        <v/>
      </c>
      <c r="V820" s="15">
        <f>INT((2^$J$12-1)*U820/100)/(2^$J$12-1)*100</f>
        <v/>
      </c>
      <c r="X820" s="15">
        <f>M820 * 1.05</f>
        <v/>
      </c>
      <c r="Y820" s="15">
        <f>M820 * 0.95</f>
        <v/>
      </c>
      <c r="Z820" s="15">
        <f>IF(AND(V820 &lt;= X820, V820 &gt;= Y820), 1, 0)</f>
        <v/>
      </c>
    </row>
    <row r="821">
      <c r="L821" s="15" t="n">
        <v>819</v>
      </c>
      <c r="M821" s="15">
        <f>IF(L821&lt;$D$16,$D$13,IF(L821&lt;$E$16,$E$13,$F$13))</f>
        <v/>
      </c>
      <c r="N821" s="15">
        <f>M821-V821</f>
        <v/>
      </c>
      <c r="O821" s="15">
        <f>IF(MOD(L821,$B$11)=0,OFFSET(O821,-$B$11,0)+ $E$2*N821+$E$3*OFFSET(N821,-$B$11,0)+ $E$4*OFFSET(N821,-2* $B$11,0), O820)</f>
        <v/>
      </c>
      <c r="P821" s="15">
        <f>INT((2^$J$12-1)*O821/100)/(2^$J$12-1)*100</f>
        <v/>
      </c>
      <c r="Q821" s="15" t="n">
        <v>0</v>
      </c>
      <c r="R821" s="15">
        <f>P821+Q821</f>
        <v/>
      </c>
      <c r="S821" s="15">
        <f>$I$1*S820-$I$2*S819+$I$3*R800+$I$4*R799</f>
        <v/>
      </c>
      <c r="T821" s="15">
        <f>RAND()*$G$12</f>
        <v/>
      </c>
      <c r="U821" s="15">
        <f>S821+T821</f>
        <v/>
      </c>
      <c r="V821" s="15">
        <f>INT((2^$J$12-1)*U821/100)/(2^$J$12-1)*100</f>
        <v/>
      </c>
      <c r="X821" s="15">
        <f>M821 * 1.05</f>
        <v/>
      </c>
      <c r="Y821" s="15">
        <f>M821 * 0.95</f>
        <v/>
      </c>
      <c r="Z821" s="15">
        <f>IF(AND(V821 &lt;= X821, V821 &gt;= Y821), 1, 0)</f>
        <v/>
      </c>
    </row>
    <row r="822">
      <c r="L822" s="15" t="n">
        <v>820</v>
      </c>
      <c r="M822" s="15">
        <f>IF(L822&lt;$D$16,$D$13,IF(L822&lt;$E$16,$E$13,$F$13))</f>
        <v/>
      </c>
      <c r="N822" s="15">
        <f>M822-V822</f>
        <v/>
      </c>
      <c r="O822" s="15">
        <f>IF(MOD(L822,$B$11)=0,OFFSET(O822,-$B$11,0)+ $E$2*N822+$E$3*OFFSET(N822,-$B$11,0)+ $E$4*OFFSET(N822,-2* $B$11,0), O821)</f>
        <v/>
      </c>
      <c r="P822" s="15">
        <f>INT((2^$J$12-1)*O822/100)/(2^$J$12-1)*100</f>
        <v/>
      </c>
      <c r="Q822" s="15" t="n">
        <v>0</v>
      </c>
      <c r="R822" s="15">
        <f>P822+Q822</f>
        <v/>
      </c>
      <c r="S822" s="15">
        <f>$I$1*S821-$I$2*S820+$I$3*R801+$I$4*R800</f>
        <v/>
      </c>
      <c r="T822" s="15">
        <f>RAND()*$G$12</f>
        <v/>
      </c>
      <c r="U822" s="15">
        <f>S822+T822</f>
        <v/>
      </c>
      <c r="V822" s="15">
        <f>INT((2^$J$12-1)*U822/100)/(2^$J$12-1)*100</f>
        <v/>
      </c>
      <c r="X822" s="15">
        <f>M822 * 1.05</f>
        <v/>
      </c>
      <c r="Y822" s="15">
        <f>M822 * 0.95</f>
        <v/>
      </c>
      <c r="Z822" s="15">
        <f>IF(AND(V822 &lt;= X822, V822 &gt;= Y822), 1, 0)</f>
        <v/>
      </c>
    </row>
    <row r="823">
      <c r="L823" s="15" t="n">
        <v>821</v>
      </c>
      <c r="M823" s="15">
        <f>IF(L823&lt;$D$16,$D$13,IF(L823&lt;$E$16,$E$13,$F$13))</f>
        <v/>
      </c>
      <c r="N823" s="15">
        <f>M823-V823</f>
        <v/>
      </c>
      <c r="O823" s="15">
        <f>IF(MOD(L823,$B$11)=0,OFFSET(O823,-$B$11,0)+ $E$2*N823+$E$3*OFFSET(N823,-$B$11,0)+ $E$4*OFFSET(N823,-2* $B$11,0), O822)</f>
        <v/>
      </c>
      <c r="P823" s="15">
        <f>INT((2^$J$12-1)*O823/100)/(2^$J$12-1)*100</f>
        <v/>
      </c>
      <c r="Q823" s="15" t="n">
        <v>0</v>
      </c>
      <c r="R823" s="15">
        <f>P823+Q823</f>
        <v/>
      </c>
      <c r="S823" s="15">
        <f>$I$1*S822-$I$2*S821+$I$3*R802+$I$4*R801</f>
        <v/>
      </c>
      <c r="T823" s="15">
        <f>RAND()*$G$12</f>
        <v/>
      </c>
      <c r="U823" s="15">
        <f>S823+T823</f>
        <v/>
      </c>
      <c r="V823" s="15">
        <f>INT((2^$J$12-1)*U823/100)/(2^$J$12-1)*100</f>
        <v/>
      </c>
      <c r="X823" s="15">
        <f>M823 * 1.05</f>
        <v/>
      </c>
      <c r="Y823" s="15">
        <f>M823 * 0.95</f>
        <v/>
      </c>
      <c r="Z823" s="15">
        <f>IF(AND(V823 &lt;= X823, V823 &gt;= Y823), 1, 0)</f>
        <v/>
      </c>
    </row>
    <row r="824">
      <c r="L824" s="15" t="n">
        <v>822</v>
      </c>
      <c r="M824" s="15">
        <f>IF(L824&lt;$D$16,$D$13,IF(L824&lt;$E$16,$E$13,$F$13))</f>
        <v/>
      </c>
      <c r="N824" s="15">
        <f>M824-V824</f>
        <v/>
      </c>
      <c r="O824" s="15">
        <f>IF(MOD(L824,$B$11)=0,OFFSET(O824,-$B$11,0)+ $E$2*N824+$E$3*OFFSET(N824,-$B$11,0)+ $E$4*OFFSET(N824,-2* $B$11,0), O823)</f>
        <v/>
      </c>
      <c r="P824" s="15">
        <f>INT((2^$J$12-1)*O824/100)/(2^$J$12-1)*100</f>
        <v/>
      </c>
      <c r="Q824" s="15" t="n">
        <v>0</v>
      </c>
      <c r="R824" s="15">
        <f>P824+Q824</f>
        <v/>
      </c>
      <c r="S824" s="15">
        <f>$I$1*S823-$I$2*S822+$I$3*R803+$I$4*R802</f>
        <v/>
      </c>
      <c r="T824" s="15">
        <f>RAND()*$G$12</f>
        <v/>
      </c>
      <c r="U824" s="15">
        <f>S824+T824</f>
        <v/>
      </c>
      <c r="V824" s="15">
        <f>INT((2^$J$12-1)*U824/100)/(2^$J$12-1)*100</f>
        <v/>
      </c>
      <c r="X824" s="15">
        <f>M824 * 1.05</f>
        <v/>
      </c>
      <c r="Y824" s="15">
        <f>M824 * 0.95</f>
        <v/>
      </c>
      <c r="Z824" s="15">
        <f>IF(AND(V824 &lt;= X824, V824 &gt;= Y824), 1, 0)</f>
        <v/>
      </c>
    </row>
    <row r="825">
      <c r="L825" s="15" t="n">
        <v>823</v>
      </c>
      <c r="M825" s="15">
        <f>IF(L825&lt;$D$16,$D$13,IF(L825&lt;$E$16,$E$13,$F$13))</f>
        <v/>
      </c>
      <c r="N825" s="15">
        <f>M825-V825</f>
        <v/>
      </c>
      <c r="O825" s="15">
        <f>IF(MOD(L825,$B$11)=0,OFFSET(O825,-$B$11,0)+ $E$2*N825+$E$3*OFFSET(N825,-$B$11,0)+ $E$4*OFFSET(N825,-2* $B$11,0), O824)</f>
        <v/>
      </c>
      <c r="P825" s="15">
        <f>INT((2^$J$12-1)*O825/100)/(2^$J$12-1)*100</f>
        <v/>
      </c>
      <c r="Q825" s="15" t="n">
        <v>0</v>
      </c>
      <c r="R825" s="15">
        <f>P825+Q825</f>
        <v/>
      </c>
      <c r="S825" s="15">
        <f>$I$1*S824-$I$2*S823+$I$3*R804+$I$4*R803</f>
        <v/>
      </c>
      <c r="T825" s="15">
        <f>RAND()*$G$12</f>
        <v/>
      </c>
      <c r="U825" s="15">
        <f>S825+T825</f>
        <v/>
      </c>
      <c r="V825" s="15">
        <f>INT((2^$J$12-1)*U825/100)/(2^$J$12-1)*100</f>
        <v/>
      </c>
      <c r="X825" s="15">
        <f>M825 * 1.05</f>
        <v/>
      </c>
      <c r="Y825" s="15">
        <f>M825 * 0.95</f>
        <v/>
      </c>
      <c r="Z825" s="15">
        <f>IF(AND(V825 &lt;= X825, V825 &gt;= Y825), 1, 0)</f>
        <v/>
      </c>
    </row>
    <row r="826">
      <c r="L826" s="15" t="n">
        <v>824</v>
      </c>
      <c r="M826" s="15">
        <f>IF(L826&lt;$D$16,$D$13,IF(L826&lt;$E$16,$E$13,$F$13))</f>
        <v/>
      </c>
      <c r="N826" s="15">
        <f>M826-V826</f>
        <v/>
      </c>
      <c r="O826" s="15">
        <f>IF(MOD(L826,$B$11)=0,OFFSET(O826,-$B$11,0)+ $E$2*N826+$E$3*OFFSET(N826,-$B$11,0)+ $E$4*OFFSET(N826,-2* $B$11,0), O825)</f>
        <v/>
      </c>
      <c r="P826" s="15">
        <f>INT((2^$J$12-1)*O826/100)/(2^$J$12-1)*100</f>
        <v/>
      </c>
      <c r="Q826" s="15" t="n">
        <v>0</v>
      </c>
      <c r="R826" s="15">
        <f>P826+Q826</f>
        <v/>
      </c>
      <c r="S826" s="15">
        <f>$I$1*S825-$I$2*S824+$I$3*R805+$I$4*R804</f>
        <v/>
      </c>
      <c r="T826" s="15">
        <f>RAND()*$G$12</f>
        <v/>
      </c>
      <c r="U826" s="15">
        <f>S826+T826</f>
        <v/>
      </c>
      <c r="V826" s="15">
        <f>INT((2^$J$12-1)*U826/100)/(2^$J$12-1)*100</f>
        <v/>
      </c>
      <c r="X826" s="15">
        <f>M826 * 1.05</f>
        <v/>
      </c>
      <c r="Y826" s="15">
        <f>M826 * 0.95</f>
        <v/>
      </c>
      <c r="Z826" s="15">
        <f>IF(AND(V826 &lt;= X826, V826 &gt;= Y826), 1, 0)</f>
        <v/>
      </c>
    </row>
    <row r="827">
      <c r="L827" s="15" t="n">
        <v>825</v>
      </c>
      <c r="M827" s="15">
        <f>IF(L827&lt;$D$16,$D$13,IF(L827&lt;$E$16,$E$13,$F$13))</f>
        <v/>
      </c>
      <c r="N827" s="15">
        <f>M827-V827</f>
        <v/>
      </c>
      <c r="O827" s="15">
        <f>IF(MOD(L827,$B$11)=0,OFFSET(O827,-$B$11,0)+ $E$2*N827+$E$3*OFFSET(N827,-$B$11,0)+ $E$4*OFFSET(N827,-2* $B$11,0), O826)</f>
        <v/>
      </c>
      <c r="P827" s="15">
        <f>INT((2^$J$12-1)*O827/100)/(2^$J$12-1)*100</f>
        <v/>
      </c>
      <c r="Q827" s="15" t="n">
        <v>0</v>
      </c>
      <c r="R827" s="15">
        <f>P827+Q827</f>
        <v/>
      </c>
      <c r="S827" s="15">
        <f>$I$1*S826-$I$2*S825+$I$3*R806+$I$4*R805</f>
        <v/>
      </c>
      <c r="T827" s="15">
        <f>RAND()*$G$12</f>
        <v/>
      </c>
      <c r="U827" s="15">
        <f>S827+T827</f>
        <v/>
      </c>
      <c r="V827" s="15">
        <f>INT((2^$J$12-1)*U827/100)/(2^$J$12-1)*100</f>
        <v/>
      </c>
      <c r="X827" s="15">
        <f>M827 * 1.05</f>
        <v/>
      </c>
      <c r="Y827" s="15">
        <f>M827 * 0.95</f>
        <v/>
      </c>
      <c r="Z827" s="15">
        <f>IF(AND(V827 &lt;= X827, V827 &gt;= Y827), 1, 0)</f>
        <v/>
      </c>
    </row>
    <row r="828">
      <c r="L828" s="15" t="n">
        <v>826</v>
      </c>
      <c r="M828" s="15">
        <f>IF(L828&lt;$D$16,$D$13,IF(L828&lt;$E$16,$E$13,$F$13))</f>
        <v/>
      </c>
      <c r="N828" s="15">
        <f>M828-V828</f>
        <v/>
      </c>
      <c r="O828" s="15">
        <f>IF(MOD(L828,$B$11)=0,OFFSET(O828,-$B$11,0)+ $E$2*N828+$E$3*OFFSET(N828,-$B$11,0)+ $E$4*OFFSET(N828,-2* $B$11,0), O827)</f>
        <v/>
      </c>
      <c r="P828" s="15">
        <f>INT((2^$J$12-1)*O828/100)/(2^$J$12-1)*100</f>
        <v/>
      </c>
      <c r="Q828" s="15" t="n">
        <v>0</v>
      </c>
      <c r="R828" s="15">
        <f>P828+Q828</f>
        <v/>
      </c>
      <c r="S828" s="15">
        <f>$I$1*S827-$I$2*S826+$I$3*R807+$I$4*R806</f>
        <v/>
      </c>
      <c r="T828" s="15">
        <f>RAND()*$G$12</f>
        <v/>
      </c>
      <c r="U828" s="15">
        <f>S828+T828</f>
        <v/>
      </c>
      <c r="V828" s="15">
        <f>INT((2^$J$12-1)*U828/100)/(2^$J$12-1)*100</f>
        <v/>
      </c>
      <c r="X828" s="15">
        <f>M828 * 1.05</f>
        <v/>
      </c>
      <c r="Y828" s="15">
        <f>M828 * 0.95</f>
        <v/>
      </c>
      <c r="Z828" s="15">
        <f>IF(AND(V828 &lt;= X828, V828 &gt;= Y828), 1, 0)</f>
        <v/>
      </c>
    </row>
    <row r="829">
      <c r="L829" s="15" t="n">
        <v>827</v>
      </c>
      <c r="M829" s="15">
        <f>IF(L829&lt;$D$16,$D$13,IF(L829&lt;$E$16,$E$13,$F$13))</f>
        <v/>
      </c>
      <c r="N829" s="15">
        <f>M829-V829</f>
        <v/>
      </c>
      <c r="O829" s="15">
        <f>IF(MOD(L829,$B$11)=0,OFFSET(O829,-$B$11,0)+ $E$2*N829+$E$3*OFFSET(N829,-$B$11,0)+ $E$4*OFFSET(N829,-2* $B$11,0), O828)</f>
        <v/>
      </c>
      <c r="P829" s="15">
        <f>INT((2^$J$12-1)*O829/100)/(2^$J$12-1)*100</f>
        <v/>
      </c>
      <c r="Q829" s="15" t="n">
        <v>0</v>
      </c>
      <c r="R829" s="15">
        <f>P829+Q829</f>
        <v/>
      </c>
      <c r="S829" s="15">
        <f>$I$1*S828-$I$2*S827+$I$3*R808+$I$4*R807</f>
        <v/>
      </c>
      <c r="T829" s="15">
        <f>RAND()*$G$12</f>
        <v/>
      </c>
      <c r="U829" s="15">
        <f>S829+T829</f>
        <v/>
      </c>
      <c r="V829" s="15">
        <f>INT((2^$J$12-1)*U829/100)/(2^$J$12-1)*100</f>
        <v/>
      </c>
      <c r="X829" s="15">
        <f>M829 * 1.05</f>
        <v/>
      </c>
      <c r="Y829" s="15">
        <f>M829 * 0.95</f>
        <v/>
      </c>
      <c r="Z829" s="15">
        <f>IF(AND(V829 &lt;= X829, V829 &gt;= Y829), 1, 0)</f>
        <v/>
      </c>
    </row>
    <row r="830">
      <c r="L830" s="15" t="n">
        <v>828</v>
      </c>
      <c r="M830" s="15">
        <f>IF(L830&lt;$D$16,$D$13,IF(L830&lt;$E$16,$E$13,$F$13))</f>
        <v/>
      </c>
      <c r="N830" s="15">
        <f>M830-V830</f>
        <v/>
      </c>
      <c r="O830" s="15">
        <f>IF(MOD(L830,$B$11)=0,OFFSET(O830,-$B$11,0)+ $E$2*N830+$E$3*OFFSET(N830,-$B$11,0)+ $E$4*OFFSET(N830,-2* $B$11,0), O829)</f>
        <v/>
      </c>
      <c r="P830" s="15">
        <f>INT((2^$J$12-1)*O830/100)/(2^$J$12-1)*100</f>
        <v/>
      </c>
      <c r="Q830" s="15" t="n">
        <v>0</v>
      </c>
      <c r="R830" s="15">
        <f>P830+Q830</f>
        <v/>
      </c>
      <c r="S830" s="15">
        <f>$I$1*S829-$I$2*S828+$I$3*R809+$I$4*R808</f>
        <v/>
      </c>
      <c r="T830" s="15">
        <f>RAND()*$G$12</f>
        <v/>
      </c>
      <c r="U830" s="15">
        <f>S830+T830</f>
        <v/>
      </c>
      <c r="V830" s="15">
        <f>INT((2^$J$12-1)*U830/100)/(2^$J$12-1)*100</f>
        <v/>
      </c>
      <c r="X830" s="15">
        <f>M830 * 1.05</f>
        <v/>
      </c>
      <c r="Y830" s="15">
        <f>M830 * 0.95</f>
        <v/>
      </c>
      <c r="Z830" s="15">
        <f>IF(AND(V830 &lt;= X830, V830 &gt;= Y830), 1, 0)</f>
        <v/>
      </c>
    </row>
    <row r="831">
      <c r="L831" s="15" t="n">
        <v>829</v>
      </c>
      <c r="M831" s="15">
        <f>IF(L831&lt;$D$16,$D$13,IF(L831&lt;$E$16,$E$13,$F$13))</f>
        <v/>
      </c>
      <c r="N831" s="15">
        <f>M831-V831</f>
        <v/>
      </c>
      <c r="O831" s="15">
        <f>IF(MOD(L831,$B$11)=0,OFFSET(O831,-$B$11,0)+ $E$2*N831+$E$3*OFFSET(N831,-$B$11,0)+ $E$4*OFFSET(N831,-2* $B$11,0), O830)</f>
        <v/>
      </c>
      <c r="P831" s="15">
        <f>INT((2^$J$12-1)*O831/100)/(2^$J$12-1)*100</f>
        <v/>
      </c>
      <c r="Q831" s="15" t="n">
        <v>0</v>
      </c>
      <c r="R831" s="15">
        <f>P831+Q831</f>
        <v/>
      </c>
      <c r="S831" s="15">
        <f>$I$1*S830-$I$2*S829+$I$3*R810+$I$4*R809</f>
        <v/>
      </c>
      <c r="T831" s="15">
        <f>RAND()*$G$12</f>
        <v/>
      </c>
      <c r="U831" s="15">
        <f>S831+T831</f>
        <v/>
      </c>
      <c r="V831" s="15">
        <f>INT((2^$J$12-1)*U831/100)/(2^$J$12-1)*100</f>
        <v/>
      </c>
      <c r="X831" s="15">
        <f>M831 * 1.05</f>
        <v/>
      </c>
      <c r="Y831" s="15">
        <f>M831 * 0.95</f>
        <v/>
      </c>
      <c r="Z831" s="15">
        <f>IF(AND(V831 &lt;= X831, V831 &gt;= Y831), 1, 0)</f>
        <v/>
      </c>
    </row>
    <row r="832">
      <c r="L832" s="15" t="n">
        <v>830</v>
      </c>
      <c r="M832" s="15">
        <f>IF(L832&lt;$D$16,$D$13,IF(L832&lt;$E$16,$E$13,$F$13))</f>
        <v/>
      </c>
      <c r="N832" s="15">
        <f>M832-V832</f>
        <v/>
      </c>
      <c r="O832" s="15">
        <f>IF(MOD(L832,$B$11)=0,OFFSET(O832,-$B$11,0)+ $E$2*N832+$E$3*OFFSET(N832,-$B$11,0)+ $E$4*OFFSET(N832,-2* $B$11,0), O831)</f>
        <v/>
      </c>
      <c r="P832" s="15">
        <f>INT((2^$J$12-1)*O832/100)/(2^$J$12-1)*100</f>
        <v/>
      </c>
      <c r="Q832" s="15" t="n">
        <v>0</v>
      </c>
      <c r="R832" s="15">
        <f>P832+Q832</f>
        <v/>
      </c>
      <c r="S832" s="15">
        <f>$I$1*S831-$I$2*S830+$I$3*R811+$I$4*R810</f>
        <v/>
      </c>
      <c r="T832" s="15">
        <f>RAND()*$G$12</f>
        <v/>
      </c>
      <c r="U832" s="15">
        <f>S832+T832</f>
        <v/>
      </c>
      <c r="V832" s="15">
        <f>INT((2^$J$12-1)*U832/100)/(2^$J$12-1)*100</f>
        <v/>
      </c>
      <c r="X832" s="15">
        <f>M832 * 1.05</f>
        <v/>
      </c>
      <c r="Y832" s="15">
        <f>M832 * 0.95</f>
        <v/>
      </c>
      <c r="Z832" s="15">
        <f>IF(AND(V832 &lt;= X832, V832 &gt;= Y832), 1, 0)</f>
        <v/>
      </c>
    </row>
    <row r="833">
      <c r="L833" s="15" t="n">
        <v>831</v>
      </c>
      <c r="M833" s="15">
        <f>IF(L833&lt;$D$16,$D$13,IF(L833&lt;$E$16,$E$13,$F$13))</f>
        <v/>
      </c>
      <c r="N833" s="15">
        <f>M833-V833</f>
        <v/>
      </c>
      <c r="O833" s="15">
        <f>IF(MOD(L833,$B$11)=0,OFFSET(O833,-$B$11,0)+ $E$2*N833+$E$3*OFFSET(N833,-$B$11,0)+ $E$4*OFFSET(N833,-2* $B$11,0), O832)</f>
        <v/>
      </c>
      <c r="P833" s="15">
        <f>INT((2^$J$12-1)*O833/100)/(2^$J$12-1)*100</f>
        <v/>
      </c>
      <c r="Q833" s="15" t="n">
        <v>0</v>
      </c>
      <c r="R833" s="15">
        <f>P833+Q833</f>
        <v/>
      </c>
      <c r="S833" s="15">
        <f>$I$1*S832-$I$2*S831+$I$3*R812+$I$4*R811</f>
        <v/>
      </c>
      <c r="T833" s="15">
        <f>RAND()*$G$12</f>
        <v/>
      </c>
      <c r="U833" s="15">
        <f>S833+T833</f>
        <v/>
      </c>
      <c r="V833" s="15">
        <f>INT((2^$J$12-1)*U833/100)/(2^$J$12-1)*100</f>
        <v/>
      </c>
      <c r="X833" s="15">
        <f>M833 * 1.05</f>
        <v/>
      </c>
      <c r="Y833" s="15">
        <f>M833 * 0.95</f>
        <v/>
      </c>
      <c r="Z833" s="15">
        <f>IF(AND(V833 &lt;= X833, V833 &gt;= Y833), 1, 0)</f>
        <v/>
      </c>
    </row>
    <row r="834">
      <c r="L834" s="15" t="n">
        <v>832</v>
      </c>
      <c r="M834" s="15">
        <f>IF(L834&lt;$D$16,$D$13,IF(L834&lt;$E$16,$E$13,$F$13))</f>
        <v/>
      </c>
      <c r="N834" s="15">
        <f>M834-V834</f>
        <v/>
      </c>
      <c r="O834" s="15">
        <f>IF(MOD(L834,$B$11)=0,OFFSET(O834,-$B$11,0)+ $E$2*N834+$E$3*OFFSET(N834,-$B$11,0)+ $E$4*OFFSET(N834,-2* $B$11,0), O833)</f>
        <v/>
      </c>
      <c r="P834" s="15">
        <f>INT((2^$J$12-1)*O834/100)/(2^$J$12-1)*100</f>
        <v/>
      </c>
      <c r="Q834" s="15" t="n">
        <v>0</v>
      </c>
      <c r="R834" s="15">
        <f>P834+Q834</f>
        <v/>
      </c>
      <c r="S834" s="15">
        <f>$I$1*S833-$I$2*S832+$I$3*R813+$I$4*R812</f>
        <v/>
      </c>
      <c r="T834" s="15">
        <f>RAND()*$G$12</f>
        <v/>
      </c>
      <c r="U834" s="15">
        <f>S834+T834</f>
        <v/>
      </c>
      <c r="V834" s="15">
        <f>INT((2^$J$12-1)*U834/100)/(2^$J$12-1)*100</f>
        <v/>
      </c>
      <c r="X834" s="15">
        <f>M834 * 1.05</f>
        <v/>
      </c>
      <c r="Y834" s="15">
        <f>M834 * 0.95</f>
        <v/>
      </c>
      <c r="Z834" s="15">
        <f>IF(AND(V834 &lt;= X834, V834 &gt;= Y834), 1, 0)</f>
        <v/>
      </c>
    </row>
    <row r="835">
      <c r="L835" s="15" t="n">
        <v>833</v>
      </c>
      <c r="M835" s="15">
        <f>IF(L835&lt;$D$16,$D$13,IF(L835&lt;$E$16,$E$13,$F$13))</f>
        <v/>
      </c>
      <c r="N835" s="15">
        <f>M835-V835</f>
        <v/>
      </c>
      <c r="O835" s="15">
        <f>IF(MOD(L835,$B$11)=0,OFFSET(O835,-$B$11,0)+ $E$2*N835+$E$3*OFFSET(N835,-$B$11,0)+ $E$4*OFFSET(N835,-2* $B$11,0), O834)</f>
        <v/>
      </c>
      <c r="P835" s="15">
        <f>INT((2^$J$12-1)*O835/100)/(2^$J$12-1)*100</f>
        <v/>
      </c>
      <c r="Q835" s="15" t="n">
        <v>0</v>
      </c>
      <c r="R835" s="15">
        <f>P835+Q835</f>
        <v/>
      </c>
      <c r="S835" s="15">
        <f>$I$1*S834-$I$2*S833+$I$3*R814+$I$4*R813</f>
        <v/>
      </c>
      <c r="T835" s="15">
        <f>RAND()*$G$12</f>
        <v/>
      </c>
      <c r="U835" s="15">
        <f>S835+T835</f>
        <v/>
      </c>
      <c r="V835" s="15">
        <f>INT((2^$J$12-1)*U835/100)/(2^$J$12-1)*100</f>
        <v/>
      </c>
      <c r="X835" s="15">
        <f>M835 * 1.05</f>
        <v/>
      </c>
      <c r="Y835" s="15">
        <f>M835 * 0.95</f>
        <v/>
      </c>
      <c r="Z835" s="15">
        <f>IF(AND(V835 &lt;= X835, V835 &gt;= Y835), 1, 0)</f>
        <v/>
      </c>
    </row>
    <row r="836">
      <c r="L836" s="15" t="n">
        <v>834</v>
      </c>
      <c r="M836" s="15">
        <f>IF(L836&lt;$D$16,$D$13,IF(L836&lt;$E$16,$E$13,$F$13))</f>
        <v/>
      </c>
      <c r="N836" s="15">
        <f>M836-V836</f>
        <v/>
      </c>
      <c r="O836" s="15">
        <f>IF(MOD(L836,$B$11)=0,OFFSET(O836,-$B$11,0)+ $E$2*N836+$E$3*OFFSET(N836,-$B$11,0)+ $E$4*OFFSET(N836,-2* $B$11,0), O835)</f>
        <v/>
      </c>
      <c r="P836" s="15">
        <f>INT((2^$J$12-1)*O836/100)/(2^$J$12-1)*100</f>
        <v/>
      </c>
      <c r="Q836" s="15" t="n">
        <v>0</v>
      </c>
      <c r="R836" s="15">
        <f>P836+Q836</f>
        <v/>
      </c>
      <c r="S836" s="15">
        <f>$I$1*S835-$I$2*S834+$I$3*R815+$I$4*R814</f>
        <v/>
      </c>
      <c r="T836" s="15">
        <f>RAND()*$G$12</f>
        <v/>
      </c>
      <c r="U836" s="15">
        <f>S836+T836</f>
        <v/>
      </c>
      <c r="V836" s="15">
        <f>INT((2^$J$12-1)*U836/100)/(2^$J$12-1)*100</f>
        <v/>
      </c>
      <c r="X836" s="15">
        <f>M836 * 1.05</f>
        <v/>
      </c>
      <c r="Y836" s="15">
        <f>M836 * 0.95</f>
        <v/>
      </c>
      <c r="Z836" s="15">
        <f>IF(AND(V836 &lt;= X836, V836 &gt;= Y836), 1, 0)</f>
        <v/>
      </c>
    </row>
    <row r="837">
      <c r="L837" s="15" t="n">
        <v>835</v>
      </c>
      <c r="M837" s="15">
        <f>IF(L837&lt;$D$16,$D$13,IF(L837&lt;$E$16,$E$13,$F$13))</f>
        <v/>
      </c>
      <c r="N837" s="15">
        <f>M837-V837</f>
        <v/>
      </c>
      <c r="O837" s="15">
        <f>IF(MOD(L837,$B$11)=0,OFFSET(O837,-$B$11,0)+ $E$2*N837+$E$3*OFFSET(N837,-$B$11,0)+ $E$4*OFFSET(N837,-2* $B$11,0), O836)</f>
        <v/>
      </c>
      <c r="P837" s="15">
        <f>INT((2^$J$12-1)*O837/100)/(2^$J$12-1)*100</f>
        <v/>
      </c>
      <c r="Q837" s="15" t="n">
        <v>0</v>
      </c>
      <c r="R837" s="15">
        <f>P837+Q837</f>
        <v/>
      </c>
      <c r="S837" s="15">
        <f>$I$1*S836-$I$2*S835+$I$3*R816+$I$4*R815</f>
        <v/>
      </c>
      <c r="T837" s="15">
        <f>RAND()*$G$12</f>
        <v/>
      </c>
      <c r="U837" s="15">
        <f>S837+T837</f>
        <v/>
      </c>
      <c r="V837" s="15">
        <f>INT((2^$J$12-1)*U837/100)/(2^$J$12-1)*100</f>
        <v/>
      </c>
      <c r="X837" s="15">
        <f>M837 * 1.05</f>
        <v/>
      </c>
      <c r="Y837" s="15">
        <f>M837 * 0.95</f>
        <v/>
      </c>
      <c r="Z837" s="15">
        <f>IF(AND(V837 &lt;= X837, V837 &gt;= Y837), 1, 0)</f>
        <v/>
      </c>
    </row>
    <row r="838">
      <c r="L838" s="15" t="n">
        <v>836</v>
      </c>
      <c r="M838" s="15">
        <f>IF(L838&lt;$D$16,$D$13,IF(L838&lt;$E$16,$E$13,$F$13))</f>
        <v/>
      </c>
      <c r="N838" s="15">
        <f>M838-V838</f>
        <v/>
      </c>
      <c r="O838" s="15">
        <f>IF(MOD(L838,$B$11)=0,OFFSET(O838,-$B$11,0)+ $E$2*N838+$E$3*OFFSET(N838,-$B$11,0)+ $E$4*OFFSET(N838,-2* $B$11,0), O837)</f>
        <v/>
      </c>
      <c r="P838" s="15">
        <f>INT((2^$J$12-1)*O838/100)/(2^$J$12-1)*100</f>
        <v/>
      </c>
      <c r="Q838" s="15" t="n">
        <v>0</v>
      </c>
      <c r="R838" s="15">
        <f>P838+Q838</f>
        <v/>
      </c>
      <c r="S838" s="15">
        <f>$I$1*S837-$I$2*S836+$I$3*R817+$I$4*R816</f>
        <v/>
      </c>
      <c r="T838" s="15">
        <f>RAND()*$G$12</f>
        <v/>
      </c>
      <c r="U838" s="15">
        <f>S838+T838</f>
        <v/>
      </c>
      <c r="V838" s="15">
        <f>INT((2^$J$12-1)*U838/100)/(2^$J$12-1)*100</f>
        <v/>
      </c>
      <c r="X838" s="15">
        <f>M838 * 1.05</f>
        <v/>
      </c>
      <c r="Y838" s="15">
        <f>M838 * 0.95</f>
        <v/>
      </c>
      <c r="Z838" s="15">
        <f>IF(AND(V838 &lt;= X838, V838 &gt;= Y838), 1, 0)</f>
        <v/>
      </c>
    </row>
    <row r="839">
      <c r="L839" s="15" t="n">
        <v>837</v>
      </c>
      <c r="M839" s="15">
        <f>IF(L839&lt;$D$16,$D$13,IF(L839&lt;$E$16,$E$13,$F$13))</f>
        <v/>
      </c>
      <c r="N839" s="15">
        <f>M839-V839</f>
        <v/>
      </c>
      <c r="O839" s="15">
        <f>IF(MOD(L839,$B$11)=0,OFFSET(O839,-$B$11,0)+ $E$2*N839+$E$3*OFFSET(N839,-$B$11,0)+ $E$4*OFFSET(N839,-2* $B$11,0), O838)</f>
        <v/>
      </c>
      <c r="P839" s="15">
        <f>INT((2^$J$12-1)*O839/100)/(2^$J$12-1)*100</f>
        <v/>
      </c>
      <c r="Q839" s="15" t="n">
        <v>0</v>
      </c>
      <c r="R839" s="15">
        <f>P839+Q839</f>
        <v/>
      </c>
      <c r="S839" s="15">
        <f>$I$1*S838-$I$2*S837+$I$3*R818+$I$4*R817</f>
        <v/>
      </c>
      <c r="T839" s="15">
        <f>RAND()*$G$12</f>
        <v/>
      </c>
      <c r="U839" s="15">
        <f>S839+T839</f>
        <v/>
      </c>
      <c r="V839" s="15">
        <f>INT((2^$J$12-1)*U839/100)/(2^$J$12-1)*100</f>
        <v/>
      </c>
      <c r="X839" s="15">
        <f>M839 * 1.05</f>
        <v/>
      </c>
      <c r="Y839" s="15">
        <f>M839 * 0.95</f>
        <v/>
      </c>
      <c r="Z839" s="15">
        <f>IF(AND(V839 &lt;= X839, V839 &gt;= Y839), 1, 0)</f>
        <v/>
      </c>
    </row>
    <row r="840">
      <c r="L840" s="15" t="n">
        <v>838</v>
      </c>
      <c r="M840" s="15">
        <f>IF(L840&lt;$D$16,$D$13,IF(L840&lt;$E$16,$E$13,$F$13))</f>
        <v/>
      </c>
      <c r="N840" s="15">
        <f>M840-V840</f>
        <v/>
      </c>
      <c r="O840" s="15">
        <f>IF(MOD(L840,$B$11)=0,OFFSET(O840,-$B$11,0)+ $E$2*N840+$E$3*OFFSET(N840,-$B$11,0)+ $E$4*OFFSET(N840,-2* $B$11,0), O839)</f>
        <v/>
      </c>
      <c r="P840" s="15">
        <f>INT((2^$J$12-1)*O840/100)/(2^$J$12-1)*100</f>
        <v/>
      </c>
      <c r="Q840" s="15" t="n">
        <v>0</v>
      </c>
      <c r="R840" s="15">
        <f>P840+Q840</f>
        <v/>
      </c>
      <c r="S840" s="15">
        <f>$I$1*S839-$I$2*S838+$I$3*R819+$I$4*R818</f>
        <v/>
      </c>
      <c r="T840" s="15">
        <f>RAND()*$G$12</f>
        <v/>
      </c>
      <c r="U840" s="15">
        <f>S840+T840</f>
        <v/>
      </c>
      <c r="V840" s="15">
        <f>INT((2^$J$12-1)*U840/100)/(2^$J$12-1)*100</f>
        <v/>
      </c>
      <c r="X840" s="15">
        <f>M840 * 1.05</f>
        <v/>
      </c>
      <c r="Y840" s="15">
        <f>M840 * 0.95</f>
        <v/>
      </c>
      <c r="Z840" s="15">
        <f>IF(AND(V840 &lt;= X840, V840 &gt;= Y840), 1, 0)</f>
        <v/>
      </c>
    </row>
    <row r="841">
      <c r="L841" s="15" t="n">
        <v>839</v>
      </c>
      <c r="M841" s="15">
        <f>IF(L841&lt;$D$16,$D$13,IF(L841&lt;$E$16,$E$13,$F$13))</f>
        <v/>
      </c>
      <c r="N841" s="15">
        <f>M841-V841</f>
        <v/>
      </c>
      <c r="O841" s="15">
        <f>IF(MOD(L841,$B$11)=0,OFFSET(O841,-$B$11,0)+ $E$2*N841+$E$3*OFFSET(N841,-$B$11,0)+ $E$4*OFFSET(N841,-2* $B$11,0), O840)</f>
        <v/>
      </c>
      <c r="P841" s="15">
        <f>INT((2^$J$12-1)*O841/100)/(2^$J$12-1)*100</f>
        <v/>
      </c>
      <c r="Q841" s="15" t="n">
        <v>0</v>
      </c>
      <c r="R841" s="15">
        <f>P841+Q841</f>
        <v/>
      </c>
      <c r="S841" s="15">
        <f>$I$1*S840-$I$2*S839+$I$3*R820+$I$4*R819</f>
        <v/>
      </c>
      <c r="T841" s="15">
        <f>RAND()*$G$12</f>
        <v/>
      </c>
      <c r="U841" s="15">
        <f>S841+T841</f>
        <v/>
      </c>
      <c r="V841" s="15">
        <f>INT((2^$J$12-1)*U841/100)/(2^$J$12-1)*100</f>
        <v/>
      </c>
      <c r="X841" s="15">
        <f>M841 * 1.05</f>
        <v/>
      </c>
      <c r="Y841" s="15">
        <f>M841 * 0.95</f>
        <v/>
      </c>
      <c r="Z841" s="15">
        <f>IF(AND(V841 &lt;= X841, V841 &gt;= Y841), 1, 0)</f>
        <v/>
      </c>
    </row>
    <row r="842">
      <c r="L842" s="15" t="n">
        <v>840</v>
      </c>
      <c r="M842" s="15">
        <f>IF(L842&lt;$D$16,$D$13,IF(L842&lt;$E$16,$E$13,$F$13))</f>
        <v/>
      </c>
      <c r="N842" s="15">
        <f>M842-V842</f>
        <v/>
      </c>
      <c r="O842" s="15">
        <f>IF(MOD(L842,$B$11)=0,OFFSET(O842,-$B$11,0)+ $E$2*N842+$E$3*OFFSET(N842,-$B$11,0)+ $E$4*OFFSET(N842,-2* $B$11,0), O841)</f>
        <v/>
      </c>
      <c r="P842" s="15">
        <f>INT((2^$J$12-1)*O842/100)/(2^$J$12-1)*100</f>
        <v/>
      </c>
      <c r="Q842" s="15" t="n">
        <v>0</v>
      </c>
      <c r="R842" s="15">
        <f>P842+Q842</f>
        <v/>
      </c>
      <c r="S842" s="15">
        <f>$I$1*S841-$I$2*S840+$I$3*R821+$I$4*R820</f>
        <v/>
      </c>
      <c r="T842" s="15">
        <f>RAND()*$G$12</f>
        <v/>
      </c>
      <c r="U842" s="15">
        <f>S842+T842</f>
        <v/>
      </c>
      <c r="V842" s="15">
        <f>INT((2^$J$12-1)*U842/100)/(2^$J$12-1)*100</f>
        <v/>
      </c>
      <c r="X842" s="15">
        <f>M842 * 1.05</f>
        <v/>
      </c>
      <c r="Y842" s="15">
        <f>M842 * 0.95</f>
        <v/>
      </c>
      <c r="Z842" s="15">
        <f>IF(AND(V842 &lt;= X842, V842 &gt;= Y842), 1, 0)</f>
        <v/>
      </c>
    </row>
    <row r="843">
      <c r="L843" s="15" t="n">
        <v>841</v>
      </c>
      <c r="M843" s="15">
        <f>IF(L843&lt;$D$16,$D$13,IF(L843&lt;$E$16,$E$13,$F$13))</f>
        <v/>
      </c>
      <c r="N843" s="15">
        <f>M843-V843</f>
        <v/>
      </c>
      <c r="O843" s="15">
        <f>IF(MOD(L843,$B$11)=0,OFFSET(O843,-$B$11,0)+ $E$2*N843+$E$3*OFFSET(N843,-$B$11,0)+ $E$4*OFFSET(N843,-2* $B$11,0), O842)</f>
        <v/>
      </c>
      <c r="P843" s="15">
        <f>INT((2^$J$12-1)*O843/100)/(2^$J$12-1)*100</f>
        <v/>
      </c>
      <c r="Q843" s="15" t="n">
        <v>0</v>
      </c>
      <c r="R843" s="15">
        <f>P843+Q843</f>
        <v/>
      </c>
      <c r="S843" s="15">
        <f>$I$1*S842-$I$2*S841+$I$3*R822+$I$4*R821</f>
        <v/>
      </c>
      <c r="T843" s="15">
        <f>RAND()*$G$12</f>
        <v/>
      </c>
      <c r="U843" s="15">
        <f>S843+T843</f>
        <v/>
      </c>
      <c r="V843" s="15">
        <f>INT((2^$J$12-1)*U843/100)/(2^$J$12-1)*100</f>
        <v/>
      </c>
      <c r="X843" s="15">
        <f>M843 * 1.05</f>
        <v/>
      </c>
      <c r="Y843" s="15">
        <f>M843 * 0.95</f>
        <v/>
      </c>
      <c r="Z843" s="15">
        <f>IF(AND(V843 &lt;= X843, V843 &gt;= Y843), 1, 0)</f>
        <v/>
      </c>
    </row>
    <row r="844">
      <c r="L844" s="15" t="n">
        <v>842</v>
      </c>
      <c r="M844" s="15">
        <f>IF(L844&lt;$D$16,$D$13,IF(L844&lt;$E$16,$E$13,$F$13))</f>
        <v/>
      </c>
      <c r="N844" s="15">
        <f>M844-V844</f>
        <v/>
      </c>
      <c r="O844" s="15">
        <f>IF(MOD(L844,$B$11)=0,OFFSET(O844,-$B$11,0)+ $E$2*N844+$E$3*OFFSET(N844,-$B$11,0)+ $E$4*OFFSET(N844,-2* $B$11,0), O843)</f>
        <v/>
      </c>
      <c r="P844" s="15">
        <f>INT((2^$J$12-1)*O844/100)/(2^$J$12-1)*100</f>
        <v/>
      </c>
      <c r="Q844" s="15" t="n">
        <v>0</v>
      </c>
      <c r="R844" s="15">
        <f>P844+Q844</f>
        <v/>
      </c>
      <c r="S844" s="15">
        <f>$I$1*S843-$I$2*S842+$I$3*R823+$I$4*R822</f>
        <v/>
      </c>
      <c r="T844" s="15">
        <f>RAND()*$G$12</f>
        <v/>
      </c>
      <c r="U844" s="15">
        <f>S844+T844</f>
        <v/>
      </c>
      <c r="V844" s="15">
        <f>INT((2^$J$12-1)*U844/100)/(2^$J$12-1)*100</f>
        <v/>
      </c>
      <c r="X844" s="15">
        <f>M844 * 1.05</f>
        <v/>
      </c>
      <c r="Y844" s="15">
        <f>M844 * 0.95</f>
        <v/>
      </c>
      <c r="Z844" s="15">
        <f>IF(AND(V844 &lt;= X844, V844 &gt;= Y844), 1, 0)</f>
        <v/>
      </c>
    </row>
    <row r="845">
      <c r="L845" s="15" t="n">
        <v>843</v>
      </c>
      <c r="M845" s="15">
        <f>IF(L845&lt;$D$16,$D$13,IF(L845&lt;$E$16,$E$13,$F$13))</f>
        <v/>
      </c>
      <c r="N845" s="15">
        <f>M845-V845</f>
        <v/>
      </c>
      <c r="O845" s="15">
        <f>IF(MOD(L845,$B$11)=0,OFFSET(O845,-$B$11,0)+ $E$2*N845+$E$3*OFFSET(N845,-$B$11,0)+ $E$4*OFFSET(N845,-2* $B$11,0), O844)</f>
        <v/>
      </c>
      <c r="P845" s="15">
        <f>INT((2^$J$12-1)*O845/100)/(2^$J$12-1)*100</f>
        <v/>
      </c>
      <c r="Q845" s="15" t="n">
        <v>0</v>
      </c>
      <c r="R845" s="15">
        <f>P845+Q845</f>
        <v/>
      </c>
      <c r="S845" s="15">
        <f>$I$1*S844-$I$2*S843+$I$3*R824+$I$4*R823</f>
        <v/>
      </c>
      <c r="T845" s="15">
        <f>RAND()*$G$12</f>
        <v/>
      </c>
      <c r="U845" s="15">
        <f>S845+T845</f>
        <v/>
      </c>
      <c r="V845" s="15">
        <f>INT((2^$J$12-1)*U845/100)/(2^$J$12-1)*100</f>
        <v/>
      </c>
      <c r="X845" s="15">
        <f>M845 * 1.05</f>
        <v/>
      </c>
      <c r="Y845" s="15">
        <f>M845 * 0.95</f>
        <v/>
      </c>
      <c r="Z845" s="15">
        <f>IF(AND(V845 &lt;= X845, V845 &gt;= Y845), 1, 0)</f>
        <v/>
      </c>
    </row>
    <row r="846">
      <c r="L846" s="15" t="n">
        <v>844</v>
      </c>
      <c r="M846" s="15">
        <f>IF(L846&lt;$D$16,$D$13,IF(L846&lt;$E$16,$E$13,$F$13))</f>
        <v/>
      </c>
      <c r="N846" s="15">
        <f>M846-V846</f>
        <v/>
      </c>
      <c r="O846" s="15">
        <f>IF(MOD(L846,$B$11)=0,OFFSET(O846,-$B$11,0)+ $E$2*N846+$E$3*OFFSET(N846,-$B$11,0)+ $E$4*OFFSET(N846,-2* $B$11,0), O845)</f>
        <v/>
      </c>
      <c r="P846" s="15">
        <f>INT((2^$J$12-1)*O846/100)/(2^$J$12-1)*100</f>
        <v/>
      </c>
      <c r="Q846" s="15" t="n">
        <v>0</v>
      </c>
      <c r="R846" s="15">
        <f>P846+Q846</f>
        <v/>
      </c>
      <c r="S846" s="15">
        <f>$I$1*S845-$I$2*S844+$I$3*R825+$I$4*R824</f>
        <v/>
      </c>
      <c r="T846" s="15">
        <f>RAND()*$G$12</f>
        <v/>
      </c>
      <c r="U846" s="15">
        <f>S846+T846</f>
        <v/>
      </c>
      <c r="V846" s="15">
        <f>INT((2^$J$12-1)*U846/100)/(2^$J$12-1)*100</f>
        <v/>
      </c>
      <c r="X846" s="15">
        <f>M846 * 1.05</f>
        <v/>
      </c>
      <c r="Y846" s="15">
        <f>M846 * 0.95</f>
        <v/>
      </c>
      <c r="Z846" s="15">
        <f>IF(AND(V846 &lt;= X846, V846 &gt;= Y846), 1, 0)</f>
        <v/>
      </c>
    </row>
    <row r="847">
      <c r="L847" s="15" t="n">
        <v>845</v>
      </c>
      <c r="M847" s="15">
        <f>IF(L847&lt;$D$16,$D$13,IF(L847&lt;$E$16,$E$13,$F$13))</f>
        <v/>
      </c>
      <c r="N847" s="15">
        <f>M847-V847</f>
        <v/>
      </c>
      <c r="O847" s="15">
        <f>IF(MOD(L847,$B$11)=0,OFFSET(O847,-$B$11,0)+ $E$2*N847+$E$3*OFFSET(N847,-$B$11,0)+ $E$4*OFFSET(N847,-2* $B$11,0), O846)</f>
        <v/>
      </c>
      <c r="P847" s="15">
        <f>INT((2^$J$12-1)*O847/100)/(2^$J$12-1)*100</f>
        <v/>
      </c>
      <c r="Q847" s="15" t="n">
        <v>0</v>
      </c>
      <c r="R847" s="15">
        <f>P847+Q847</f>
        <v/>
      </c>
      <c r="S847" s="15">
        <f>$I$1*S846-$I$2*S845+$I$3*R826+$I$4*R825</f>
        <v/>
      </c>
      <c r="T847" s="15">
        <f>RAND()*$G$12</f>
        <v/>
      </c>
      <c r="U847" s="15">
        <f>S847+T847</f>
        <v/>
      </c>
      <c r="V847" s="15">
        <f>INT((2^$J$12-1)*U847/100)/(2^$J$12-1)*100</f>
        <v/>
      </c>
      <c r="X847" s="15">
        <f>M847 * 1.05</f>
        <v/>
      </c>
      <c r="Y847" s="15">
        <f>M847 * 0.95</f>
        <v/>
      </c>
      <c r="Z847" s="15">
        <f>IF(AND(V847 &lt;= X847, V847 &gt;= Y847), 1, 0)</f>
        <v/>
      </c>
    </row>
    <row r="848">
      <c r="L848" s="15" t="n">
        <v>846</v>
      </c>
      <c r="M848" s="15">
        <f>IF(L848&lt;$D$16,$D$13,IF(L848&lt;$E$16,$E$13,$F$13))</f>
        <v/>
      </c>
      <c r="N848" s="15">
        <f>M848-V848</f>
        <v/>
      </c>
      <c r="O848" s="15">
        <f>IF(MOD(L848,$B$11)=0,OFFSET(O848,-$B$11,0)+ $E$2*N848+$E$3*OFFSET(N848,-$B$11,0)+ $E$4*OFFSET(N848,-2* $B$11,0), O847)</f>
        <v/>
      </c>
      <c r="P848" s="15">
        <f>INT((2^$J$12-1)*O848/100)/(2^$J$12-1)*100</f>
        <v/>
      </c>
      <c r="Q848" s="15" t="n">
        <v>0</v>
      </c>
      <c r="R848" s="15">
        <f>P848+Q848</f>
        <v/>
      </c>
      <c r="S848" s="15">
        <f>$I$1*S847-$I$2*S846+$I$3*R827+$I$4*R826</f>
        <v/>
      </c>
      <c r="T848" s="15">
        <f>RAND()*$G$12</f>
        <v/>
      </c>
      <c r="U848" s="15">
        <f>S848+T848</f>
        <v/>
      </c>
      <c r="V848" s="15">
        <f>INT((2^$J$12-1)*U848/100)/(2^$J$12-1)*100</f>
        <v/>
      </c>
      <c r="X848" s="15">
        <f>M848 * 1.05</f>
        <v/>
      </c>
      <c r="Y848" s="15">
        <f>M848 * 0.95</f>
        <v/>
      </c>
      <c r="Z848" s="15">
        <f>IF(AND(V848 &lt;= X848, V848 &gt;= Y848), 1, 0)</f>
        <v/>
      </c>
    </row>
    <row r="849">
      <c r="L849" s="15" t="n">
        <v>847</v>
      </c>
      <c r="M849" s="15">
        <f>IF(L849&lt;$D$16,$D$13,IF(L849&lt;$E$16,$E$13,$F$13))</f>
        <v/>
      </c>
      <c r="N849" s="15">
        <f>M849-V849</f>
        <v/>
      </c>
      <c r="O849" s="15">
        <f>IF(MOD(L849,$B$11)=0,OFFSET(O849,-$B$11,0)+ $E$2*N849+$E$3*OFFSET(N849,-$B$11,0)+ $E$4*OFFSET(N849,-2* $B$11,0), O848)</f>
        <v/>
      </c>
      <c r="P849" s="15">
        <f>INT((2^$J$12-1)*O849/100)/(2^$J$12-1)*100</f>
        <v/>
      </c>
      <c r="Q849" s="15" t="n">
        <v>0</v>
      </c>
      <c r="R849" s="15">
        <f>P849+Q849</f>
        <v/>
      </c>
      <c r="S849" s="15">
        <f>$I$1*S848-$I$2*S847+$I$3*R828+$I$4*R827</f>
        <v/>
      </c>
      <c r="T849" s="15">
        <f>RAND()*$G$12</f>
        <v/>
      </c>
      <c r="U849" s="15">
        <f>S849+T849</f>
        <v/>
      </c>
      <c r="V849" s="15">
        <f>INT((2^$J$12-1)*U849/100)/(2^$J$12-1)*100</f>
        <v/>
      </c>
      <c r="X849" s="15">
        <f>M849 * 1.05</f>
        <v/>
      </c>
      <c r="Y849" s="15">
        <f>M849 * 0.95</f>
        <v/>
      </c>
      <c r="Z849" s="15">
        <f>IF(AND(V849 &lt;= X849, V849 &gt;= Y849), 1, 0)</f>
        <v/>
      </c>
    </row>
    <row r="850">
      <c r="L850" s="15" t="n">
        <v>848</v>
      </c>
      <c r="M850" s="15">
        <f>IF(L850&lt;$D$16,$D$13,IF(L850&lt;$E$16,$E$13,$F$13))</f>
        <v/>
      </c>
      <c r="N850" s="15">
        <f>M850-V850</f>
        <v/>
      </c>
      <c r="O850" s="15">
        <f>IF(MOD(L850,$B$11)=0,OFFSET(O850,-$B$11,0)+ $E$2*N850+$E$3*OFFSET(N850,-$B$11,0)+ $E$4*OFFSET(N850,-2* $B$11,0), O849)</f>
        <v/>
      </c>
      <c r="P850" s="15">
        <f>INT((2^$J$12-1)*O850/100)/(2^$J$12-1)*100</f>
        <v/>
      </c>
      <c r="Q850" s="15" t="n">
        <v>0</v>
      </c>
      <c r="R850" s="15">
        <f>P850+Q850</f>
        <v/>
      </c>
      <c r="S850" s="15">
        <f>$I$1*S849-$I$2*S848+$I$3*R829+$I$4*R828</f>
        <v/>
      </c>
      <c r="T850" s="15">
        <f>RAND()*$G$12</f>
        <v/>
      </c>
      <c r="U850" s="15">
        <f>S850+T850</f>
        <v/>
      </c>
      <c r="V850" s="15">
        <f>INT((2^$J$12-1)*U850/100)/(2^$J$12-1)*100</f>
        <v/>
      </c>
      <c r="X850" s="15">
        <f>M850 * 1.05</f>
        <v/>
      </c>
      <c r="Y850" s="15">
        <f>M850 * 0.95</f>
        <v/>
      </c>
      <c r="Z850" s="15">
        <f>IF(AND(V850 &lt;= X850, V850 &gt;= Y850), 1, 0)</f>
        <v/>
      </c>
    </row>
    <row r="851">
      <c r="L851" s="15" t="n">
        <v>849</v>
      </c>
      <c r="M851" s="15">
        <f>IF(L851&lt;$D$16,$D$13,IF(L851&lt;$E$16,$E$13,$F$13))</f>
        <v/>
      </c>
      <c r="N851" s="15">
        <f>M851-V851</f>
        <v/>
      </c>
      <c r="O851" s="15">
        <f>IF(MOD(L851,$B$11)=0,OFFSET(O851,-$B$11,0)+ $E$2*N851+$E$3*OFFSET(N851,-$B$11,0)+ $E$4*OFFSET(N851,-2* $B$11,0), O850)</f>
        <v/>
      </c>
      <c r="P851" s="15">
        <f>INT((2^$J$12-1)*O851/100)/(2^$J$12-1)*100</f>
        <v/>
      </c>
      <c r="Q851" s="15" t="n">
        <v>0</v>
      </c>
      <c r="R851" s="15">
        <f>P851+Q851</f>
        <v/>
      </c>
      <c r="S851" s="15">
        <f>$I$1*S850-$I$2*S849+$I$3*R830+$I$4*R829</f>
        <v/>
      </c>
      <c r="T851" s="15">
        <f>RAND()*$G$12</f>
        <v/>
      </c>
      <c r="U851" s="15">
        <f>S851+T851</f>
        <v/>
      </c>
      <c r="V851" s="15">
        <f>INT((2^$J$12-1)*U851/100)/(2^$J$12-1)*100</f>
        <v/>
      </c>
      <c r="X851" s="15">
        <f>M851 * 1.05</f>
        <v/>
      </c>
      <c r="Y851" s="15">
        <f>M851 * 0.95</f>
        <v/>
      </c>
      <c r="Z851" s="15">
        <f>IF(AND(V851 &lt;= X851, V851 &gt;= Y851), 1, 0)</f>
        <v/>
      </c>
    </row>
    <row r="852">
      <c r="L852" s="15" t="n">
        <v>850</v>
      </c>
      <c r="M852" s="15">
        <f>IF(L852&lt;$D$16,$D$13,IF(L852&lt;$E$16,$E$13,$F$13))</f>
        <v/>
      </c>
      <c r="N852" s="15">
        <f>M852-V852</f>
        <v/>
      </c>
      <c r="O852" s="15">
        <f>IF(MOD(L852,$B$11)=0,OFFSET(O852,-$B$11,0)+ $E$2*N852+$E$3*OFFSET(N852,-$B$11,0)+ $E$4*OFFSET(N852,-2* $B$11,0), O851)</f>
        <v/>
      </c>
      <c r="P852" s="15">
        <f>INT((2^$J$12-1)*O852/100)/(2^$J$12-1)*100</f>
        <v/>
      </c>
      <c r="Q852" s="15" t="n">
        <v>0</v>
      </c>
      <c r="R852" s="15">
        <f>P852+Q852</f>
        <v/>
      </c>
      <c r="S852" s="15">
        <f>$I$1*S851-$I$2*S850+$I$3*R831+$I$4*R830</f>
        <v/>
      </c>
      <c r="T852" s="15">
        <f>RAND()*$G$12</f>
        <v/>
      </c>
      <c r="U852" s="15">
        <f>S852+T852</f>
        <v/>
      </c>
      <c r="V852" s="15">
        <f>INT((2^$J$12-1)*U852/100)/(2^$J$12-1)*100</f>
        <v/>
      </c>
      <c r="X852" s="15">
        <f>M852 * 1.05</f>
        <v/>
      </c>
      <c r="Y852" s="15">
        <f>M852 * 0.95</f>
        <v/>
      </c>
      <c r="Z852" s="15">
        <f>IF(AND(V852 &lt;= X852, V852 &gt;= Y852), 1, 0)</f>
        <v/>
      </c>
    </row>
    <row r="853">
      <c r="L853" s="15" t="n">
        <v>851</v>
      </c>
      <c r="M853" s="15">
        <f>IF(L853&lt;$D$16,$D$13,IF(L853&lt;$E$16,$E$13,$F$13))</f>
        <v/>
      </c>
      <c r="N853" s="15">
        <f>M853-V853</f>
        <v/>
      </c>
      <c r="O853" s="15">
        <f>IF(MOD(L853,$B$11)=0,OFFSET(O853,-$B$11,0)+ $E$2*N853+$E$3*OFFSET(N853,-$B$11,0)+ $E$4*OFFSET(N853,-2* $B$11,0), O852)</f>
        <v/>
      </c>
      <c r="P853" s="15">
        <f>INT((2^$J$12-1)*O853/100)/(2^$J$12-1)*100</f>
        <v/>
      </c>
      <c r="Q853" s="15" t="n">
        <v>0</v>
      </c>
      <c r="R853" s="15">
        <f>P853+Q853</f>
        <v/>
      </c>
      <c r="S853" s="15">
        <f>$I$1*S852-$I$2*S851+$I$3*R832+$I$4*R831</f>
        <v/>
      </c>
      <c r="T853" s="15">
        <f>RAND()*$G$12</f>
        <v/>
      </c>
      <c r="U853" s="15">
        <f>S853+T853</f>
        <v/>
      </c>
      <c r="V853" s="15">
        <f>INT((2^$J$12-1)*U853/100)/(2^$J$12-1)*100</f>
        <v/>
      </c>
      <c r="X853" s="15">
        <f>M853 * 1.05</f>
        <v/>
      </c>
      <c r="Y853" s="15">
        <f>M853 * 0.95</f>
        <v/>
      </c>
      <c r="Z853" s="15">
        <f>IF(AND(V853 &lt;= X853, V853 &gt;= Y853), 1, 0)</f>
        <v/>
      </c>
    </row>
    <row r="854">
      <c r="L854" s="15" t="n">
        <v>852</v>
      </c>
      <c r="M854" s="15">
        <f>IF(L854&lt;$D$16,$D$13,IF(L854&lt;$E$16,$E$13,$F$13))</f>
        <v/>
      </c>
      <c r="N854" s="15">
        <f>M854-V854</f>
        <v/>
      </c>
      <c r="O854" s="15">
        <f>IF(MOD(L854,$B$11)=0,OFFSET(O854,-$B$11,0)+ $E$2*N854+$E$3*OFFSET(N854,-$B$11,0)+ $E$4*OFFSET(N854,-2* $B$11,0), O853)</f>
        <v/>
      </c>
      <c r="P854" s="15">
        <f>INT((2^$J$12-1)*O854/100)/(2^$J$12-1)*100</f>
        <v/>
      </c>
      <c r="Q854" s="15" t="n">
        <v>0</v>
      </c>
      <c r="R854" s="15">
        <f>P854+Q854</f>
        <v/>
      </c>
      <c r="S854" s="15">
        <f>$I$1*S853-$I$2*S852+$I$3*R833+$I$4*R832</f>
        <v/>
      </c>
      <c r="T854" s="15">
        <f>RAND()*$G$12</f>
        <v/>
      </c>
      <c r="U854" s="15">
        <f>S854+T854</f>
        <v/>
      </c>
      <c r="V854" s="15">
        <f>INT((2^$J$12-1)*U854/100)/(2^$J$12-1)*100</f>
        <v/>
      </c>
      <c r="X854" s="15">
        <f>M854 * 1.05</f>
        <v/>
      </c>
      <c r="Y854" s="15">
        <f>M854 * 0.95</f>
        <v/>
      </c>
      <c r="Z854" s="15">
        <f>IF(AND(V854 &lt;= X854, V854 &gt;= Y854), 1, 0)</f>
        <v/>
      </c>
    </row>
    <row r="855">
      <c r="L855" s="15" t="n">
        <v>853</v>
      </c>
      <c r="M855" s="15">
        <f>IF(L855&lt;$D$16,$D$13,IF(L855&lt;$E$16,$E$13,$F$13))</f>
        <v/>
      </c>
      <c r="N855" s="15">
        <f>M855-V855</f>
        <v/>
      </c>
      <c r="O855" s="15">
        <f>IF(MOD(L855,$B$11)=0,OFFSET(O855,-$B$11,0)+ $E$2*N855+$E$3*OFFSET(N855,-$B$11,0)+ $E$4*OFFSET(N855,-2* $B$11,0), O854)</f>
        <v/>
      </c>
      <c r="P855" s="15">
        <f>INT((2^$J$12-1)*O855/100)/(2^$J$12-1)*100</f>
        <v/>
      </c>
      <c r="Q855" s="15" t="n">
        <v>0</v>
      </c>
      <c r="R855" s="15">
        <f>P855+Q855</f>
        <v/>
      </c>
      <c r="S855" s="15">
        <f>$I$1*S854-$I$2*S853+$I$3*R834+$I$4*R833</f>
        <v/>
      </c>
      <c r="T855" s="15">
        <f>RAND()*$G$12</f>
        <v/>
      </c>
      <c r="U855" s="15">
        <f>S855+T855</f>
        <v/>
      </c>
      <c r="V855" s="15">
        <f>INT((2^$J$12-1)*U855/100)/(2^$J$12-1)*100</f>
        <v/>
      </c>
      <c r="X855" s="15">
        <f>M855 * 1.05</f>
        <v/>
      </c>
      <c r="Y855" s="15">
        <f>M855 * 0.95</f>
        <v/>
      </c>
      <c r="Z855" s="15">
        <f>IF(AND(V855 &lt;= X855, V855 &gt;= Y855), 1, 0)</f>
        <v/>
      </c>
    </row>
    <row r="856">
      <c r="L856" s="15" t="n">
        <v>854</v>
      </c>
      <c r="M856" s="15">
        <f>IF(L856&lt;$D$16,$D$13,IF(L856&lt;$E$16,$E$13,$F$13))</f>
        <v/>
      </c>
      <c r="N856" s="15">
        <f>M856-V856</f>
        <v/>
      </c>
      <c r="O856" s="15">
        <f>IF(MOD(L856,$B$11)=0,OFFSET(O856,-$B$11,0)+ $E$2*N856+$E$3*OFFSET(N856,-$B$11,0)+ $E$4*OFFSET(N856,-2* $B$11,0), O855)</f>
        <v/>
      </c>
      <c r="P856" s="15">
        <f>INT((2^$J$12-1)*O856/100)/(2^$J$12-1)*100</f>
        <v/>
      </c>
      <c r="Q856" s="15" t="n">
        <v>0</v>
      </c>
      <c r="R856" s="15">
        <f>P856+Q856</f>
        <v/>
      </c>
      <c r="S856" s="15">
        <f>$I$1*S855-$I$2*S854+$I$3*R835+$I$4*R834</f>
        <v/>
      </c>
      <c r="T856" s="15">
        <f>RAND()*$G$12</f>
        <v/>
      </c>
      <c r="U856" s="15">
        <f>S856+T856</f>
        <v/>
      </c>
      <c r="V856" s="15">
        <f>INT((2^$J$12-1)*U856/100)/(2^$J$12-1)*100</f>
        <v/>
      </c>
      <c r="X856" s="15">
        <f>M856 * 1.05</f>
        <v/>
      </c>
      <c r="Y856" s="15">
        <f>M856 * 0.95</f>
        <v/>
      </c>
      <c r="Z856" s="15">
        <f>IF(AND(V856 &lt;= X856, V856 &gt;= Y856), 1, 0)</f>
        <v/>
      </c>
    </row>
    <row r="857">
      <c r="L857" s="15" t="n">
        <v>855</v>
      </c>
      <c r="M857" s="15">
        <f>IF(L857&lt;$D$16,$D$13,IF(L857&lt;$E$16,$E$13,$F$13))</f>
        <v/>
      </c>
      <c r="N857" s="15">
        <f>M857-V857</f>
        <v/>
      </c>
      <c r="O857" s="15">
        <f>IF(MOD(L857,$B$11)=0,OFFSET(O857,-$B$11,0)+ $E$2*N857+$E$3*OFFSET(N857,-$B$11,0)+ $E$4*OFFSET(N857,-2* $B$11,0), O856)</f>
        <v/>
      </c>
      <c r="P857" s="15">
        <f>INT((2^$J$12-1)*O857/100)/(2^$J$12-1)*100</f>
        <v/>
      </c>
      <c r="Q857" s="15" t="n">
        <v>0</v>
      </c>
      <c r="R857" s="15">
        <f>P857+Q857</f>
        <v/>
      </c>
      <c r="S857" s="15">
        <f>$I$1*S856-$I$2*S855+$I$3*R836+$I$4*R835</f>
        <v/>
      </c>
      <c r="T857" s="15">
        <f>RAND()*$G$12</f>
        <v/>
      </c>
      <c r="U857" s="15">
        <f>S857+T857</f>
        <v/>
      </c>
      <c r="V857" s="15">
        <f>INT((2^$J$12-1)*U857/100)/(2^$J$12-1)*100</f>
        <v/>
      </c>
      <c r="X857" s="15">
        <f>M857 * 1.05</f>
        <v/>
      </c>
      <c r="Y857" s="15">
        <f>M857 * 0.95</f>
        <v/>
      </c>
      <c r="Z857" s="15">
        <f>IF(AND(V857 &lt;= X857, V857 &gt;= Y857), 1, 0)</f>
        <v/>
      </c>
    </row>
    <row r="858">
      <c r="L858" s="15" t="n">
        <v>856</v>
      </c>
      <c r="M858" s="15">
        <f>IF(L858&lt;$D$16,$D$13,IF(L858&lt;$E$16,$E$13,$F$13))</f>
        <v/>
      </c>
      <c r="N858" s="15">
        <f>M858-V858</f>
        <v/>
      </c>
      <c r="O858" s="15">
        <f>IF(MOD(L858,$B$11)=0,OFFSET(O858,-$B$11,0)+ $E$2*N858+$E$3*OFFSET(N858,-$B$11,0)+ $E$4*OFFSET(N858,-2* $B$11,0), O857)</f>
        <v/>
      </c>
      <c r="P858" s="15">
        <f>INT((2^$J$12-1)*O858/100)/(2^$J$12-1)*100</f>
        <v/>
      </c>
      <c r="Q858" s="15" t="n">
        <v>0</v>
      </c>
      <c r="R858" s="15">
        <f>P858+Q858</f>
        <v/>
      </c>
      <c r="S858" s="15">
        <f>$I$1*S857-$I$2*S856+$I$3*R837+$I$4*R836</f>
        <v/>
      </c>
      <c r="T858" s="15">
        <f>RAND()*$G$12</f>
        <v/>
      </c>
      <c r="U858" s="15">
        <f>S858+T858</f>
        <v/>
      </c>
      <c r="V858" s="15">
        <f>INT((2^$J$12-1)*U858/100)/(2^$J$12-1)*100</f>
        <v/>
      </c>
      <c r="X858" s="15">
        <f>M858 * 1.05</f>
        <v/>
      </c>
      <c r="Y858" s="15">
        <f>M858 * 0.95</f>
        <v/>
      </c>
      <c r="Z858" s="15">
        <f>IF(AND(V858 &lt;= X858, V858 &gt;= Y858), 1, 0)</f>
        <v/>
      </c>
    </row>
    <row r="859">
      <c r="L859" s="15" t="n">
        <v>857</v>
      </c>
      <c r="M859" s="15">
        <f>IF(L859&lt;$D$16,$D$13,IF(L859&lt;$E$16,$E$13,$F$13))</f>
        <v/>
      </c>
      <c r="N859" s="15">
        <f>M859-V859</f>
        <v/>
      </c>
      <c r="O859" s="15">
        <f>IF(MOD(L859,$B$11)=0,OFFSET(O859,-$B$11,0)+ $E$2*N859+$E$3*OFFSET(N859,-$B$11,0)+ $E$4*OFFSET(N859,-2* $B$11,0), O858)</f>
        <v/>
      </c>
      <c r="P859" s="15">
        <f>INT((2^$J$12-1)*O859/100)/(2^$J$12-1)*100</f>
        <v/>
      </c>
      <c r="Q859" s="15" t="n">
        <v>0</v>
      </c>
      <c r="R859" s="15">
        <f>P859+Q859</f>
        <v/>
      </c>
      <c r="S859" s="15">
        <f>$I$1*S858-$I$2*S857+$I$3*R838+$I$4*R837</f>
        <v/>
      </c>
      <c r="T859" s="15">
        <f>RAND()*$G$12</f>
        <v/>
      </c>
      <c r="U859" s="15">
        <f>S859+T859</f>
        <v/>
      </c>
      <c r="V859" s="15">
        <f>INT((2^$J$12-1)*U859/100)/(2^$J$12-1)*100</f>
        <v/>
      </c>
      <c r="X859" s="15">
        <f>M859 * 1.05</f>
        <v/>
      </c>
      <c r="Y859" s="15">
        <f>M859 * 0.95</f>
        <v/>
      </c>
      <c r="Z859" s="15">
        <f>IF(AND(V859 &lt;= X859, V859 &gt;= Y859), 1, 0)</f>
        <v/>
      </c>
    </row>
    <row r="860">
      <c r="L860" s="15" t="n">
        <v>858</v>
      </c>
      <c r="M860" s="15">
        <f>IF(L860&lt;$D$16,$D$13,IF(L860&lt;$E$16,$E$13,$F$13))</f>
        <v/>
      </c>
      <c r="N860" s="15">
        <f>M860-V860</f>
        <v/>
      </c>
      <c r="O860" s="15">
        <f>IF(MOD(L860,$B$11)=0,OFFSET(O860,-$B$11,0)+ $E$2*N860+$E$3*OFFSET(N860,-$B$11,0)+ $E$4*OFFSET(N860,-2* $B$11,0), O859)</f>
        <v/>
      </c>
      <c r="P860" s="15">
        <f>INT((2^$J$12-1)*O860/100)/(2^$J$12-1)*100</f>
        <v/>
      </c>
      <c r="Q860" s="15" t="n">
        <v>0</v>
      </c>
      <c r="R860" s="15">
        <f>P860+Q860</f>
        <v/>
      </c>
      <c r="S860" s="15">
        <f>$I$1*S859-$I$2*S858+$I$3*R839+$I$4*R838</f>
        <v/>
      </c>
      <c r="T860" s="15">
        <f>RAND()*$G$12</f>
        <v/>
      </c>
      <c r="U860" s="15">
        <f>S860+T860</f>
        <v/>
      </c>
      <c r="V860" s="15">
        <f>INT((2^$J$12-1)*U860/100)/(2^$J$12-1)*100</f>
        <v/>
      </c>
      <c r="X860" s="15">
        <f>M860 * 1.05</f>
        <v/>
      </c>
      <c r="Y860" s="15">
        <f>M860 * 0.95</f>
        <v/>
      </c>
      <c r="Z860" s="15">
        <f>IF(AND(V860 &lt;= X860, V860 &gt;= Y860), 1, 0)</f>
        <v/>
      </c>
    </row>
    <row r="861">
      <c r="L861" s="15" t="n">
        <v>859</v>
      </c>
      <c r="M861" s="15">
        <f>IF(L861&lt;$D$16,$D$13,IF(L861&lt;$E$16,$E$13,$F$13))</f>
        <v/>
      </c>
      <c r="N861" s="15">
        <f>M861-V861</f>
        <v/>
      </c>
      <c r="O861" s="15">
        <f>IF(MOD(L861,$B$11)=0,OFFSET(O861,-$B$11,0)+ $E$2*N861+$E$3*OFFSET(N861,-$B$11,0)+ $E$4*OFFSET(N861,-2* $B$11,0), O860)</f>
        <v/>
      </c>
      <c r="P861" s="15">
        <f>INT((2^$J$12-1)*O861/100)/(2^$J$12-1)*100</f>
        <v/>
      </c>
      <c r="Q861" s="15" t="n">
        <v>0</v>
      </c>
      <c r="R861" s="15">
        <f>P861+Q861</f>
        <v/>
      </c>
      <c r="S861" s="15">
        <f>$I$1*S860-$I$2*S859+$I$3*R840+$I$4*R839</f>
        <v/>
      </c>
      <c r="T861" s="15">
        <f>RAND()*$G$12</f>
        <v/>
      </c>
      <c r="U861" s="15">
        <f>S861+T861</f>
        <v/>
      </c>
      <c r="V861" s="15">
        <f>INT((2^$J$12-1)*U861/100)/(2^$J$12-1)*100</f>
        <v/>
      </c>
      <c r="X861" s="15">
        <f>M861 * 1.05</f>
        <v/>
      </c>
      <c r="Y861" s="15">
        <f>M861 * 0.95</f>
        <v/>
      </c>
      <c r="Z861" s="15">
        <f>IF(AND(V861 &lt;= X861, V861 &gt;= Y861), 1, 0)</f>
        <v/>
      </c>
    </row>
    <row r="862">
      <c r="L862" s="15" t="n">
        <v>860</v>
      </c>
      <c r="M862" s="15">
        <f>IF(L862&lt;$D$16,$D$13,IF(L862&lt;$E$16,$E$13,$F$13))</f>
        <v/>
      </c>
      <c r="N862" s="15">
        <f>M862-V862</f>
        <v/>
      </c>
      <c r="O862" s="15">
        <f>IF(MOD(L862,$B$11)=0,OFFSET(O862,-$B$11,0)+ $E$2*N862+$E$3*OFFSET(N862,-$B$11,0)+ $E$4*OFFSET(N862,-2* $B$11,0), O861)</f>
        <v/>
      </c>
      <c r="P862" s="15">
        <f>INT((2^$J$12-1)*O862/100)/(2^$J$12-1)*100</f>
        <v/>
      </c>
      <c r="Q862" s="15" t="n">
        <v>0</v>
      </c>
      <c r="R862" s="15">
        <f>P862+Q862</f>
        <v/>
      </c>
      <c r="S862" s="15">
        <f>$I$1*S861-$I$2*S860+$I$3*R841+$I$4*R840</f>
        <v/>
      </c>
      <c r="T862" s="15">
        <f>RAND()*$G$12</f>
        <v/>
      </c>
      <c r="U862" s="15">
        <f>S862+T862</f>
        <v/>
      </c>
      <c r="V862" s="15">
        <f>INT((2^$J$12-1)*U862/100)/(2^$J$12-1)*100</f>
        <v/>
      </c>
      <c r="X862" s="15">
        <f>M862 * 1.05</f>
        <v/>
      </c>
      <c r="Y862" s="15">
        <f>M862 * 0.95</f>
        <v/>
      </c>
      <c r="Z862" s="15">
        <f>IF(AND(V862 &lt;= X862, V862 &gt;= Y862), 1, 0)</f>
        <v/>
      </c>
    </row>
    <row r="863">
      <c r="L863" s="15" t="n">
        <v>861</v>
      </c>
      <c r="M863" s="15">
        <f>IF(L863&lt;$D$16,$D$13,IF(L863&lt;$E$16,$E$13,$F$13))</f>
        <v/>
      </c>
      <c r="N863" s="15">
        <f>M863-V863</f>
        <v/>
      </c>
      <c r="O863" s="15">
        <f>IF(MOD(L863,$B$11)=0,OFFSET(O863,-$B$11,0)+ $E$2*N863+$E$3*OFFSET(N863,-$B$11,0)+ $E$4*OFFSET(N863,-2* $B$11,0), O862)</f>
        <v/>
      </c>
      <c r="P863" s="15">
        <f>INT((2^$J$12-1)*O863/100)/(2^$J$12-1)*100</f>
        <v/>
      </c>
      <c r="Q863" s="15" t="n">
        <v>0</v>
      </c>
      <c r="R863" s="15">
        <f>P863+Q863</f>
        <v/>
      </c>
      <c r="S863" s="15">
        <f>$I$1*S862-$I$2*S861+$I$3*R842+$I$4*R841</f>
        <v/>
      </c>
      <c r="T863" s="15">
        <f>RAND()*$G$12</f>
        <v/>
      </c>
      <c r="U863" s="15">
        <f>S863+T863</f>
        <v/>
      </c>
      <c r="V863" s="15">
        <f>INT((2^$J$12-1)*U863/100)/(2^$J$12-1)*100</f>
        <v/>
      </c>
      <c r="X863" s="15">
        <f>M863 * 1.05</f>
        <v/>
      </c>
      <c r="Y863" s="15">
        <f>M863 * 0.95</f>
        <v/>
      </c>
      <c r="Z863" s="15">
        <f>IF(AND(V863 &lt;= X863, V863 &gt;= Y863), 1, 0)</f>
        <v/>
      </c>
    </row>
    <row r="864">
      <c r="L864" s="15" t="n">
        <v>862</v>
      </c>
      <c r="M864" s="15">
        <f>IF(L864&lt;$D$16,$D$13,IF(L864&lt;$E$16,$E$13,$F$13))</f>
        <v/>
      </c>
      <c r="N864" s="15">
        <f>M864-V864</f>
        <v/>
      </c>
      <c r="O864" s="15">
        <f>IF(MOD(L864,$B$11)=0,OFFSET(O864,-$B$11,0)+ $E$2*N864+$E$3*OFFSET(N864,-$B$11,0)+ $E$4*OFFSET(N864,-2* $B$11,0), O863)</f>
        <v/>
      </c>
      <c r="P864" s="15">
        <f>INT((2^$J$12-1)*O864/100)/(2^$J$12-1)*100</f>
        <v/>
      </c>
      <c r="Q864" s="15" t="n">
        <v>0</v>
      </c>
      <c r="R864" s="15">
        <f>P864+Q864</f>
        <v/>
      </c>
      <c r="S864" s="15">
        <f>$I$1*S863-$I$2*S862+$I$3*R843+$I$4*R842</f>
        <v/>
      </c>
      <c r="T864" s="15">
        <f>RAND()*$G$12</f>
        <v/>
      </c>
      <c r="U864" s="15">
        <f>S864+T864</f>
        <v/>
      </c>
      <c r="V864" s="15">
        <f>INT((2^$J$12-1)*U864/100)/(2^$J$12-1)*100</f>
        <v/>
      </c>
      <c r="X864" s="15">
        <f>M864 * 1.05</f>
        <v/>
      </c>
      <c r="Y864" s="15">
        <f>M864 * 0.95</f>
        <v/>
      </c>
      <c r="Z864" s="15">
        <f>IF(AND(V864 &lt;= X864, V864 &gt;= Y864), 1, 0)</f>
        <v/>
      </c>
    </row>
    <row r="865">
      <c r="L865" s="15" t="n">
        <v>863</v>
      </c>
      <c r="M865" s="15">
        <f>IF(L865&lt;$D$16,$D$13,IF(L865&lt;$E$16,$E$13,$F$13))</f>
        <v/>
      </c>
      <c r="N865" s="15">
        <f>M865-V865</f>
        <v/>
      </c>
      <c r="O865" s="15">
        <f>IF(MOD(L865,$B$11)=0,OFFSET(O865,-$B$11,0)+ $E$2*N865+$E$3*OFFSET(N865,-$B$11,0)+ $E$4*OFFSET(N865,-2* $B$11,0), O864)</f>
        <v/>
      </c>
      <c r="P865" s="15">
        <f>INT((2^$J$12-1)*O865/100)/(2^$J$12-1)*100</f>
        <v/>
      </c>
      <c r="Q865" s="15" t="n">
        <v>0</v>
      </c>
      <c r="R865" s="15">
        <f>P865+Q865</f>
        <v/>
      </c>
      <c r="S865" s="15">
        <f>$I$1*S864-$I$2*S863+$I$3*R844+$I$4*R843</f>
        <v/>
      </c>
      <c r="T865" s="15">
        <f>RAND()*$G$12</f>
        <v/>
      </c>
      <c r="U865" s="15">
        <f>S865+T865</f>
        <v/>
      </c>
      <c r="V865" s="15">
        <f>INT((2^$J$12-1)*U865/100)/(2^$J$12-1)*100</f>
        <v/>
      </c>
      <c r="X865" s="15">
        <f>M865 * 1.05</f>
        <v/>
      </c>
      <c r="Y865" s="15">
        <f>M865 * 0.95</f>
        <v/>
      </c>
      <c r="Z865" s="15">
        <f>IF(AND(V865 &lt;= X865, V865 &gt;= Y865), 1, 0)</f>
        <v/>
      </c>
    </row>
    <row r="866">
      <c r="L866" s="15" t="n">
        <v>864</v>
      </c>
      <c r="M866" s="15">
        <f>IF(L866&lt;$D$16,$D$13,IF(L866&lt;$E$16,$E$13,$F$13))</f>
        <v/>
      </c>
      <c r="N866" s="15">
        <f>M866-V866</f>
        <v/>
      </c>
      <c r="O866" s="15">
        <f>IF(MOD(L866,$B$11)=0,OFFSET(O866,-$B$11,0)+ $E$2*N866+$E$3*OFFSET(N866,-$B$11,0)+ $E$4*OFFSET(N866,-2* $B$11,0), O865)</f>
        <v/>
      </c>
      <c r="P866" s="15">
        <f>INT((2^$J$12-1)*O866/100)/(2^$J$12-1)*100</f>
        <v/>
      </c>
      <c r="Q866" s="15" t="n">
        <v>0</v>
      </c>
      <c r="R866" s="15">
        <f>P866+Q866</f>
        <v/>
      </c>
      <c r="S866" s="15">
        <f>$I$1*S865-$I$2*S864+$I$3*R845+$I$4*R844</f>
        <v/>
      </c>
      <c r="T866" s="15">
        <f>RAND()*$G$12</f>
        <v/>
      </c>
      <c r="U866" s="15">
        <f>S866+T866</f>
        <v/>
      </c>
      <c r="V866" s="15">
        <f>INT((2^$J$12-1)*U866/100)/(2^$J$12-1)*100</f>
        <v/>
      </c>
      <c r="X866" s="15">
        <f>M866 * 1.05</f>
        <v/>
      </c>
      <c r="Y866" s="15">
        <f>M866 * 0.95</f>
        <v/>
      </c>
      <c r="Z866" s="15">
        <f>IF(AND(V866 &lt;= X866, V866 &gt;= Y866), 1, 0)</f>
        <v/>
      </c>
    </row>
    <row r="867">
      <c r="L867" s="15" t="n">
        <v>865</v>
      </c>
      <c r="M867" s="15">
        <f>IF(L867&lt;$D$16,$D$13,IF(L867&lt;$E$16,$E$13,$F$13))</f>
        <v/>
      </c>
      <c r="N867" s="15">
        <f>M867-V867</f>
        <v/>
      </c>
      <c r="O867" s="15">
        <f>IF(MOD(L867,$B$11)=0,OFFSET(O867,-$B$11,0)+ $E$2*N867+$E$3*OFFSET(N867,-$B$11,0)+ $E$4*OFFSET(N867,-2* $B$11,0), O866)</f>
        <v/>
      </c>
      <c r="P867" s="15">
        <f>INT((2^$J$12-1)*O867/100)/(2^$J$12-1)*100</f>
        <v/>
      </c>
      <c r="Q867" s="15" t="n">
        <v>0</v>
      </c>
      <c r="R867" s="15">
        <f>P867+Q867</f>
        <v/>
      </c>
      <c r="S867" s="15">
        <f>$I$1*S866-$I$2*S865+$I$3*R846+$I$4*R845</f>
        <v/>
      </c>
      <c r="T867" s="15">
        <f>RAND()*$G$12</f>
        <v/>
      </c>
      <c r="U867" s="15">
        <f>S867+T867</f>
        <v/>
      </c>
      <c r="V867" s="15">
        <f>INT((2^$J$12-1)*U867/100)/(2^$J$12-1)*100</f>
        <v/>
      </c>
      <c r="X867" s="15">
        <f>M867 * 1.05</f>
        <v/>
      </c>
      <c r="Y867" s="15">
        <f>M867 * 0.95</f>
        <v/>
      </c>
      <c r="Z867" s="15">
        <f>IF(AND(V867 &lt;= X867, V867 &gt;= Y867), 1, 0)</f>
        <v/>
      </c>
    </row>
    <row r="868">
      <c r="L868" s="15" t="n">
        <v>866</v>
      </c>
      <c r="M868" s="15">
        <f>IF(L868&lt;$D$16,$D$13,IF(L868&lt;$E$16,$E$13,$F$13))</f>
        <v/>
      </c>
      <c r="N868" s="15">
        <f>M868-V868</f>
        <v/>
      </c>
      <c r="O868" s="15">
        <f>IF(MOD(L868,$B$11)=0,OFFSET(O868,-$B$11,0)+ $E$2*N868+$E$3*OFFSET(N868,-$B$11,0)+ $E$4*OFFSET(N868,-2* $B$11,0), O867)</f>
        <v/>
      </c>
      <c r="P868" s="15">
        <f>INT((2^$J$12-1)*O868/100)/(2^$J$12-1)*100</f>
        <v/>
      </c>
      <c r="Q868" s="15" t="n">
        <v>0</v>
      </c>
      <c r="R868" s="15">
        <f>P868+Q868</f>
        <v/>
      </c>
      <c r="S868" s="15">
        <f>$I$1*S867-$I$2*S866+$I$3*R847+$I$4*R846</f>
        <v/>
      </c>
      <c r="T868" s="15">
        <f>RAND()*$G$12</f>
        <v/>
      </c>
      <c r="U868" s="15">
        <f>S868+T868</f>
        <v/>
      </c>
      <c r="V868" s="15">
        <f>INT((2^$J$12-1)*U868/100)/(2^$J$12-1)*100</f>
        <v/>
      </c>
      <c r="X868" s="15">
        <f>M868 * 1.05</f>
        <v/>
      </c>
      <c r="Y868" s="15">
        <f>M868 * 0.95</f>
        <v/>
      </c>
      <c r="Z868" s="15">
        <f>IF(AND(V868 &lt;= X868, V868 &gt;= Y868), 1, 0)</f>
        <v/>
      </c>
    </row>
    <row r="869">
      <c r="L869" s="15" t="n">
        <v>867</v>
      </c>
      <c r="M869" s="15">
        <f>IF(L869&lt;$D$16,$D$13,IF(L869&lt;$E$16,$E$13,$F$13))</f>
        <v/>
      </c>
      <c r="N869" s="15">
        <f>M869-V869</f>
        <v/>
      </c>
      <c r="O869" s="15">
        <f>IF(MOD(L869,$B$11)=0,OFFSET(O869,-$B$11,0)+ $E$2*N869+$E$3*OFFSET(N869,-$B$11,0)+ $E$4*OFFSET(N869,-2* $B$11,0), O868)</f>
        <v/>
      </c>
      <c r="P869" s="15">
        <f>INT((2^$J$12-1)*O869/100)/(2^$J$12-1)*100</f>
        <v/>
      </c>
      <c r="Q869" s="15" t="n">
        <v>0</v>
      </c>
      <c r="R869" s="15">
        <f>P869+Q869</f>
        <v/>
      </c>
      <c r="S869" s="15">
        <f>$I$1*S868-$I$2*S867+$I$3*R848+$I$4*R847</f>
        <v/>
      </c>
      <c r="T869" s="15">
        <f>RAND()*$G$12</f>
        <v/>
      </c>
      <c r="U869" s="15">
        <f>S869+T869</f>
        <v/>
      </c>
      <c r="V869" s="15">
        <f>INT((2^$J$12-1)*U869/100)/(2^$J$12-1)*100</f>
        <v/>
      </c>
      <c r="X869" s="15">
        <f>M869 * 1.05</f>
        <v/>
      </c>
      <c r="Y869" s="15">
        <f>M869 * 0.95</f>
        <v/>
      </c>
      <c r="Z869" s="15">
        <f>IF(AND(V869 &lt;= X869, V869 &gt;= Y869), 1, 0)</f>
        <v/>
      </c>
    </row>
    <row r="870">
      <c r="L870" s="15" t="n">
        <v>868</v>
      </c>
      <c r="M870" s="15">
        <f>IF(L870&lt;$D$16,$D$13,IF(L870&lt;$E$16,$E$13,$F$13))</f>
        <v/>
      </c>
      <c r="N870" s="15">
        <f>M870-V870</f>
        <v/>
      </c>
      <c r="O870" s="15">
        <f>IF(MOD(L870,$B$11)=0,OFFSET(O870,-$B$11,0)+ $E$2*N870+$E$3*OFFSET(N870,-$B$11,0)+ $E$4*OFFSET(N870,-2* $B$11,0), O869)</f>
        <v/>
      </c>
      <c r="P870" s="15">
        <f>INT((2^$J$12-1)*O870/100)/(2^$J$12-1)*100</f>
        <v/>
      </c>
      <c r="Q870" s="15" t="n">
        <v>0</v>
      </c>
      <c r="R870" s="15">
        <f>P870+Q870</f>
        <v/>
      </c>
      <c r="S870" s="15">
        <f>$I$1*S869-$I$2*S868+$I$3*R849+$I$4*R848</f>
        <v/>
      </c>
      <c r="T870" s="15">
        <f>RAND()*$G$12</f>
        <v/>
      </c>
      <c r="U870" s="15">
        <f>S870+T870</f>
        <v/>
      </c>
      <c r="V870" s="15">
        <f>INT((2^$J$12-1)*U870/100)/(2^$J$12-1)*100</f>
        <v/>
      </c>
      <c r="X870" s="15">
        <f>M870 * 1.05</f>
        <v/>
      </c>
      <c r="Y870" s="15">
        <f>M870 * 0.95</f>
        <v/>
      </c>
      <c r="Z870" s="15">
        <f>IF(AND(V870 &lt;= X870, V870 &gt;= Y870), 1, 0)</f>
        <v/>
      </c>
    </row>
    <row r="871">
      <c r="L871" s="15" t="n">
        <v>869</v>
      </c>
      <c r="M871" s="15">
        <f>IF(L871&lt;$D$16,$D$13,IF(L871&lt;$E$16,$E$13,$F$13))</f>
        <v/>
      </c>
      <c r="N871" s="15">
        <f>M871-V871</f>
        <v/>
      </c>
      <c r="O871" s="15">
        <f>IF(MOD(L871,$B$11)=0,OFFSET(O871,-$B$11,0)+ $E$2*N871+$E$3*OFFSET(N871,-$B$11,0)+ $E$4*OFFSET(N871,-2* $B$11,0), O870)</f>
        <v/>
      </c>
      <c r="P871" s="15">
        <f>INT((2^$J$12-1)*O871/100)/(2^$J$12-1)*100</f>
        <v/>
      </c>
      <c r="Q871" s="15" t="n">
        <v>0</v>
      </c>
      <c r="R871" s="15">
        <f>P871+Q871</f>
        <v/>
      </c>
      <c r="S871" s="15">
        <f>$I$1*S870-$I$2*S869+$I$3*R850+$I$4*R849</f>
        <v/>
      </c>
      <c r="T871" s="15">
        <f>RAND()*$G$12</f>
        <v/>
      </c>
      <c r="U871" s="15">
        <f>S871+T871</f>
        <v/>
      </c>
      <c r="V871" s="15">
        <f>INT((2^$J$12-1)*U871/100)/(2^$J$12-1)*100</f>
        <v/>
      </c>
      <c r="X871" s="15">
        <f>M871 * 1.05</f>
        <v/>
      </c>
      <c r="Y871" s="15">
        <f>M871 * 0.95</f>
        <v/>
      </c>
      <c r="Z871" s="15">
        <f>IF(AND(V871 &lt;= X871, V871 &gt;= Y871), 1, 0)</f>
        <v/>
      </c>
    </row>
    <row r="872">
      <c r="L872" s="15" t="n">
        <v>870</v>
      </c>
      <c r="M872" s="15">
        <f>IF(L872&lt;$D$16,$D$13,IF(L872&lt;$E$16,$E$13,$F$13))</f>
        <v/>
      </c>
      <c r="N872" s="15">
        <f>M872-V872</f>
        <v/>
      </c>
      <c r="O872" s="15">
        <f>IF(MOD(L872,$B$11)=0,OFFSET(O872,-$B$11,0)+ $E$2*N872+$E$3*OFFSET(N872,-$B$11,0)+ $E$4*OFFSET(N872,-2* $B$11,0), O871)</f>
        <v/>
      </c>
      <c r="P872" s="15">
        <f>INT((2^$J$12-1)*O872/100)/(2^$J$12-1)*100</f>
        <v/>
      </c>
      <c r="Q872" s="15" t="n">
        <v>0</v>
      </c>
      <c r="R872" s="15">
        <f>P872+Q872</f>
        <v/>
      </c>
      <c r="S872" s="15">
        <f>$I$1*S871-$I$2*S870+$I$3*R851+$I$4*R850</f>
        <v/>
      </c>
      <c r="T872" s="15">
        <f>RAND()*$G$12</f>
        <v/>
      </c>
      <c r="U872" s="15">
        <f>S872+T872</f>
        <v/>
      </c>
      <c r="V872" s="15">
        <f>INT((2^$J$12-1)*U872/100)/(2^$J$12-1)*100</f>
        <v/>
      </c>
      <c r="X872" s="15">
        <f>M872 * 1.05</f>
        <v/>
      </c>
      <c r="Y872" s="15">
        <f>M872 * 0.95</f>
        <v/>
      </c>
      <c r="Z872" s="15">
        <f>IF(AND(V872 &lt;= X872, V872 &gt;= Y872), 1, 0)</f>
        <v/>
      </c>
    </row>
    <row r="873">
      <c r="L873" s="15" t="n">
        <v>871</v>
      </c>
      <c r="M873" s="15">
        <f>IF(L873&lt;$D$16,$D$13,IF(L873&lt;$E$16,$E$13,$F$13))</f>
        <v/>
      </c>
      <c r="N873" s="15">
        <f>M873-V873</f>
        <v/>
      </c>
      <c r="O873" s="15">
        <f>IF(MOD(L873,$B$11)=0,OFFSET(O873,-$B$11,0)+ $E$2*N873+$E$3*OFFSET(N873,-$B$11,0)+ $E$4*OFFSET(N873,-2* $B$11,0), O872)</f>
        <v/>
      </c>
      <c r="P873" s="15">
        <f>INT((2^$J$12-1)*O873/100)/(2^$J$12-1)*100</f>
        <v/>
      </c>
      <c r="Q873" s="15" t="n">
        <v>0</v>
      </c>
      <c r="R873" s="15">
        <f>P873+Q873</f>
        <v/>
      </c>
      <c r="S873" s="15">
        <f>$I$1*S872-$I$2*S871+$I$3*R852+$I$4*R851</f>
        <v/>
      </c>
      <c r="T873" s="15">
        <f>RAND()*$G$12</f>
        <v/>
      </c>
      <c r="U873" s="15">
        <f>S873+T873</f>
        <v/>
      </c>
      <c r="V873" s="15">
        <f>INT((2^$J$12-1)*U873/100)/(2^$J$12-1)*100</f>
        <v/>
      </c>
      <c r="X873" s="15">
        <f>M873 * 1.05</f>
        <v/>
      </c>
      <c r="Y873" s="15">
        <f>M873 * 0.95</f>
        <v/>
      </c>
      <c r="Z873" s="15">
        <f>IF(AND(V873 &lt;= X873, V873 &gt;= Y873), 1, 0)</f>
        <v/>
      </c>
    </row>
    <row r="874">
      <c r="L874" s="15" t="n">
        <v>872</v>
      </c>
      <c r="M874" s="15">
        <f>IF(L874&lt;$D$16,$D$13,IF(L874&lt;$E$16,$E$13,$F$13))</f>
        <v/>
      </c>
      <c r="N874" s="15">
        <f>M874-V874</f>
        <v/>
      </c>
      <c r="O874" s="15">
        <f>IF(MOD(L874,$B$11)=0,OFFSET(O874,-$B$11,0)+ $E$2*N874+$E$3*OFFSET(N874,-$B$11,0)+ $E$4*OFFSET(N874,-2* $B$11,0), O873)</f>
        <v/>
      </c>
      <c r="P874" s="15">
        <f>INT((2^$J$12-1)*O874/100)/(2^$J$12-1)*100</f>
        <v/>
      </c>
      <c r="Q874" s="15" t="n">
        <v>0</v>
      </c>
      <c r="R874" s="15">
        <f>P874+Q874</f>
        <v/>
      </c>
      <c r="S874" s="15">
        <f>$I$1*S873-$I$2*S872+$I$3*R853+$I$4*R852</f>
        <v/>
      </c>
      <c r="T874" s="15">
        <f>RAND()*$G$12</f>
        <v/>
      </c>
      <c r="U874" s="15">
        <f>S874+T874</f>
        <v/>
      </c>
      <c r="V874" s="15">
        <f>INT((2^$J$12-1)*U874/100)/(2^$J$12-1)*100</f>
        <v/>
      </c>
      <c r="X874" s="15">
        <f>M874 * 1.05</f>
        <v/>
      </c>
      <c r="Y874" s="15">
        <f>M874 * 0.95</f>
        <v/>
      </c>
      <c r="Z874" s="15">
        <f>IF(AND(V874 &lt;= X874, V874 &gt;= Y874), 1, 0)</f>
        <v/>
      </c>
    </row>
    <row r="875">
      <c r="L875" s="15" t="n">
        <v>873</v>
      </c>
      <c r="M875" s="15">
        <f>IF(L875&lt;$D$16,$D$13,IF(L875&lt;$E$16,$E$13,$F$13))</f>
        <v/>
      </c>
      <c r="N875" s="15">
        <f>M875-V875</f>
        <v/>
      </c>
      <c r="O875" s="15">
        <f>IF(MOD(L875,$B$11)=0,OFFSET(O875,-$B$11,0)+ $E$2*N875+$E$3*OFFSET(N875,-$B$11,0)+ $E$4*OFFSET(N875,-2* $B$11,0), O874)</f>
        <v/>
      </c>
      <c r="P875" s="15">
        <f>INT((2^$J$12-1)*O875/100)/(2^$J$12-1)*100</f>
        <v/>
      </c>
      <c r="Q875" s="15" t="n">
        <v>0</v>
      </c>
      <c r="R875" s="15">
        <f>P875+Q875</f>
        <v/>
      </c>
      <c r="S875" s="15">
        <f>$I$1*S874-$I$2*S873+$I$3*R854+$I$4*R853</f>
        <v/>
      </c>
      <c r="T875" s="15">
        <f>RAND()*$G$12</f>
        <v/>
      </c>
      <c r="U875" s="15">
        <f>S875+T875</f>
        <v/>
      </c>
      <c r="V875" s="15">
        <f>INT((2^$J$12-1)*U875/100)/(2^$J$12-1)*100</f>
        <v/>
      </c>
      <c r="X875" s="15">
        <f>M875 * 1.05</f>
        <v/>
      </c>
      <c r="Y875" s="15">
        <f>M875 * 0.95</f>
        <v/>
      </c>
      <c r="Z875" s="15">
        <f>IF(AND(V875 &lt;= X875, V875 &gt;= Y875), 1, 0)</f>
        <v/>
      </c>
    </row>
    <row r="876">
      <c r="L876" s="15" t="n">
        <v>874</v>
      </c>
      <c r="M876" s="15">
        <f>IF(L876&lt;$D$16,$D$13,IF(L876&lt;$E$16,$E$13,$F$13))</f>
        <v/>
      </c>
      <c r="N876" s="15">
        <f>M876-V876</f>
        <v/>
      </c>
      <c r="O876" s="15">
        <f>IF(MOD(L876,$B$11)=0,OFFSET(O876,-$B$11,0)+ $E$2*N876+$E$3*OFFSET(N876,-$B$11,0)+ $E$4*OFFSET(N876,-2* $B$11,0), O875)</f>
        <v/>
      </c>
      <c r="P876" s="15">
        <f>INT((2^$J$12-1)*O876/100)/(2^$J$12-1)*100</f>
        <v/>
      </c>
      <c r="Q876" s="15" t="n">
        <v>0</v>
      </c>
      <c r="R876" s="15">
        <f>P876+Q876</f>
        <v/>
      </c>
      <c r="S876" s="15">
        <f>$I$1*S875-$I$2*S874+$I$3*R855+$I$4*R854</f>
        <v/>
      </c>
      <c r="T876" s="15">
        <f>RAND()*$G$12</f>
        <v/>
      </c>
      <c r="U876" s="15">
        <f>S876+T876</f>
        <v/>
      </c>
      <c r="V876" s="15">
        <f>INT((2^$J$12-1)*U876/100)/(2^$J$12-1)*100</f>
        <v/>
      </c>
      <c r="X876" s="15">
        <f>M876 * 1.05</f>
        <v/>
      </c>
      <c r="Y876" s="15">
        <f>M876 * 0.95</f>
        <v/>
      </c>
      <c r="Z876" s="15">
        <f>IF(AND(V876 &lt;= X876, V876 &gt;= Y876), 1, 0)</f>
        <v/>
      </c>
    </row>
    <row r="877">
      <c r="L877" s="15" t="n">
        <v>875</v>
      </c>
      <c r="M877" s="15">
        <f>IF(L877&lt;$D$16,$D$13,IF(L877&lt;$E$16,$E$13,$F$13))</f>
        <v/>
      </c>
      <c r="N877" s="15">
        <f>M877-V877</f>
        <v/>
      </c>
      <c r="O877" s="15">
        <f>IF(MOD(L877,$B$11)=0,OFFSET(O877,-$B$11,0)+ $E$2*N877+$E$3*OFFSET(N877,-$B$11,0)+ $E$4*OFFSET(N877,-2* $B$11,0), O876)</f>
        <v/>
      </c>
      <c r="P877" s="15">
        <f>INT((2^$J$12-1)*O877/100)/(2^$J$12-1)*100</f>
        <v/>
      </c>
      <c r="Q877" s="15" t="n">
        <v>0</v>
      </c>
      <c r="R877" s="15">
        <f>P877+Q877</f>
        <v/>
      </c>
      <c r="S877" s="15">
        <f>$I$1*S876-$I$2*S875+$I$3*R856+$I$4*R855</f>
        <v/>
      </c>
      <c r="T877" s="15">
        <f>RAND()*$G$12</f>
        <v/>
      </c>
      <c r="U877" s="15">
        <f>S877+T877</f>
        <v/>
      </c>
      <c r="V877" s="15">
        <f>INT((2^$J$12-1)*U877/100)/(2^$J$12-1)*100</f>
        <v/>
      </c>
      <c r="X877" s="15">
        <f>M877 * 1.05</f>
        <v/>
      </c>
      <c r="Y877" s="15">
        <f>M877 * 0.95</f>
        <v/>
      </c>
      <c r="Z877" s="15">
        <f>IF(AND(V877 &lt;= X877, V877 &gt;= Y877), 1, 0)</f>
        <v/>
      </c>
    </row>
    <row r="878">
      <c r="L878" s="15" t="n">
        <v>876</v>
      </c>
      <c r="M878" s="15">
        <f>IF(L878&lt;$D$16,$D$13,IF(L878&lt;$E$16,$E$13,$F$13))</f>
        <v/>
      </c>
      <c r="N878" s="15">
        <f>M878-V878</f>
        <v/>
      </c>
      <c r="O878" s="15">
        <f>IF(MOD(L878,$B$11)=0,OFFSET(O878,-$B$11,0)+ $E$2*N878+$E$3*OFFSET(N878,-$B$11,0)+ $E$4*OFFSET(N878,-2* $B$11,0), O877)</f>
        <v/>
      </c>
      <c r="P878" s="15">
        <f>INT((2^$J$12-1)*O878/100)/(2^$J$12-1)*100</f>
        <v/>
      </c>
      <c r="Q878" s="15" t="n">
        <v>0</v>
      </c>
      <c r="R878" s="15">
        <f>P878+Q878</f>
        <v/>
      </c>
      <c r="S878" s="15">
        <f>$I$1*S877-$I$2*S876+$I$3*R857+$I$4*R856</f>
        <v/>
      </c>
      <c r="T878" s="15">
        <f>RAND()*$G$12</f>
        <v/>
      </c>
      <c r="U878" s="15">
        <f>S878+T878</f>
        <v/>
      </c>
      <c r="V878" s="15">
        <f>INT((2^$J$12-1)*U878/100)/(2^$J$12-1)*100</f>
        <v/>
      </c>
      <c r="X878" s="15">
        <f>M878 * 1.05</f>
        <v/>
      </c>
      <c r="Y878" s="15">
        <f>M878 * 0.95</f>
        <v/>
      </c>
      <c r="Z878" s="15">
        <f>IF(AND(V878 &lt;= X878, V878 &gt;= Y878), 1, 0)</f>
        <v/>
      </c>
    </row>
    <row r="879">
      <c r="L879" s="15" t="n">
        <v>877</v>
      </c>
      <c r="M879" s="15">
        <f>IF(L879&lt;$D$16,$D$13,IF(L879&lt;$E$16,$E$13,$F$13))</f>
        <v/>
      </c>
      <c r="N879" s="15">
        <f>M879-V879</f>
        <v/>
      </c>
      <c r="O879" s="15">
        <f>IF(MOD(L879,$B$11)=0,OFFSET(O879,-$B$11,0)+ $E$2*N879+$E$3*OFFSET(N879,-$B$11,0)+ $E$4*OFFSET(N879,-2* $B$11,0), O878)</f>
        <v/>
      </c>
      <c r="P879" s="15">
        <f>INT((2^$J$12-1)*O879/100)/(2^$J$12-1)*100</f>
        <v/>
      </c>
      <c r="Q879" s="15" t="n">
        <v>0</v>
      </c>
      <c r="R879" s="15">
        <f>P879+Q879</f>
        <v/>
      </c>
      <c r="S879" s="15">
        <f>$I$1*S878-$I$2*S877+$I$3*R858+$I$4*R857</f>
        <v/>
      </c>
      <c r="T879" s="15">
        <f>RAND()*$G$12</f>
        <v/>
      </c>
      <c r="U879" s="15">
        <f>S879+T879</f>
        <v/>
      </c>
      <c r="V879" s="15">
        <f>INT((2^$J$12-1)*U879/100)/(2^$J$12-1)*100</f>
        <v/>
      </c>
      <c r="X879" s="15">
        <f>M879 * 1.05</f>
        <v/>
      </c>
      <c r="Y879" s="15">
        <f>M879 * 0.95</f>
        <v/>
      </c>
      <c r="Z879" s="15">
        <f>IF(AND(V879 &lt;= X879, V879 &gt;= Y879), 1, 0)</f>
        <v/>
      </c>
    </row>
    <row r="880">
      <c r="L880" s="15" t="n">
        <v>878</v>
      </c>
      <c r="M880" s="15">
        <f>IF(L880&lt;$D$16,$D$13,IF(L880&lt;$E$16,$E$13,$F$13))</f>
        <v/>
      </c>
      <c r="N880" s="15">
        <f>M880-V880</f>
        <v/>
      </c>
      <c r="O880" s="15">
        <f>IF(MOD(L880,$B$11)=0,OFFSET(O880,-$B$11,0)+ $E$2*N880+$E$3*OFFSET(N880,-$B$11,0)+ $E$4*OFFSET(N880,-2* $B$11,0), O879)</f>
        <v/>
      </c>
      <c r="P880" s="15">
        <f>INT((2^$J$12-1)*O880/100)/(2^$J$12-1)*100</f>
        <v/>
      </c>
      <c r="Q880" s="15" t="n">
        <v>0</v>
      </c>
      <c r="R880" s="15">
        <f>P880+Q880</f>
        <v/>
      </c>
      <c r="S880" s="15">
        <f>$I$1*S879-$I$2*S878+$I$3*R859+$I$4*R858</f>
        <v/>
      </c>
      <c r="T880" s="15">
        <f>RAND()*$G$12</f>
        <v/>
      </c>
      <c r="U880" s="15">
        <f>S880+T880</f>
        <v/>
      </c>
      <c r="V880" s="15">
        <f>INT((2^$J$12-1)*U880/100)/(2^$J$12-1)*100</f>
        <v/>
      </c>
      <c r="X880" s="15">
        <f>M880 * 1.05</f>
        <v/>
      </c>
      <c r="Y880" s="15">
        <f>M880 * 0.95</f>
        <v/>
      </c>
      <c r="Z880" s="15">
        <f>IF(AND(V880 &lt;= X880, V880 &gt;= Y880), 1, 0)</f>
        <v/>
      </c>
    </row>
    <row r="881">
      <c r="L881" s="15" t="n">
        <v>879</v>
      </c>
      <c r="M881" s="15">
        <f>IF(L881&lt;$D$16,$D$13,IF(L881&lt;$E$16,$E$13,$F$13))</f>
        <v/>
      </c>
      <c r="N881" s="15">
        <f>M881-V881</f>
        <v/>
      </c>
      <c r="O881" s="15">
        <f>IF(MOD(L881,$B$11)=0,OFFSET(O881,-$B$11,0)+ $E$2*N881+$E$3*OFFSET(N881,-$B$11,0)+ $E$4*OFFSET(N881,-2* $B$11,0), O880)</f>
        <v/>
      </c>
      <c r="P881" s="15">
        <f>INT((2^$J$12-1)*O881/100)/(2^$J$12-1)*100</f>
        <v/>
      </c>
      <c r="Q881" s="15" t="n">
        <v>0</v>
      </c>
      <c r="R881" s="15">
        <f>P881+Q881</f>
        <v/>
      </c>
      <c r="S881" s="15">
        <f>$I$1*S880-$I$2*S879+$I$3*R860+$I$4*R859</f>
        <v/>
      </c>
      <c r="T881" s="15">
        <f>RAND()*$G$12</f>
        <v/>
      </c>
      <c r="U881" s="15">
        <f>S881+T881</f>
        <v/>
      </c>
      <c r="V881" s="15">
        <f>INT((2^$J$12-1)*U881/100)/(2^$J$12-1)*100</f>
        <v/>
      </c>
      <c r="X881" s="15">
        <f>M881 * 1.05</f>
        <v/>
      </c>
      <c r="Y881" s="15">
        <f>M881 * 0.95</f>
        <v/>
      </c>
      <c r="Z881" s="15">
        <f>IF(AND(V881 &lt;= X881, V881 &gt;= Y881), 1, 0)</f>
        <v/>
      </c>
    </row>
    <row r="882">
      <c r="L882" s="15" t="n">
        <v>880</v>
      </c>
      <c r="M882" s="15">
        <f>IF(L882&lt;$D$16,$D$13,IF(L882&lt;$E$16,$E$13,$F$13))</f>
        <v/>
      </c>
      <c r="N882" s="15">
        <f>M882-V882</f>
        <v/>
      </c>
      <c r="O882" s="15">
        <f>IF(MOD(L882,$B$11)=0,OFFSET(O882,-$B$11,0)+ $E$2*N882+$E$3*OFFSET(N882,-$B$11,0)+ $E$4*OFFSET(N882,-2* $B$11,0), O881)</f>
        <v/>
      </c>
      <c r="P882" s="15">
        <f>INT((2^$J$12-1)*O882/100)/(2^$J$12-1)*100</f>
        <v/>
      </c>
      <c r="Q882" s="15" t="n">
        <v>0</v>
      </c>
      <c r="R882" s="15">
        <f>P882+Q882</f>
        <v/>
      </c>
      <c r="S882" s="15">
        <f>$I$1*S881-$I$2*S880+$I$3*R861+$I$4*R860</f>
        <v/>
      </c>
      <c r="T882" s="15">
        <f>RAND()*$G$12</f>
        <v/>
      </c>
      <c r="U882" s="15">
        <f>S882+T882</f>
        <v/>
      </c>
      <c r="V882" s="15">
        <f>INT((2^$J$12-1)*U882/100)/(2^$J$12-1)*100</f>
        <v/>
      </c>
      <c r="X882" s="15">
        <f>M882 * 1.05</f>
        <v/>
      </c>
      <c r="Y882" s="15">
        <f>M882 * 0.95</f>
        <v/>
      </c>
      <c r="Z882" s="15">
        <f>IF(AND(V882 &lt;= X882, V882 &gt;= Y882), 1, 0)</f>
        <v/>
      </c>
    </row>
    <row r="883">
      <c r="L883" s="15" t="n">
        <v>881</v>
      </c>
      <c r="M883" s="15">
        <f>IF(L883&lt;$D$16,$D$13,IF(L883&lt;$E$16,$E$13,$F$13))</f>
        <v/>
      </c>
      <c r="N883" s="15">
        <f>M883-V883</f>
        <v/>
      </c>
      <c r="O883" s="15">
        <f>IF(MOD(L883,$B$11)=0,OFFSET(O883,-$B$11,0)+ $E$2*N883+$E$3*OFFSET(N883,-$B$11,0)+ $E$4*OFFSET(N883,-2* $B$11,0), O882)</f>
        <v/>
      </c>
      <c r="P883" s="15">
        <f>INT((2^$J$12-1)*O883/100)/(2^$J$12-1)*100</f>
        <v/>
      </c>
      <c r="Q883" s="15" t="n">
        <v>0</v>
      </c>
      <c r="R883" s="15">
        <f>P883+Q883</f>
        <v/>
      </c>
      <c r="S883" s="15">
        <f>$I$1*S882-$I$2*S881+$I$3*R862+$I$4*R861</f>
        <v/>
      </c>
      <c r="T883" s="15">
        <f>RAND()*$G$12</f>
        <v/>
      </c>
      <c r="U883" s="15">
        <f>S883+T883</f>
        <v/>
      </c>
      <c r="V883" s="15">
        <f>INT((2^$J$12-1)*U883/100)/(2^$J$12-1)*100</f>
        <v/>
      </c>
      <c r="X883" s="15">
        <f>M883 * 1.05</f>
        <v/>
      </c>
      <c r="Y883" s="15">
        <f>M883 * 0.95</f>
        <v/>
      </c>
      <c r="Z883" s="15">
        <f>IF(AND(V883 &lt;= X883, V883 &gt;= Y883), 1, 0)</f>
        <v/>
      </c>
    </row>
    <row r="884">
      <c r="L884" s="15" t="n">
        <v>882</v>
      </c>
      <c r="M884" s="15">
        <f>IF(L884&lt;$D$16,$D$13,IF(L884&lt;$E$16,$E$13,$F$13))</f>
        <v/>
      </c>
      <c r="N884" s="15">
        <f>M884-V884</f>
        <v/>
      </c>
      <c r="O884" s="15">
        <f>IF(MOD(L884,$B$11)=0,OFFSET(O884,-$B$11,0)+ $E$2*N884+$E$3*OFFSET(N884,-$B$11,0)+ $E$4*OFFSET(N884,-2* $B$11,0), O883)</f>
        <v/>
      </c>
      <c r="P884" s="15">
        <f>INT((2^$J$12-1)*O884/100)/(2^$J$12-1)*100</f>
        <v/>
      </c>
      <c r="Q884" s="15" t="n">
        <v>0</v>
      </c>
      <c r="R884" s="15">
        <f>P884+Q884</f>
        <v/>
      </c>
      <c r="S884" s="15">
        <f>$I$1*S883-$I$2*S882+$I$3*R863+$I$4*R862</f>
        <v/>
      </c>
      <c r="T884" s="15">
        <f>RAND()*$G$12</f>
        <v/>
      </c>
      <c r="U884" s="15">
        <f>S884+T884</f>
        <v/>
      </c>
      <c r="V884" s="15">
        <f>INT((2^$J$12-1)*U884/100)/(2^$J$12-1)*100</f>
        <v/>
      </c>
      <c r="X884" s="15">
        <f>M884 * 1.05</f>
        <v/>
      </c>
      <c r="Y884" s="15">
        <f>M884 * 0.95</f>
        <v/>
      </c>
      <c r="Z884" s="15">
        <f>IF(AND(V884 &lt;= X884, V884 &gt;= Y884), 1, 0)</f>
        <v/>
      </c>
    </row>
    <row r="885">
      <c r="L885" s="15" t="n">
        <v>883</v>
      </c>
      <c r="M885" s="15">
        <f>IF(L885&lt;$D$16,$D$13,IF(L885&lt;$E$16,$E$13,$F$13))</f>
        <v/>
      </c>
      <c r="N885" s="15">
        <f>M885-V885</f>
        <v/>
      </c>
      <c r="O885" s="15">
        <f>IF(MOD(L885,$B$11)=0,OFFSET(O885,-$B$11,0)+ $E$2*N885+$E$3*OFFSET(N885,-$B$11,0)+ $E$4*OFFSET(N885,-2* $B$11,0), O884)</f>
        <v/>
      </c>
      <c r="P885" s="15">
        <f>INT((2^$J$12-1)*O885/100)/(2^$J$12-1)*100</f>
        <v/>
      </c>
      <c r="Q885" s="15" t="n">
        <v>0</v>
      </c>
      <c r="R885" s="15">
        <f>P885+Q885</f>
        <v/>
      </c>
      <c r="S885" s="15">
        <f>$I$1*S884-$I$2*S883+$I$3*R864+$I$4*R863</f>
        <v/>
      </c>
      <c r="T885" s="15">
        <f>RAND()*$G$12</f>
        <v/>
      </c>
      <c r="U885" s="15">
        <f>S885+T885</f>
        <v/>
      </c>
      <c r="V885" s="15">
        <f>INT((2^$J$12-1)*U885/100)/(2^$J$12-1)*100</f>
        <v/>
      </c>
      <c r="X885" s="15">
        <f>M885 * 1.05</f>
        <v/>
      </c>
      <c r="Y885" s="15">
        <f>M885 * 0.95</f>
        <v/>
      </c>
      <c r="Z885" s="15">
        <f>IF(AND(V885 &lt;= X885, V885 &gt;= Y885), 1, 0)</f>
        <v/>
      </c>
    </row>
    <row r="886">
      <c r="L886" s="15" t="n">
        <v>884</v>
      </c>
      <c r="M886" s="15">
        <f>IF(L886&lt;$D$16,$D$13,IF(L886&lt;$E$16,$E$13,$F$13))</f>
        <v/>
      </c>
      <c r="N886" s="15">
        <f>M886-V886</f>
        <v/>
      </c>
      <c r="O886" s="15">
        <f>IF(MOD(L886,$B$11)=0,OFFSET(O886,-$B$11,0)+ $E$2*N886+$E$3*OFFSET(N886,-$B$11,0)+ $E$4*OFFSET(N886,-2* $B$11,0), O885)</f>
        <v/>
      </c>
      <c r="P886" s="15">
        <f>INT((2^$J$12-1)*O886/100)/(2^$J$12-1)*100</f>
        <v/>
      </c>
      <c r="Q886" s="15" t="n">
        <v>0</v>
      </c>
      <c r="R886" s="15">
        <f>P886+Q886</f>
        <v/>
      </c>
      <c r="S886" s="15">
        <f>$I$1*S885-$I$2*S884+$I$3*R865+$I$4*R864</f>
        <v/>
      </c>
      <c r="T886" s="15">
        <f>RAND()*$G$12</f>
        <v/>
      </c>
      <c r="U886" s="15">
        <f>S886+T886</f>
        <v/>
      </c>
      <c r="V886" s="15">
        <f>INT((2^$J$12-1)*U886/100)/(2^$J$12-1)*100</f>
        <v/>
      </c>
      <c r="X886" s="15">
        <f>M886 * 1.05</f>
        <v/>
      </c>
      <c r="Y886" s="15">
        <f>M886 * 0.95</f>
        <v/>
      </c>
      <c r="Z886" s="15">
        <f>IF(AND(V886 &lt;= X886, V886 &gt;= Y886), 1, 0)</f>
        <v/>
      </c>
    </row>
    <row r="887">
      <c r="L887" s="15" t="n">
        <v>885</v>
      </c>
      <c r="M887" s="15">
        <f>IF(L887&lt;$D$16,$D$13,IF(L887&lt;$E$16,$E$13,$F$13))</f>
        <v/>
      </c>
      <c r="N887" s="15">
        <f>M887-V887</f>
        <v/>
      </c>
      <c r="O887" s="15">
        <f>IF(MOD(L887,$B$11)=0,OFFSET(O887,-$B$11,0)+ $E$2*N887+$E$3*OFFSET(N887,-$B$11,0)+ $E$4*OFFSET(N887,-2* $B$11,0), O886)</f>
        <v/>
      </c>
      <c r="P887" s="15">
        <f>INT((2^$J$12-1)*O887/100)/(2^$J$12-1)*100</f>
        <v/>
      </c>
      <c r="Q887" s="15" t="n">
        <v>0</v>
      </c>
      <c r="R887" s="15">
        <f>P887+Q887</f>
        <v/>
      </c>
      <c r="S887" s="15">
        <f>$I$1*S886-$I$2*S885+$I$3*R866+$I$4*R865</f>
        <v/>
      </c>
      <c r="T887" s="15">
        <f>RAND()*$G$12</f>
        <v/>
      </c>
      <c r="U887" s="15">
        <f>S887+T887</f>
        <v/>
      </c>
      <c r="V887" s="15">
        <f>INT((2^$J$12-1)*U887/100)/(2^$J$12-1)*100</f>
        <v/>
      </c>
      <c r="X887" s="15">
        <f>M887 * 1.05</f>
        <v/>
      </c>
      <c r="Y887" s="15">
        <f>M887 * 0.95</f>
        <v/>
      </c>
      <c r="Z887" s="15">
        <f>IF(AND(V887 &lt;= X887, V887 &gt;= Y887), 1, 0)</f>
        <v/>
      </c>
    </row>
    <row r="888">
      <c r="L888" s="15" t="n">
        <v>886</v>
      </c>
      <c r="M888" s="15">
        <f>IF(L888&lt;$D$16,$D$13,IF(L888&lt;$E$16,$E$13,$F$13))</f>
        <v/>
      </c>
      <c r="N888" s="15">
        <f>M888-V888</f>
        <v/>
      </c>
      <c r="O888" s="15">
        <f>IF(MOD(L888,$B$11)=0,OFFSET(O888,-$B$11,0)+ $E$2*N888+$E$3*OFFSET(N888,-$B$11,0)+ $E$4*OFFSET(N888,-2* $B$11,0), O887)</f>
        <v/>
      </c>
      <c r="P888" s="15">
        <f>INT((2^$J$12-1)*O888/100)/(2^$J$12-1)*100</f>
        <v/>
      </c>
      <c r="Q888" s="15" t="n">
        <v>0</v>
      </c>
      <c r="R888" s="15">
        <f>P888+Q888</f>
        <v/>
      </c>
      <c r="S888" s="15">
        <f>$I$1*S887-$I$2*S886+$I$3*R867+$I$4*R866</f>
        <v/>
      </c>
      <c r="T888" s="15">
        <f>RAND()*$G$12</f>
        <v/>
      </c>
      <c r="U888" s="15">
        <f>S888+T888</f>
        <v/>
      </c>
      <c r="V888" s="15">
        <f>INT((2^$J$12-1)*U888/100)/(2^$J$12-1)*100</f>
        <v/>
      </c>
      <c r="X888" s="15">
        <f>M888 * 1.05</f>
        <v/>
      </c>
      <c r="Y888" s="15">
        <f>M888 * 0.95</f>
        <v/>
      </c>
      <c r="Z888" s="15">
        <f>IF(AND(V888 &lt;= X888, V888 &gt;= Y888), 1, 0)</f>
        <v/>
      </c>
    </row>
    <row r="889">
      <c r="L889" s="15" t="n">
        <v>887</v>
      </c>
      <c r="M889" s="15">
        <f>IF(L889&lt;$D$16,$D$13,IF(L889&lt;$E$16,$E$13,$F$13))</f>
        <v/>
      </c>
      <c r="N889" s="15">
        <f>M889-V889</f>
        <v/>
      </c>
      <c r="O889" s="15">
        <f>IF(MOD(L889,$B$11)=0,OFFSET(O889,-$B$11,0)+ $E$2*N889+$E$3*OFFSET(N889,-$B$11,0)+ $E$4*OFFSET(N889,-2* $B$11,0), O888)</f>
        <v/>
      </c>
      <c r="P889" s="15">
        <f>INT((2^$J$12-1)*O889/100)/(2^$J$12-1)*100</f>
        <v/>
      </c>
      <c r="Q889" s="15" t="n">
        <v>0</v>
      </c>
      <c r="R889" s="15">
        <f>P889+Q889</f>
        <v/>
      </c>
      <c r="S889" s="15">
        <f>$I$1*S888-$I$2*S887+$I$3*R868+$I$4*R867</f>
        <v/>
      </c>
      <c r="T889" s="15">
        <f>RAND()*$G$12</f>
        <v/>
      </c>
      <c r="U889" s="15">
        <f>S889+T889</f>
        <v/>
      </c>
      <c r="V889" s="15">
        <f>INT((2^$J$12-1)*U889/100)/(2^$J$12-1)*100</f>
        <v/>
      </c>
      <c r="X889" s="15">
        <f>M889 * 1.05</f>
        <v/>
      </c>
      <c r="Y889" s="15">
        <f>M889 * 0.95</f>
        <v/>
      </c>
      <c r="Z889" s="15">
        <f>IF(AND(V889 &lt;= X889, V889 &gt;= Y889), 1, 0)</f>
        <v/>
      </c>
    </row>
    <row r="890">
      <c r="L890" s="15" t="n">
        <v>888</v>
      </c>
      <c r="M890" s="15">
        <f>IF(L890&lt;$D$16,$D$13,IF(L890&lt;$E$16,$E$13,$F$13))</f>
        <v/>
      </c>
      <c r="N890" s="15">
        <f>M890-V890</f>
        <v/>
      </c>
      <c r="O890" s="15">
        <f>IF(MOD(L890,$B$11)=0,OFFSET(O890,-$B$11,0)+ $E$2*N890+$E$3*OFFSET(N890,-$B$11,0)+ $E$4*OFFSET(N890,-2* $B$11,0), O889)</f>
        <v/>
      </c>
      <c r="P890" s="15">
        <f>INT((2^$J$12-1)*O890/100)/(2^$J$12-1)*100</f>
        <v/>
      </c>
      <c r="Q890" s="15" t="n">
        <v>0</v>
      </c>
      <c r="R890" s="15">
        <f>P890+Q890</f>
        <v/>
      </c>
      <c r="S890" s="15">
        <f>$I$1*S889-$I$2*S888+$I$3*R869+$I$4*R868</f>
        <v/>
      </c>
      <c r="T890" s="15">
        <f>RAND()*$G$12</f>
        <v/>
      </c>
      <c r="U890" s="15">
        <f>S890+T890</f>
        <v/>
      </c>
      <c r="V890" s="15">
        <f>INT((2^$J$12-1)*U890/100)/(2^$J$12-1)*100</f>
        <v/>
      </c>
      <c r="X890" s="15">
        <f>M890 * 1.05</f>
        <v/>
      </c>
      <c r="Y890" s="15">
        <f>M890 * 0.95</f>
        <v/>
      </c>
      <c r="Z890" s="15">
        <f>IF(AND(V890 &lt;= X890, V890 &gt;= Y890), 1, 0)</f>
        <v/>
      </c>
    </row>
    <row r="891">
      <c r="L891" s="15" t="n">
        <v>889</v>
      </c>
      <c r="M891" s="15">
        <f>IF(L891&lt;$D$16,$D$13,IF(L891&lt;$E$16,$E$13,$F$13))</f>
        <v/>
      </c>
      <c r="N891" s="15">
        <f>M891-V891</f>
        <v/>
      </c>
      <c r="O891" s="15">
        <f>IF(MOD(L891,$B$11)=0,OFFSET(O891,-$B$11,0)+ $E$2*N891+$E$3*OFFSET(N891,-$B$11,0)+ $E$4*OFFSET(N891,-2* $B$11,0), O890)</f>
        <v/>
      </c>
      <c r="P891" s="15">
        <f>INT((2^$J$12-1)*O891/100)/(2^$J$12-1)*100</f>
        <v/>
      </c>
      <c r="Q891" s="15" t="n">
        <v>0</v>
      </c>
      <c r="R891" s="15">
        <f>P891+Q891</f>
        <v/>
      </c>
      <c r="S891" s="15">
        <f>$I$1*S890-$I$2*S889+$I$3*R870+$I$4*R869</f>
        <v/>
      </c>
      <c r="T891" s="15">
        <f>RAND()*$G$12</f>
        <v/>
      </c>
      <c r="U891" s="15">
        <f>S891+T891</f>
        <v/>
      </c>
      <c r="V891" s="15">
        <f>INT((2^$J$12-1)*U891/100)/(2^$J$12-1)*100</f>
        <v/>
      </c>
      <c r="X891" s="15">
        <f>M891 * 1.05</f>
        <v/>
      </c>
      <c r="Y891" s="15">
        <f>M891 * 0.95</f>
        <v/>
      </c>
      <c r="Z891" s="15">
        <f>IF(AND(V891 &lt;= X891, V891 &gt;= Y891), 1, 0)</f>
        <v/>
      </c>
    </row>
    <row r="892">
      <c r="L892" s="15" t="n">
        <v>890</v>
      </c>
      <c r="M892" s="15">
        <f>IF(L892&lt;$D$16,$D$13,IF(L892&lt;$E$16,$E$13,$F$13))</f>
        <v/>
      </c>
      <c r="N892" s="15">
        <f>M892-V892</f>
        <v/>
      </c>
      <c r="O892" s="15">
        <f>IF(MOD(L892,$B$11)=0,OFFSET(O892,-$B$11,0)+ $E$2*N892+$E$3*OFFSET(N892,-$B$11,0)+ $E$4*OFFSET(N892,-2* $B$11,0), O891)</f>
        <v/>
      </c>
      <c r="P892" s="15">
        <f>INT((2^$J$12-1)*O892/100)/(2^$J$12-1)*100</f>
        <v/>
      </c>
      <c r="Q892" s="15" t="n">
        <v>0</v>
      </c>
      <c r="R892" s="15">
        <f>P892+Q892</f>
        <v/>
      </c>
      <c r="S892" s="15">
        <f>$I$1*S891-$I$2*S890+$I$3*R871+$I$4*R870</f>
        <v/>
      </c>
      <c r="T892" s="15">
        <f>RAND()*$G$12</f>
        <v/>
      </c>
      <c r="U892" s="15">
        <f>S892+T892</f>
        <v/>
      </c>
      <c r="V892" s="15">
        <f>INT((2^$J$12-1)*U892/100)/(2^$J$12-1)*100</f>
        <v/>
      </c>
      <c r="X892" s="15">
        <f>M892 * 1.05</f>
        <v/>
      </c>
      <c r="Y892" s="15">
        <f>M892 * 0.95</f>
        <v/>
      </c>
      <c r="Z892" s="15">
        <f>IF(AND(V892 &lt;= X892, V892 &gt;= Y892), 1, 0)</f>
        <v/>
      </c>
    </row>
    <row r="893">
      <c r="L893" s="15" t="n">
        <v>891</v>
      </c>
      <c r="M893" s="15">
        <f>IF(L893&lt;$D$16,$D$13,IF(L893&lt;$E$16,$E$13,$F$13))</f>
        <v/>
      </c>
      <c r="N893" s="15">
        <f>M893-V893</f>
        <v/>
      </c>
      <c r="O893" s="15">
        <f>IF(MOD(L893,$B$11)=0,OFFSET(O893,-$B$11,0)+ $E$2*N893+$E$3*OFFSET(N893,-$B$11,0)+ $E$4*OFFSET(N893,-2* $B$11,0), O892)</f>
        <v/>
      </c>
      <c r="P893" s="15">
        <f>INT((2^$J$12-1)*O893/100)/(2^$J$12-1)*100</f>
        <v/>
      </c>
      <c r="Q893" s="15" t="n">
        <v>0</v>
      </c>
      <c r="R893" s="15">
        <f>P893+Q893</f>
        <v/>
      </c>
      <c r="S893" s="15">
        <f>$I$1*S892-$I$2*S891+$I$3*R872+$I$4*R871</f>
        <v/>
      </c>
      <c r="T893" s="15">
        <f>RAND()*$G$12</f>
        <v/>
      </c>
      <c r="U893" s="15">
        <f>S893+T893</f>
        <v/>
      </c>
      <c r="V893" s="15">
        <f>INT((2^$J$12-1)*U893/100)/(2^$J$12-1)*100</f>
        <v/>
      </c>
      <c r="X893" s="15">
        <f>M893 * 1.05</f>
        <v/>
      </c>
      <c r="Y893" s="15">
        <f>M893 * 0.95</f>
        <v/>
      </c>
      <c r="Z893" s="15">
        <f>IF(AND(V893 &lt;= X893, V893 &gt;= Y893), 1, 0)</f>
        <v/>
      </c>
    </row>
    <row r="894">
      <c r="L894" s="15" t="n">
        <v>892</v>
      </c>
      <c r="M894" s="15">
        <f>IF(L894&lt;$D$16,$D$13,IF(L894&lt;$E$16,$E$13,$F$13))</f>
        <v/>
      </c>
      <c r="N894" s="15">
        <f>M894-V894</f>
        <v/>
      </c>
      <c r="O894" s="15">
        <f>IF(MOD(L894,$B$11)=0,OFFSET(O894,-$B$11,0)+ $E$2*N894+$E$3*OFFSET(N894,-$B$11,0)+ $E$4*OFFSET(N894,-2* $B$11,0), O893)</f>
        <v/>
      </c>
      <c r="P894" s="15">
        <f>INT((2^$J$12-1)*O894/100)/(2^$J$12-1)*100</f>
        <v/>
      </c>
      <c r="Q894" s="15" t="n">
        <v>0</v>
      </c>
      <c r="R894" s="15">
        <f>P894+Q894</f>
        <v/>
      </c>
      <c r="S894" s="15">
        <f>$I$1*S893-$I$2*S892+$I$3*R873+$I$4*R872</f>
        <v/>
      </c>
      <c r="T894" s="15">
        <f>RAND()*$G$12</f>
        <v/>
      </c>
      <c r="U894" s="15">
        <f>S894+T894</f>
        <v/>
      </c>
      <c r="V894" s="15">
        <f>INT((2^$J$12-1)*U894/100)/(2^$J$12-1)*100</f>
        <v/>
      </c>
      <c r="X894" s="15">
        <f>M894 * 1.05</f>
        <v/>
      </c>
      <c r="Y894" s="15">
        <f>M894 * 0.95</f>
        <v/>
      </c>
      <c r="Z894" s="15">
        <f>IF(AND(V894 &lt;= X894, V894 &gt;= Y894), 1, 0)</f>
        <v/>
      </c>
    </row>
    <row r="895">
      <c r="L895" s="15" t="n">
        <v>893</v>
      </c>
      <c r="M895" s="15">
        <f>IF(L895&lt;$D$16,$D$13,IF(L895&lt;$E$16,$E$13,$F$13))</f>
        <v/>
      </c>
      <c r="N895" s="15">
        <f>M895-V895</f>
        <v/>
      </c>
      <c r="O895" s="15">
        <f>IF(MOD(L895,$B$11)=0,OFFSET(O895,-$B$11,0)+ $E$2*N895+$E$3*OFFSET(N895,-$B$11,0)+ $E$4*OFFSET(N895,-2* $B$11,0), O894)</f>
        <v/>
      </c>
      <c r="P895" s="15">
        <f>INT((2^$J$12-1)*O895/100)/(2^$J$12-1)*100</f>
        <v/>
      </c>
      <c r="Q895" s="15" t="n">
        <v>0</v>
      </c>
      <c r="R895" s="15">
        <f>P895+Q895</f>
        <v/>
      </c>
      <c r="S895" s="15">
        <f>$I$1*S894-$I$2*S893+$I$3*R874+$I$4*R873</f>
        <v/>
      </c>
      <c r="T895" s="15">
        <f>RAND()*$G$12</f>
        <v/>
      </c>
      <c r="U895" s="15">
        <f>S895+T895</f>
        <v/>
      </c>
      <c r="V895" s="15">
        <f>INT((2^$J$12-1)*U895/100)/(2^$J$12-1)*100</f>
        <v/>
      </c>
      <c r="X895" s="15">
        <f>M895 * 1.05</f>
        <v/>
      </c>
      <c r="Y895" s="15">
        <f>M895 * 0.95</f>
        <v/>
      </c>
      <c r="Z895" s="15">
        <f>IF(AND(V895 &lt;= X895, V895 &gt;= Y895), 1, 0)</f>
        <v/>
      </c>
    </row>
    <row r="896">
      <c r="L896" s="15" t="n">
        <v>894</v>
      </c>
      <c r="M896" s="15">
        <f>IF(L896&lt;$D$16,$D$13,IF(L896&lt;$E$16,$E$13,$F$13))</f>
        <v/>
      </c>
      <c r="N896" s="15">
        <f>M896-V896</f>
        <v/>
      </c>
      <c r="O896" s="15">
        <f>IF(MOD(L896,$B$11)=0,OFFSET(O896,-$B$11,0)+ $E$2*N896+$E$3*OFFSET(N896,-$B$11,0)+ $E$4*OFFSET(N896,-2* $B$11,0), O895)</f>
        <v/>
      </c>
      <c r="P896" s="15">
        <f>INT((2^$J$12-1)*O896/100)/(2^$J$12-1)*100</f>
        <v/>
      </c>
      <c r="Q896" s="15" t="n">
        <v>0</v>
      </c>
      <c r="R896" s="15">
        <f>P896+Q896</f>
        <v/>
      </c>
      <c r="S896" s="15">
        <f>$I$1*S895-$I$2*S894+$I$3*R875+$I$4*R874</f>
        <v/>
      </c>
      <c r="T896" s="15">
        <f>RAND()*$G$12</f>
        <v/>
      </c>
      <c r="U896" s="15">
        <f>S896+T896</f>
        <v/>
      </c>
      <c r="V896" s="15">
        <f>INT((2^$J$12-1)*U896/100)/(2^$J$12-1)*100</f>
        <v/>
      </c>
      <c r="X896" s="15">
        <f>M896 * 1.05</f>
        <v/>
      </c>
      <c r="Y896" s="15">
        <f>M896 * 0.95</f>
        <v/>
      </c>
      <c r="Z896" s="15">
        <f>IF(AND(V896 &lt;= X896, V896 &gt;= Y896), 1, 0)</f>
        <v/>
      </c>
    </row>
    <row r="897">
      <c r="L897" s="15" t="n">
        <v>895</v>
      </c>
      <c r="M897" s="15">
        <f>IF(L897&lt;$D$16,$D$13,IF(L897&lt;$E$16,$E$13,$F$13))</f>
        <v/>
      </c>
      <c r="N897" s="15">
        <f>M897-V897</f>
        <v/>
      </c>
      <c r="O897" s="15">
        <f>IF(MOD(L897,$B$11)=0,OFFSET(O897,-$B$11,0)+ $E$2*N897+$E$3*OFFSET(N897,-$B$11,0)+ $E$4*OFFSET(N897,-2* $B$11,0), O896)</f>
        <v/>
      </c>
      <c r="P897" s="15">
        <f>INT((2^$J$12-1)*O897/100)/(2^$J$12-1)*100</f>
        <v/>
      </c>
      <c r="Q897" s="15" t="n">
        <v>0</v>
      </c>
      <c r="R897" s="15">
        <f>P897+Q897</f>
        <v/>
      </c>
      <c r="S897" s="15">
        <f>$I$1*S896-$I$2*S895+$I$3*R876+$I$4*R875</f>
        <v/>
      </c>
      <c r="T897" s="15">
        <f>RAND()*$G$12</f>
        <v/>
      </c>
      <c r="U897" s="15">
        <f>S897+T897</f>
        <v/>
      </c>
      <c r="V897" s="15">
        <f>INT((2^$J$12-1)*U897/100)/(2^$J$12-1)*100</f>
        <v/>
      </c>
      <c r="X897" s="15">
        <f>M897 * 1.05</f>
        <v/>
      </c>
      <c r="Y897" s="15">
        <f>M897 * 0.95</f>
        <v/>
      </c>
      <c r="Z897" s="15">
        <f>IF(AND(V897 &lt;= X897, V897 &gt;= Y897), 1, 0)</f>
        <v/>
      </c>
    </row>
    <row r="898">
      <c r="L898" s="15" t="n">
        <v>896</v>
      </c>
      <c r="M898" s="15">
        <f>IF(L898&lt;$D$16,$D$13,IF(L898&lt;$E$16,$E$13,$F$13))</f>
        <v/>
      </c>
      <c r="N898" s="15">
        <f>M898-V898</f>
        <v/>
      </c>
      <c r="O898" s="15">
        <f>IF(MOD(L898,$B$11)=0,OFFSET(O898,-$B$11,0)+ $E$2*N898+$E$3*OFFSET(N898,-$B$11,0)+ $E$4*OFFSET(N898,-2* $B$11,0), O897)</f>
        <v/>
      </c>
      <c r="P898" s="15">
        <f>INT((2^$J$12-1)*O898/100)/(2^$J$12-1)*100</f>
        <v/>
      </c>
      <c r="Q898" s="15" t="n">
        <v>0</v>
      </c>
      <c r="R898" s="15">
        <f>P898+Q898</f>
        <v/>
      </c>
      <c r="S898" s="15">
        <f>$I$1*S897-$I$2*S896+$I$3*R877+$I$4*R876</f>
        <v/>
      </c>
      <c r="T898" s="15">
        <f>RAND()*$G$12</f>
        <v/>
      </c>
      <c r="U898" s="15">
        <f>S898+T898</f>
        <v/>
      </c>
      <c r="V898" s="15">
        <f>INT((2^$J$12-1)*U898/100)/(2^$J$12-1)*100</f>
        <v/>
      </c>
      <c r="X898" s="15">
        <f>M898 * 1.05</f>
        <v/>
      </c>
      <c r="Y898" s="15">
        <f>M898 * 0.95</f>
        <v/>
      </c>
      <c r="Z898" s="15">
        <f>IF(AND(V898 &lt;= X898, V898 &gt;= Y898), 1, 0)</f>
        <v/>
      </c>
    </row>
    <row r="899">
      <c r="L899" s="15" t="n">
        <v>897</v>
      </c>
      <c r="M899" s="15">
        <f>IF(L899&lt;$D$16,$D$13,IF(L899&lt;$E$16,$E$13,$F$13))</f>
        <v/>
      </c>
      <c r="N899" s="15">
        <f>M899-V899</f>
        <v/>
      </c>
      <c r="O899" s="15">
        <f>IF(MOD(L899,$B$11)=0,OFFSET(O899,-$B$11,0)+ $E$2*N899+$E$3*OFFSET(N899,-$B$11,0)+ $E$4*OFFSET(N899,-2* $B$11,0), O898)</f>
        <v/>
      </c>
      <c r="P899" s="15">
        <f>INT((2^$J$12-1)*O899/100)/(2^$J$12-1)*100</f>
        <v/>
      </c>
      <c r="Q899" s="15" t="n">
        <v>0</v>
      </c>
      <c r="R899" s="15">
        <f>P899+Q899</f>
        <v/>
      </c>
      <c r="S899" s="15">
        <f>$I$1*S898-$I$2*S897+$I$3*R878+$I$4*R877</f>
        <v/>
      </c>
      <c r="T899" s="15">
        <f>RAND()*$G$12</f>
        <v/>
      </c>
      <c r="U899" s="15">
        <f>S899+T899</f>
        <v/>
      </c>
      <c r="V899" s="15">
        <f>INT((2^$J$12-1)*U899/100)/(2^$J$12-1)*100</f>
        <v/>
      </c>
      <c r="X899" s="15">
        <f>M899 * 1.05</f>
        <v/>
      </c>
      <c r="Y899" s="15">
        <f>M899 * 0.95</f>
        <v/>
      </c>
      <c r="Z899" s="15">
        <f>IF(AND(V899 &lt;= X899, V899 &gt;= Y899), 1, 0)</f>
        <v/>
      </c>
    </row>
    <row r="900">
      <c r="L900" s="15" t="n">
        <v>898</v>
      </c>
      <c r="M900" s="15">
        <f>IF(L900&lt;$D$16,$D$13,IF(L900&lt;$E$16,$E$13,$F$13))</f>
        <v/>
      </c>
      <c r="N900" s="15">
        <f>M900-V900</f>
        <v/>
      </c>
      <c r="O900" s="15">
        <f>IF(MOD(L900,$B$11)=0,OFFSET(O900,-$B$11,0)+ $E$2*N900+$E$3*OFFSET(N900,-$B$11,0)+ $E$4*OFFSET(N900,-2* $B$11,0), O899)</f>
        <v/>
      </c>
      <c r="P900" s="15">
        <f>INT((2^$J$12-1)*O900/100)/(2^$J$12-1)*100</f>
        <v/>
      </c>
      <c r="Q900" s="15" t="n">
        <v>0</v>
      </c>
      <c r="R900" s="15">
        <f>P900+Q900</f>
        <v/>
      </c>
      <c r="S900" s="15">
        <f>$I$1*S899-$I$2*S898+$I$3*R879+$I$4*R878</f>
        <v/>
      </c>
      <c r="T900" s="15">
        <f>RAND()*$G$12</f>
        <v/>
      </c>
      <c r="U900" s="15">
        <f>S900+T900</f>
        <v/>
      </c>
      <c r="V900" s="15">
        <f>INT((2^$J$12-1)*U900/100)/(2^$J$12-1)*100</f>
        <v/>
      </c>
      <c r="X900" s="15">
        <f>M900 * 1.05</f>
        <v/>
      </c>
      <c r="Y900" s="15">
        <f>M900 * 0.95</f>
        <v/>
      </c>
      <c r="Z900" s="15">
        <f>IF(AND(V900 &lt;= X900, V900 &gt;= Y900), 1, 0)</f>
        <v/>
      </c>
    </row>
    <row r="901">
      <c r="L901" s="15" t="n">
        <v>899</v>
      </c>
      <c r="M901" s="15">
        <f>IF(L901&lt;$D$16,$D$13,IF(L901&lt;$E$16,$E$13,$F$13))</f>
        <v/>
      </c>
      <c r="N901" s="15">
        <f>M901-V901</f>
        <v/>
      </c>
      <c r="O901" s="15">
        <f>IF(MOD(L901,$B$11)=0,OFFSET(O901,-$B$11,0)+ $E$2*N901+$E$3*OFFSET(N901,-$B$11,0)+ $E$4*OFFSET(N901,-2* $B$11,0), O900)</f>
        <v/>
      </c>
      <c r="P901" s="15">
        <f>INT((2^$J$12-1)*O901/100)/(2^$J$12-1)*100</f>
        <v/>
      </c>
      <c r="Q901" s="15" t="n">
        <v>0</v>
      </c>
      <c r="R901" s="15">
        <f>P901+Q901</f>
        <v/>
      </c>
      <c r="S901" s="15">
        <f>$I$1*S900-$I$2*S899+$I$3*R880+$I$4*R879</f>
        <v/>
      </c>
      <c r="T901" s="15">
        <f>RAND()*$G$12</f>
        <v/>
      </c>
      <c r="U901" s="15">
        <f>S901+T901</f>
        <v/>
      </c>
      <c r="V901" s="15">
        <f>INT((2^$J$12-1)*U901/100)/(2^$J$12-1)*100</f>
        <v/>
      </c>
      <c r="X901" s="15">
        <f>M901 * 1.05</f>
        <v/>
      </c>
      <c r="Y901" s="15">
        <f>M901 * 0.95</f>
        <v/>
      </c>
      <c r="Z901" s="15">
        <f>IF(AND(V901 &lt;= X901, V901 &gt;= Y901), 1, 0)</f>
        <v/>
      </c>
    </row>
    <row r="902">
      <c r="L902" s="15" t="n">
        <v>900</v>
      </c>
      <c r="M902" s="15">
        <f>IF(L902&lt;$D$16,$D$13,IF(L902&lt;$E$16,$E$13,$F$13))</f>
        <v/>
      </c>
      <c r="N902" s="15">
        <f>M902-V902</f>
        <v/>
      </c>
      <c r="O902" s="15">
        <f>IF(MOD(L902,$B$11)=0,OFFSET(O902,-$B$11,0)+ $E$2*N902+$E$3*OFFSET(N902,-$B$11,0)+ $E$4*OFFSET(N902,-2* $B$11,0), O901)</f>
        <v/>
      </c>
      <c r="P902" s="15">
        <f>INT((2^$J$12-1)*O902/100)/(2^$J$12-1)*100</f>
        <v/>
      </c>
      <c r="Q902" s="15" t="n">
        <v>0</v>
      </c>
      <c r="R902" s="15">
        <f>P902+Q902</f>
        <v/>
      </c>
      <c r="S902" s="15">
        <f>$I$1*S901-$I$2*S900+$I$3*R881+$I$4*R880</f>
        <v/>
      </c>
      <c r="T902" s="15">
        <f>RAND()*$G$12</f>
        <v/>
      </c>
      <c r="U902" s="15">
        <f>S902+T902</f>
        <v/>
      </c>
      <c r="V902" s="15">
        <f>INT((2^$J$12-1)*U902/100)/(2^$J$12-1)*100</f>
        <v/>
      </c>
      <c r="X902" s="15">
        <f>M902 * 1.05</f>
        <v/>
      </c>
      <c r="Y902" s="15">
        <f>M902 * 0.95</f>
        <v/>
      </c>
      <c r="Z902" s="15">
        <f>IF(AND(V902 &lt;= X902, V902 &gt;= Y902), 1, 0)</f>
        <v/>
      </c>
    </row>
    <row r="903">
      <c r="L903" s="15" t="n">
        <v>901</v>
      </c>
      <c r="M903" s="15">
        <f>IF(L903&lt;$D$16,$D$13,IF(L903&lt;$E$16,$E$13,$F$13))</f>
        <v/>
      </c>
      <c r="N903" s="15">
        <f>M903-V903</f>
        <v/>
      </c>
      <c r="O903" s="15">
        <f>IF(MOD(L903,$B$11)=0,OFFSET(O903,-$B$11,0)+ $E$2*N903+$E$3*OFFSET(N903,-$B$11,0)+ $E$4*OFFSET(N903,-2* $B$11,0), O902)</f>
        <v/>
      </c>
      <c r="P903" s="15">
        <f>INT((2^$J$12-1)*O903/100)/(2^$J$12-1)*100</f>
        <v/>
      </c>
      <c r="Q903" s="15" t="n">
        <v>0</v>
      </c>
      <c r="R903" s="15">
        <f>P903+Q903</f>
        <v/>
      </c>
      <c r="S903" s="15">
        <f>$I$1*S902-$I$2*S901+$I$3*R882+$I$4*R881</f>
        <v/>
      </c>
      <c r="T903" s="15">
        <f>RAND()*$G$12</f>
        <v/>
      </c>
      <c r="U903" s="15">
        <f>S903+T903</f>
        <v/>
      </c>
      <c r="V903" s="15">
        <f>INT((2^$J$12-1)*U903/100)/(2^$J$12-1)*100</f>
        <v/>
      </c>
      <c r="X903" s="15">
        <f>M903 * 1.05</f>
        <v/>
      </c>
      <c r="Y903" s="15">
        <f>M903 * 0.95</f>
        <v/>
      </c>
      <c r="Z903" s="15">
        <f>IF(AND(V903 &lt;= X903, V903 &gt;= Y903), 1, 0)</f>
        <v/>
      </c>
    </row>
    <row r="904">
      <c r="L904" s="15" t="n">
        <v>902</v>
      </c>
      <c r="M904" s="15">
        <f>IF(L904&lt;$D$16,$D$13,IF(L904&lt;$E$16,$E$13,$F$13))</f>
        <v/>
      </c>
      <c r="N904" s="15">
        <f>M904-V904</f>
        <v/>
      </c>
      <c r="O904" s="15">
        <f>IF(MOD(L904,$B$11)=0,OFFSET(O904,-$B$11,0)+ $E$2*N904+$E$3*OFFSET(N904,-$B$11,0)+ $E$4*OFFSET(N904,-2* $B$11,0), O903)</f>
        <v/>
      </c>
      <c r="P904" s="15">
        <f>INT((2^$J$12-1)*O904/100)/(2^$J$12-1)*100</f>
        <v/>
      </c>
      <c r="Q904" s="15" t="n">
        <v>0</v>
      </c>
      <c r="R904" s="15">
        <f>P904+Q904</f>
        <v/>
      </c>
      <c r="S904" s="15">
        <f>$I$1*S903-$I$2*S902+$I$3*R883+$I$4*R882</f>
        <v/>
      </c>
      <c r="T904" s="15">
        <f>RAND()*$G$12</f>
        <v/>
      </c>
      <c r="U904" s="15">
        <f>S904+T904</f>
        <v/>
      </c>
      <c r="V904" s="15">
        <f>INT((2^$J$12-1)*U904/100)/(2^$J$12-1)*100</f>
        <v/>
      </c>
      <c r="X904" s="15">
        <f>M904 * 1.05</f>
        <v/>
      </c>
      <c r="Y904" s="15">
        <f>M904 * 0.95</f>
        <v/>
      </c>
      <c r="Z904" s="15">
        <f>IF(AND(V904 &lt;= X904, V904 &gt;= Y904), 1, 0)</f>
        <v/>
      </c>
    </row>
    <row r="905">
      <c r="L905" s="15" t="n">
        <v>903</v>
      </c>
      <c r="M905" s="15">
        <f>IF(L905&lt;$D$16,$D$13,IF(L905&lt;$E$16,$E$13,$F$13))</f>
        <v/>
      </c>
      <c r="N905" s="15">
        <f>M905-V905</f>
        <v/>
      </c>
      <c r="O905" s="15">
        <f>IF(MOD(L905,$B$11)=0,OFFSET(O905,-$B$11,0)+ $E$2*N905+$E$3*OFFSET(N905,-$B$11,0)+ $E$4*OFFSET(N905,-2* $B$11,0), O904)</f>
        <v/>
      </c>
      <c r="P905" s="15">
        <f>INT((2^$J$12-1)*O905/100)/(2^$J$12-1)*100</f>
        <v/>
      </c>
      <c r="Q905" s="15" t="n">
        <v>0</v>
      </c>
      <c r="R905" s="15">
        <f>P905+Q905</f>
        <v/>
      </c>
      <c r="S905" s="15">
        <f>$I$1*S904-$I$2*S903+$I$3*R884+$I$4*R883</f>
        <v/>
      </c>
      <c r="T905" s="15">
        <f>RAND()*$G$12</f>
        <v/>
      </c>
      <c r="U905" s="15">
        <f>S905+T905</f>
        <v/>
      </c>
      <c r="V905" s="15">
        <f>INT((2^$J$12-1)*U905/100)/(2^$J$12-1)*100</f>
        <v/>
      </c>
      <c r="X905" s="15">
        <f>M905 * 1.05</f>
        <v/>
      </c>
      <c r="Y905" s="15">
        <f>M905 * 0.95</f>
        <v/>
      </c>
      <c r="Z905" s="15">
        <f>IF(AND(V905 &lt;= X905, V905 &gt;= Y905), 1, 0)</f>
        <v/>
      </c>
    </row>
    <row r="906">
      <c r="L906" s="15" t="n">
        <v>904</v>
      </c>
      <c r="M906" s="15">
        <f>IF(L906&lt;$D$16,$D$13,IF(L906&lt;$E$16,$E$13,$F$13))</f>
        <v/>
      </c>
      <c r="N906" s="15">
        <f>M906-V906</f>
        <v/>
      </c>
      <c r="O906" s="15">
        <f>IF(MOD(L906,$B$11)=0,OFFSET(O906,-$B$11,0)+ $E$2*N906+$E$3*OFFSET(N906,-$B$11,0)+ $E$4*OFFSET(N906,-2* $B$11,0), O905)</f>
        <v/>
      </c>
      <c r="P906" s="15">
        <f>INT((2^$J$12-1)*O906/100)/(2^$J$12-1)*100</f>
        <v/>
      </c>
      <c r="Q906" s="15" t="n">
        <v>0</v>
      </c>
      <c r="R906" s="15">
        <f>P906+Q906</f>
        <v/>
      </c>
      <c r="S906" s="15">
        <f>$I$1*S905-$I$2*S904+$I$3*R885+$I$4*R884</f>
        <v/>
      </c>
      <c r="T906" s="15">
        <f>RAND()*$G$12</f>
        <v/>
      </c>
      <c r="U906" s="15">
        <f>S906+T906</f>
        <v/>
      </c>
      <c r="V906" s="15">
        <f>INT((2^$J$12-1)*U906/100)/(2^$J$12-1)*100</f>
        <v/>
      </c>
      <c r="X906" s="15">
        <f>M906 * 1.05</f>
        <v/>
      </c>
      <c r="Y906" s="15">
        <f>M906 * 0.95</f>
        <v/>
      </c>
      <c r="Z906" s="15">
        <f>IF(AND(V906 &lt;= X906, V906 &gt;= Y906), 1, 0)</f>
        <v/>
      </c>
    </row>
    <row r="907">
      <c r="L907" s="15" t="n">
        <v>905</v>
      </c>
      <c r="M907" s="15">
        <f>IF(L907&lt;$D$16,$D$13,IF(L907&lt;$E$16,$E$13,$F$13))</f>
        <v/>
      </c>
      <c r="N907" s="15">
        <f>M907-V907</f>
        <v/>
      </c>
      <c r="O907" s="15">
        <f>IF(MOD(L907,$B$11)=0,OFFSET(O907,-$B$11,0)+ $E$2*N907+$E$3*OFFSET(N907,-$B$11,0)+ $E$4*OFFSET(N907,-2* $B$11,0), O906)</f>
        <v/>
      </c>
      <c r="P907" s="15">
        <f>INT((2^$J$12-1)*O907/100)/(2^$J$12-1)*100</f>
        <v/>
      </c>
      <c r="Q907" s="15" t="n">
        <v>0</v>
      </c>
      <c r="R907" s="15">
        <f>P907+Q907</f>
        <v/>
      </c>
      <c r="S907" s="15">
        <f>$I$1*S906-$I$2*S905+$I$3*R886+$I$4*R885</f>
        <v/>
      </c>
      <c r="T907" s="15">
        <f>RAND()*$G$12</f>
        <v/>
      </c>
      <c r="U907" s="15">
        <f>S907+T907</f>
        <v/>
      </c>
      <c r="V907" s="15">
        <f>INT((2^$J$12-1)*U907/100)/(2^$J$12-1)*100</f>
        <v/>
      </c>
      <c r="X907" s="15">
        <f>M907 * 1.05</f>
        <v/>
      </c>
      <c r="Y907" s="15">
        <f>M907 * 0.95</f>
        <v/>
      </c>
      <c r="Z907" s="15">
        <f>IF(AND(V907 &lt;= X907, V907 &gt;= Y907), 1, 0)</f>
        <v/>
      </c>
    </row>
    <row r="908">
      <c r="L908" s="15" t="n">
        <v>906</v>
      </c>
      <c r="M908" s="15">
        <f>IF(L908&lt;$D$16,$D$13,IF(L908&lt;$E$16,$E$13,$F$13))</f>
        <v/>
      </c>
      <c r="N908" s="15">
        <f>M908-V908</f>
        <v/>
      </c>
      <c r="O908" s="15">
        <f>IF(MOD(L908,$B$11)=0,OFFSET(O908,-$B$11,0)+ $E$2*N908+$E$3*OFFSET(N908,-$B$11,0)+ $E$4*OFFSET(N908,-2* $B$11,0), O907)</f>
        <v/>
      </c>
      <c r="P908" s="15">
        <f>INT((2^$J$12-1)*O908/100)/(2^$J$12-1)*100</f>
        <v/>
      </c>
      <c r="Q908" s="15" t="n">
        <v>0</v>
      </c>
      <c r="R908" s="15">
        <f>P908+Q908</f>
        <v/>
      </c>
      <c r="S908" s="15">
        <f>$I$1*S907-$I$2*S906+$I$3*R887+$I$4*R886</f>
        <v/>
      </c>
      <c r="T908" s="15">
        <f>RAND()*$G$12</f>
        <v/>
      </c>
      <c r="U908" s="15">
        <f>S908+T908</f>
        <v/>
      </c>
      <c r="V908" s="15">
        <f>INT((2^$J$12-1)*U908/100)/(2^$J$12-1)*100</f>
        <v/>
      </c>
      <c r="X908" s="15">
        <f>M908 * 1.05</f>
        <v/>
      </c>
      <c r="Y908" s="15">
        <f>M908 * 0.95</f>
        <v/>
      </c>
      <c r="Z908" s="15">
        <f>IF(AND(V908 &lt;= X908, V908 &gt;= Y908), 1, 0)</f>
        <v/>
      </c>
    </row>
    <row r="909">
      <c r="L909" s="15" t="n">
        <v>907</v>
      </c>
      <c r="M909" s="15">
        <f>IF(L909&lt;$D$16,$D$13,IF(L909&lt;$E$16,$E$13,$F$13))</f>
        <v/>
      </c>
      <c r="N909" s="15">
        <f>M909-V909</f>
        <v/>
      </c>
      <c r="O909" s="15">
        <f>IF(MOD(L909,$B$11)=0,OFFSET(O909,-$B$11,0)+ $E$2*N909+$E$3*OFFSET(N909,-$B$11,0)+ $E$4*OFFSET(N909,-2* $B$11,0), O908)</f>
        <v/>
      </c>
      <c r="P909" s="15">
        <f>INT((2^$J$12-1)*O909/100)/(2^$J$12-1)*100</f>
        <v/>
      </c>
      <c r="Q909" s="15" t="n">
        <v>0</v>
      </c>
      <c r="R909" s="15">
        <f>P909+Q909</f>
        <v/>
      </c>
      <c r="S909" s="15">
        <f>$I$1*S908-$I$2*S907+$I$3*R888+$I$4*R887</f>
        <v/>
      </c>
      <c r="T909" s="15">
        <f>RAND()*$G$12</f>
        <v/>
      </c>
      <c r="U909" s="15">
        <f>S909+T909</f>
        <v/>
      </c>
      <c r="V909" s="15">
        <f>INT((2^$J$12-1)*U909/100)/(2^$J$12-1)*100</f>
        <v/>
      </c>
      <c r="X909" s="15">
        <f>M909 * 1.05</f>
        <v/>
      </c>
      <c r="Y909" s="15">
        <f>M909 * 0.95</f>
        <v/>
      </c>
      <c r="Z909" s="15">
        <f>IF(AND(V909 &lt;= X909, V909 &gt;= Y909), 1, 0)</f>
        <v/>
      </c>
    </row>
    <row r="910">
      <c r="L910" s="15" t="n">
        <v>908</v>
      </c>
      <c r="M910" s="15">
        <f>IF(L910&lt;$D$16,$D$13,IF(L910&lt;$E$16,$E$13,$F$13))</f>
        <v/>
      </c>
      <c r="N910" s="15">
        <f>M910-V910</f>
        <v/>
      </c>
      <c r="O910" s="15">
        <f>IF(MOD(L910,$B$11)=0,OFFSET(O910,-$B$11,0)+ $E$2*N910+$E$3*OFFSET(N910,-$B$11,0)+ $E$4*OFFSET(N910,-2* $B$11,0), O909)</f>
        <v/>
      </c>
      <c r="P910" s="15">
        <f>INT((2^$J$12-1)*O910/100)/(2^$J$12-1)*100</f>
        <v/>
      </c>
      <c r="Q910" s="15" t="n">
        <v>0</v>
      </c>
      <c r="R910" s="15">
        <f>P910+Q910</f>
        <v/>
      </c>
      <c r="S910" s="15">
        <f>$I$1*S909-$I$2*S908+$I$3*R889+$I$4*R888</f>
        <v/>
      </c>
      <c r="T910" s="15">
        <f>RAND()*$G$12</f>
        <v/>
      </c>
      <c r="U910" s="15">
        <f>S910+T910</f>
        <v/>
      </c>
      <c r="V910" s="15">
        <f>INT((2^$J$12-1)*U910/100)/(2^$J$12-1)*100</f>
        <v/>
      </c>
      <c r="X910" s="15">
        <f>M910 * 1.05</f>
        <v/>
      </c>
      <c r="Y910" s="15">
        <f>M910 * 0.95</f>
        <v/>
      </c>
      <c r="Z910" s="15">
        <f>IF(AND(V910 &lt;= X910, V910 &gt;= Y910), 1, 0)</f>
        <v/>
      </c>
    </row>
    <row r="911">
      <c r="L911" s="15" t="n">
        <v>909</v>
      </c>
      <c r="M911" s="15">
        <f>IF(L911&lt;$D$16,$D$13,IF(L911&lt;$E$16,$E$13,$F$13))</f>
        <v/>
      </c>
      <c r="N911" s="15">
        <f>M911-V911</f>
        <v/>
      </c>
      <c r="O911" s="15">
        <f>IF(MOD(L911,$B$11)=0,OFFSET(O911,-$B$11,0)+ $E$2*N911+$E$3*OFFSET(N911,-$B$11,0)+ $E$4*OFFSET(N911,-2* $B$11,0), O910)</f>
        <v/>
      </c>
      <c r="P911" s="15">
        <f>INT((2^$J$12-1)*O911/100)/(2^$J$12-1)*100</f>
        <v/>
      </c>
      <c r="Q911" s="15" t="n">
        <v>0</v>
      </c>
      <c r="R911" s="15">
        <f>P911+Q911</f>
        <v/>
      </c>
      <c r="S911" s="15">
        <f>$I$1*S910-$I$2*S909+$I$3*R890+$I$4*R889</f>
        <v/>
      </c>
      <c r="T911" s="15">
        <f>RAND()*$G$12</f>
        <v/>
      </c>
      <c r="U911" s="15">
        <f>S911+T911</f>
        <v/>
      </c>
      <c r="V911" s="15">
        <f>INT((2^$J$12-1)*U911/100)/(2^$J$12-1)*100</f>
        <v/>
      </c>
      <c r="X911" s="15">
        <f>M911 * 1.05</f>
        <v/>
      </c>
      <c r="Y911" s="15">
        <f>M911 * 0.95</f>
        <v/>
      </c>
      <c r="Z911" s="15">
        <f>IF(AND(V911 &lt;= X911, V911 &gt;= Y911), 1, 0)</f>
        <v/>
      </c>
    </row>
    <row r="912">
      <c r="L912" s="15" t="n">
        <v>910</v>
      </c>
      <c r="M912" s="15">
        <f>IF(L912&lt;$D$16,$D$13,IF(L912&lt;$E$16,$E$13,$F$13))</f>
        <v/>
      </c>
      <c r="N912" s="15">
        <f>M912-V912</f>
        <v/>
      </c>
      <c r="O912" s="15">
        <f>IF(MOD(L912,$B$11)=0,OFFSET(O912,-$B$11,0)+ $E$2*N912+$E$3*OFFSET(N912,-$B$11,0)+ $E$4*OFFSET(N912,-2* $B$11,0), O911)</f>
        <v/>
      </c>
      <c r="P912" s="15">
        <f>INT((2^$J$12-1)*O912/100)/(2^$J$12-1)*100</f>
        <v/>
      </c>
      <c r="Q912" s="15" t="n">
        <v>0</v>
      </c>
      <c r="R912" s="15">
        <f>P912+Q912</f>
        <v/>
      </c>
      <c r="S912" s="15">
        <f>$I$1*S911-$I$2*S910+$I$3*R891+$I$4*R890</f>
        <v/>
      </c>
      <c r="T912" s="15">
        <f>RAND()*$G$12</f>
        <v/>
      </c>
      <c r="U912" s="15">
        <f>S912+T912</f>
        <v/>
      </c>
      <c r="V912" s="15">
        <f>INT((2^$J$12-1)*U912/100)/(2^$J$12-1)*100</f>
        <v/>
      </c>
      <c r="X912" s="15">
        <f>M912 * 1.05</f>
        <v/>
      </c>
      <c r="Y912" s="15">
        <f>M912 * 0.95</f>
        <v/>
      </c>
      <c r="Z912" s="15">
        <f>IF(AND(V912 &lt;= X912, V912 &gt;= Y912), 1, 0)</f>
        <v/>
      </c>
    </row>
    <row r="913">
      <c r="L913" s="15" t="n">
        <v>911</v>
      </c>
      <c r="M913" s="15">
        <f>IF(L913&lt;$D$16,$D$13,IF(L913&lt;$E$16,$E$13,$F$13))</f>
        <v/>
      </c>
      <c r="N913" s="15">
        <f>M913-V913</f>
        <v/>
      </c>
      <c r="O913" s="15">
        <f>IF(MOD(L913,$B$11)=0,OFFSET(O913,-$B$11,0)+ $E$2*N913+$E$3*OFFSET(N913,-$B$11,0)+ $E$4*OFFSET(N913,-2* $B$11,0), O912)</f>
        <v/>
      </c>
      <c r="P913" s="15">
        <f>INT((2^$J$12-1)*O913/100)/(2^$J$12-1)*100</f>
        <v/>
      </c>
      <c r="Q913" s="15" t="n">
        <v>0</v>
      </c>
      <c r="R913" s="15">
        <f>P913+Q913</f>
        <v/>
      </c>
      <c r="S913" s="15">
        <f>$I$1*S912-$I$2*S911+$I$3*R892+$I$4*R891</f>
        <v/>
      </c>
      <c r="T913" s="15">
        <f>RAND()*$G$12</f>
        <v/>
      </c>
      <c r="U913" s="15">
        <f>S913+T913</f>
        <v/>
      </c>
      <c r="V913" s="15">
        <f>INT((2^$J$12-1)*U913/100)/(2^$J$12-1)*100</f>
        <v/>
      </c>
      <c r="X913" s="15">
        <f>M913 * 1.05</f>
        <v/>
      </c>
      <c r="Y913" s="15">
        <f>M913 * 0.95</f>
        <v/>
      </c>
      <c r="Z913" s="15">
        <f>IF(AND(V913 &lt;= X913, V913 &gt;= Y913), 1, 0)</f>
        <v/>
      </c>
    </row>
    <row r="914">
      <c r="L914" s="15" t="n">
        <v>912</v>
      </c>
      <c r="M914" s="15">
        <f>IF(L914&lt;$D$16,$D$13,IF(L914&lt;$E$16,$E$13,$F$13))</f>
        <v/>
      </c>
      <c r="N914" s="15">
        <f>M914-V914</f>
        <v/>
      </c>
      <c r="O914" s="15">
        <f>IF(MOD(L914,$B$11)=0,OFFSET(O914,-$B$11,0)+ $E$2*N914+$E$3*OFFSET(N914,-$B$11,0)+ $E$4*OFFSET(N914,-2* $B$11,0), O913)</f>
        <v/>
      </c>
      <c r="P914" s="15">
        <f>INT((2^$J$12-1)*O914/100)/(2^$J$12-1)*100</f>
        <v/>
      </c>
      <c r="Q914" s="15" t="n">
        <v>0</v>
      </c>
      <c r="R914" s="15">
        <f>P914+Q914</f>
        <v/>
      </c>
      <c r="S914" s="15">
        <f>$I$1*S913-$I$2*S912+$I$3*R893+$I$4*R892</f>
        <v/>
      </c>
      <c r="T914" s="15">
        <f>RAND()*$G$12</f>
        <v/>
      </c>
      <c r="U914" s="15">
        <f>S914+T914</f>
        <v/>
      </c>
      <c r="V914" s="15">
        <f>INT((2^$J$12-1)*U914/100)/(2^$J$12-1)*100</f>
        <v/>
      </c>
      <c r="X914" s="15">
        <f>M914 * 1.05</f>
        <v/>
      </c>
      <c r="Y914" s="15">
        <f>M914 * 0.95</f>
        <v/>
      </c>
      <c r="Z914" s="15">
        <f>IF(AND(V914 &lt;= X914, V914 &gt;= Y914), 1, 0)</f>
        <v/>
      </c>
    </row>
    <row r="915">
      <c r="L915" s="15" t="n">
        <v>913</v>
      </c>
      <c r="M915" s="15">
        <f>IF(L915&lt;$D$16,$D$13,IF(L915&lt;$E$16,$E$13,$F$13))</f>
        <v/>
      </c>
      <c r="N915" s="15">
        <f>M915-V915</f>
        <v/>
      </c>
      <c r="O915" s="15">
        <f>IF(MOD(L915,$B$11)=0,OFFSET(O915,-$B$11,0)+ $E$2*N915+$E$3*OFFSET(N915,-$B$11,0)+ $E$4*OFFSET(N915,-2* $B$11,0), O914)</f>
        <v/>
      </c>
      <c r="P915" s="15">
        <f>INT((2^$J$12-1)*O915/100)/(2^$J$12-1)*100</f>
        <v/>
      </c>
      <c r="Q915" s="15" t="n">
        <v>0</v>
      </c>
      <c r="R915" s="15">
        <f>P915+Q915</f>
        <v/>
      </c>
      <c r="S915" s="15">
        <f>$I$1*S914-$I$2*S913+$I$3*R894+$I$4*R893</f>
        <v/>
      </c>
      <c r="T915" s="15">
        <f>RAND()*$G$12</f>
        <v/>
      </c>
      <c r="U915" s="15">
        <f>S915+T915</f>
        <v/>
      </c>
      <c r="V915" s="15">
        <f>INT((2^$J$12-1)*U915/100)/(2^$J$12-1)*100</f>
        <v/>
      </c>
      <c r="X915" s="15">
        <f>M915 * 1.05</f>
        <v/>
      </c>
      <c r="Y915" s="15">
        <f>M915 * 0.95</f>
        <v/>
      </c>
      <c r="Z915" s="15">
        <f>IF(AND(V915 &lt;= X915, V915 &gt;= Y915), 1, 0)</f>
        <v/>
      </c>
    </row>
    <row r="916">
      <c r="L916" s="15" t="n">
        <v>914</v>
      </c>
      <c r="M916" s="15">
        <f>IF(L916&lt;$D$16,$D$13,IF(L916&lt;$E$16,$E$13,$F$13))</f>
        <v/>
      </c>
      <c r="N916" s="15">
        <f>M916-V916</f>
        <v/>
      </c>
      <c r="O916" s="15">
        <f>IF(MOD(L916,$B$11)=0,OFFSET(O916,-$B$11,0)+ $E$2*N916+$E$3*OFFSET(N916,-$B$11,0)+ $E$4*OFFSET(N916,-2* $B$11,0), O915)</f>
        <v/>
      </c>
      <c r="P916" s="15">
        <f>INT((2^$J$12-1)*O916/100)/(2^$J$12-1)*100</f>
        <v/>
      </c>
      <c r="Q916" s="15" t="n">
        <v>0</v>
      </c>
      <c r="R916" s="15">
        <f>P916+Q916</f>
        <v/>
      </c>
      <c r="S916" s="15">
        <f>$I$1*S915-$I$2*S914+$I$3*R895+$I$4*R894</f>
        <v/>
      </c>
      <c r="T916" s="15">
        <f>RAND()*$G$12</f>
        <v/>
      </c>
      <c r="U916" s="15">
        <f>S916+T916</f>
        <v/>
      </c>
      <c r="V916" s="15">
        <f>INT((2^$J$12-1)*U916/100)/(2^$J$12-1)*100</f>
        <v/>
      </c>
      <c r="X916" s="15">
        <f>M916 * 1.05</f>
        <v/>
      </c>
      <c r="Y916" s="15">
        <f>M916 * 0.95</f>
        <v/>
      </c>
      <c r="Z916" s="15">
        <f>IF(AND(V916 &lt;= X916, V916 &gt;= Y916), 1, 0)</f>
        <v/>
      </c>
    </row>
    <row r="917">
      <c r="L917" s="15" t="n">
        <v>915</v>
      </c>
      <c r="M917" s="15">
        <f>IF(L917&lt;$D$16,$D$13,IF(L917&lt;$E$16,$E$13,$F$13))</f>
        <v/>
      </c>
      <c r="N917" s="15">
        <f>M917-V917</f>
        <v/>
      </c>
      <c r="O917" s="15">
        <f>IF(MOD(L917,$B$11)=0,OFFSET(O917,-$B$11,0)+ $E$2*N917+$E$3*OFFSET(N917,-$B$11,0)+ $E$4*OFFSET(N917,-2* $B$11,0), O916)</f>
        <v/>
      </c>
      <c r="P917" s="15">
        <f>INT((2^$J$12-1)*O917/100)/(2^$J$12-1)*100</f>
        <v/>
      </c>
      <c r="Q917" s="15" t="n">
        <v>0</v>
      </c>
      <c r="R917" s="15">
        <f>P917+Q917</f>
        <v/>
      </c>
      <c r="S917" s="15">
        <f>$I$1*S916-$I$2*S915+$I$3*R896+$I$4*R895</f>
        <v/>
      </c>
      <c r="T917" s="15">
        <f>RAND()*$G$12</f>
        <v/>
      </c>
      <c r="U917" s="15">
        <f>S917+T917</f>
        <v/>
      </c>
      <c r="V917" s="15">
        <f>INT((2^$J$12-1)*U917/100)/(2^$J$12-1)*100</f>
        <v/>
      </c>
      <c r="X917" s="15">
        <f>M917 * 1.05</f>
        <v/>
      </c>
      <c r="Y917" s="15">
        <f>M917 * 0.95</f>
        <v/>
      </c>
      <c r="Z917" s="15">
        <f>IF(AND(V917 &lt;= X917, V917 &gt;= Y917), 1, 0)</f>
        <v/>
      </c>
    </row>
    <row r="918">
      <c r="L918" s="15" t="n">
        <v>916</v>
      </c>
      <c r="M918" s="15">
        <f>IF(L918&lt;$D$16,$D$13,IF(L918&lt;$E$16,$E$13,$F$13))</f>
        <v/>
      </c>
      <c r="N918" s="15">
        <f>M918-V918</f>
        <v/>
      </c>
      <c r="O918" s="15">
        <f>IF(MOD(L918,$B$11)=0,OFFSET(O918,-$B$11,0)+ $E$2*N918+$E$3*OFFSET(N918,-$B$11,0)+ $E$4*OFFSET(N918,-2* $B$11,0), O917)</f>
        <v/>
      </c>
      <c r="P918" s="15">
        <f>INT((2^$J$12-1)*O918/100)/(2^$J$12-1)*100</f>
        <v/>
      </c>
      <c r="Q918" s="15" t="n">
        <v>0</v>
      </c>
      <c r="R918" s="15">
        <f>P918+Q918</f>
        <v/>
      </c>
      <c r="S918" s="15">
        <f>$I$1*S917-$I$2*S916+$I$3*R897+$I$4*R896</f>
        <v/>
      </c>
      <c r="T918" s="15">
        <f>RAND()*$G$12</f>
        <v/>
      </c>
      <c r="U918" s="15">
        <f>S918+T918</f>
        <v/>
      </c>
      <c r="V918" s="15">
        <f>INT((2^$J$12-1)*U918/100)/(2^$J$12-1)*100</f>
        <v/>
      </c>
      <c r="X918" s="15">
        <f>M918 * 1.05</f>
        <v/>
      </c>
      <c r="Y918" s="15">
        <f>M918 * 0.95</f>
        <v/>
      </c>
      <c r="Z918" s="15">
        <f>IF(AND(V918 &lt;= X918, V918 &gt;= Y918), 1, 0)</f>
        <v/>
      </c>
    </row>
    <row r="919">
      <c r="L919" s="15" t="n">
        <v>917</v>
      </c>
      <c r="M919" s="15">
        <f>IF(L919&lt;$D$16,$D$13,IF(L919&lt;$E$16,$E$13,$F$13))</f>
        <v/>
      </c>
      <c r="N919" s="15">
        <f>M919-V919</f>
        <v/>
      </c>
      <c r="O919" s="15">
        <f>IF(MOD(L919,$B$11)=0,OFFSET(O919,-$B$11,0)+ $E$2*N919+$E$3*OFFSET(N919,-$B$11,0)+ $E$4*OFFSET(N919,-2* $B$11,0), O918)</f>
        <v/>
      </c>
      <c r="P919" s="15">
        <f>INT((2^$J$12-1)*O919/100)/(2^$J$12-1)*100</f>
        <v/>
      </c>
      <c r="Q919" s="15" t="n">
        <v>0</v>
      </c>
      <c r="R919" s="15">
        <f>P919+Q919</f>
        <v/>
      </c>
      <c r="S919" s="15">
        <f>$I$1*S918-$I$2*S917+$I$3*R898+$I$4*R897</f>
        <v/>
      </c>
      <c r="T919" s="15">
        <f>RAND()*$G$12</f>
        <v/>
      </c>
      <c r="U919" s="15">
        <f>S919+T919</f>
        <v/>
      </c>
      <c r="V919" s="15">
        <f>INT((2^$J$12-1)*U919/100)/(2^$J$12-1)*100</f>
        <v/>
      </c>
      <c r="X919" s="15">
        <f>M919 * 1.05</f>
        <v/>
      </c>
      <c r="Y919" s="15">
        <f>M919 * 0.95</f>
        <v/>
      </c>
      <c r="Z919" s="15">
        <f>IF(AND(V919 &lt;= X919, V919 &gt;= Y919), 1, 0)</f>
        <v/>
      </c>
    </row>
    <row r="920">
      <c r="L920" s="15" t="n">
        <v>918</v>
      </c>
      <c r="M920" s="15">
        <f>IF(L920&lt;$D$16,$D$13,IF(L920&lt;$E$16,$E$13,$F$13))</f>
        <v/>
      </c>
      <c r="N920" s="15">
        <f>M920-V920</f>
        <v/>
      </c>
      <c r="O920" s="15">
        <f>IF(MOD(L920,$B$11)=0,OFFSET(O920,-$B$11,0)+ $E$2*N920+$E$3*OFFSET(N920,-$B$11,0)+ $E$4*OFFSET(N920,-2* $B$11,0), O919)</f>
        <v/>
      </c>
      <c r="P920" s="15">
        <f>INT((2^$J$12-1)*O920/100)/(2^$J$12-1)*100</f>
        <v/>
      </c>
      <c r="Q920" s="15" t="n">
        <v>0</v>
      </c>
      <c r="R920" s="15">
        <f>P920+Q920</f>
        <v/>
      </c>
      <c r="S920" s="15">
        <f>$I$1*S919-$I$2*S918+$I$3*R899+$I$4*R898</f>
        <v/>
      </c>
      <c r="T920" s="15">
        <f>RAND()*$G$12</f>
        <v/>
      </c>
      <c r="U920" s="15">
        <f>S920+T920</f>
        <v/>
      </c>
      <c r="V920" s="15">
        <f>INT((2^$J$12-1)*U920/100)/(2^$J$12-1)*100</f>
        <v/>
      </c>
      <c r="X920" s="15">
        <f>M920 * 1.05</f>
        <v/>
      </c>
      <c r="Y920" s="15">
        <f>M920 * 0.95</f>
        <v/>
      </c>
      <c r="Z920" s="15">
        <f>IF(AND(V920 &lt;= X920, V920 &gt;= Y920), 1, 0)</f>
        <v/>
      </c>
    </row>
    <row r="921">
      <c r="L921" s="15" t="n">
        <v>919</v>
      </c>
      <c r="M921" s="15">
        <f>IF(L921&lt;$D$16,$D$13,IF(L921&lt;$E$16,$E$13,$F$13))</f>
        <v/>
      </c>
      <c r="N921" s="15">
        <f>M921-V921</f>
        <v/>
      </c>
      <c r="O921" s="15">
        <f>IF(MOD(L921,$B$11)=0,OFFSET(O921,-$B$11,0)+ $E$2*N921+$E$3*OFFSET(N921,-$B$11,0)+ $E$4*OFFSET(N921,-2* $B$11,0), O920)</f>
        <v/>
      </c>
      <c r="P921" s="15">
        <f>INT((2^$J$12-1)*O921/100)/(2^$J$12-1)*100</f>
        <v/>
      </c>
      <c r="Q921" s="15" t="n">
        <v>0</v>
      </c>
      <c r="R921" s="15">
        <f>P921+Q921</f>
        <v/>
      </c>
      <c r="S921" s="15">
        <f>$I$1*S920-$I$2*S919+$I$3*R900+$I$4*R899</f>
        <v/>
      </c>
      <c r="T921" s="15">
        <f>RAND()*$G$12</f>
        <v/>
      </c>
      <c r="U921" s="15">
        <f>S921+T921</f>
        <v/>
      </c>
      <c r="V921" s="15">
        <f>INT((2^$J$12-1)*U921/100)/(2^$J$12-1)*100</f>
        <v/>
      </c>
      <c r="X921" s="15">
        <f>M921 * 1.05</f>
        <v/>
      </c>
      <c r="Y921" s="15">
        <f>M921 * 0.95</f>
        <v/>
      </c>
      <c r="Z921" s="15">
        <f>IF(AND(V921 &lt;= X921, V921 &gt;= Y921), 1, 0)</f>
        <v/>
      </c>
    </row>
    <row r="922">
      <c r="L922" s="15" t="n">
        <v>920</v>
      </c>
      <c r="M922" s="15">
        <f>IF(L922&lt;$D$16,$D$13,IF(L922&lt;$E$16,$E$13,$F$13))</f>
        <v/>
      </c>
      <c r="N922" s="15">
        <f>M922-V922</f>
        <v/>
      </c>
      <c r="O922" s="15">
        <f>IF(MOD(L922,$B$11)=0,OFFSET(O922,-$B$11,0)+ $E$2*N922+$E$3*OFFSET(N922,-$B$11,0)+ $E$4*OFFSET(N922,-2* $B$11,0), O921)</f>
        <v/>
      </c>
      <c r="P922" s="15">
        <f>INT((2^$J$12-1)*O922/100)/(2^$J$12-1)*100</f>
        <v/>
      </c>
      <c r="Q922" s="15" t="n">
        <v>0</v>
      </c>
      <c r="R922" s="15">
        <f>P922+Q922</f>
        <v/>
      </c>
      <c r="S922" s="15">
        <f>$I$1*S921-$I$2*S920+$I$3*R901+$I$4*R900</f>
        <v/>
      </c>
      <c r="T922" s="15">
        <f>RAND()*$G$12</f>
        <v/>
      </c>
      <c r="U922" s="15">
        <f>S922+T922</f>
        <v/>
      </c>
      <c r="V922" s="15">
        <f>INT((2^$J$12-1)*U922/100)/(2^$J$12-1)*100</f>
        <v/>
      </c>
      <c r="X922" s="15">
        <f>M922 * 1.05</f>
        <v/>
      </c>
      <c r="Y922" s="15">
        <f>M922 * 0.95</f>
        <v/>
      </c>
      <c r="Z922" s="15">
        <f>IF(AND(V922 &lt;= X922, V922 &gt;= Y922), 1, 0)</f>
        <v/>
      </c>
    </row>
    <row r="923">
      <c r="L923" s="15" t="n">
        <v>921</v>
      </c>
      <c r="M923" s="15">
        <f>IF(L923&lt;$D$16,$D$13,IF(L923&lt;$E$16,$E$13,$F$13))</f>
        <v/>
      </c>
      <c r="N923" s="15">
        <f>M923-V923</f>
        <v/>
      </c>
      <c r="O923" s="15">
        <f>IF(MOD(L923,$B$11)=0,OFFSET(O923,-$B$11,0)+ $E$2*N923+$E$3*OFFSET(N923,-$B$11,0)+ $E$4*OFFSET(N923,-2* $B$11,0), O922)</f>
        <v/>
      </c>
      <c r="P923" s="15">
        <f>INT((2^$J$12-1)*O923/100)/(2^$J$12-1)*100</f>
        <v/>
      </c>
      <c r="Q923" s="15" t="n">
        <v>0</v>
      </c>
      <c r="R923" s="15">
        <f>P923+Q923</f>
        <v/>
      </c>
      <c r="S923" s="15">
        <f>$I$1*S922-$I$2*S921+$I$3*R902+$I$4*R901</f>
        <v/>
      </c>
      <c r="T923" s="15">
        <f>RAND()*$G$12</f>
        <v/>
      </c>
      <c r="U923" s="15">
        <f>S923+T923</f>
        <v/>
      </c>
      <c r="V923" s="15">
        <f>INT((2^$J$12-1)*U923/100)/(2^$J$12-1)*100</f>
        <v/>
      </c>
      <c r="X923" s="15">
        <f>M923 * 1.05</f>
        <v/>
      </c>
      <c r="Y923" s="15">
        <f>M923 * 0.95</f>
        <v/>
      </c>
      <c r="Z923" s="15">
        <f>IF(AND(V923 &lt;= X923, V923 &gt;= Y923), 1, 0)</f>
        <v/>
      </c>
    </row>
    <row r="924">
      <c r="L924" s="15" t="n">
        <v>922</v>
      </c>
      <c r="M924" s="15">
        <f>IF(L924&lt;$D$16,$D$13,IF(L924&lt;$E$16,$E$13,$F$13))</f>
        <v/>
      </c>
      <c r="N924" s="15">
        <f>M924-V924</f>
        <v/>
      </c>
      <c r="O924" s="15">
        <f>IF(MOD(L924,$B$11)=0,OFFSET(O924,-$B$11,0)+ $E$2*N924+$E$3*OFFSET(N924,-$B$11,0)+ $E$4*OFFSET(N924,-2* $B$11,0), O923)</f>
        <v/>
      </c>
      <c r="P924" s="15">
        <f>INT((2^$J$12-1)*O924/100)/(2^$J$12-1)*100</f>
        <v/>
      </c>
      <c r="Q924" s="15" t="n">
        <v>0</v>
      </c>
      <c r="R924" s="15">
        <f>P924+Q924</f>
        <v/>
      </c>
      <c r="S924" s="15">
        <f>$I$1*S923-$I$2*S922+$I$3*R903+$I$4*R902</f>
        <v/>
      </c>
      <c r="T924" s="15">
        <f>RAND()*$G$12</f>
        <v/>
      </c>
      <c r="U924" s="15">
        <f>S924+T924</f>
        <v/>
      </c>
      <c r="V924" s="15">
        <f>INT((2^$J$12-1)*U924/100)/(2^$J$12-1)*100</f>
        <v/>
      </c>
      <c r="X924" s="15">
        <f>M924 * 1.05</f>
        <v/>
      </c>
      <c r="Y924" s="15">
        <f>M924 * 0.95</f>
        <v/>
      </c>
      <c r="Z924" s="15">
        <f>IF(AND(V924 &lt;= X924, V924 &gt;= Y924), 1, 0)</f>
        <v/>
      </c>
    </row>
    <row r="925">
      <c r="L925" s="15" t="n">
        <v>923</v>
      </c>
      <c r="M925" s="15">
        <f>IF(L925&lt;$D$16,$D$13,IF(L925&lt;$E$16,$E$13,$F$13))</f>
        <v/>
      </c>
      <c r="N925" s="15">
        <f>M925-V925</f>
        <v/>
      </c>
      <c r="O925" s="15">
        <f>IF(MOD(L925,$B$11)=0,OFFSET(O925,-$B$11,0)+ $E$2*N925+$E$3*OFFSET(N925,-$B$11,0)+ $E$4*OFFSET(N925,-2* $B$11,0), O924)</f>
        <v/>
      </c>
      <c r="P925" s="15">
        <f>INT((2^$J$12-1)*O925/100)/(2^$J$12-1)*100</f>
        <v/>
      </c>
      <c r="Q925" s="15" t="n">
        <v>0</v>
      </c>
      <c r="R925" s="15">
        <f>P925+Q925</f>
        <v/>
      </c>
      <c r="S925" s="15">
        <f>$I$1*S924-$I$2*S923+$I$3*R904+$I$4*R903</f>
        <v/>
      </c>
      <c r="T925" s="15">
        <f>RAND()*$G$12</f>
        <v/>
      </c>
      <c r="U925" s="15">
        <f>S925+T925</f>
        <v/>
      </c>
      <c r="V925" s="15">
        <f>INT((2^$J$12-1)*U925/100)/(2^$J$12-1)*100</f>
        <v/>
      </c>
      <c r="X925" s="15">
        <f>M925 * 1.05</f>
        <v/>
      </c>
      <c r="Y925" s="15">
        <f>M925 * 0.95</f>
        <v/>
      </c>
      <c r="Z925" s="15">
        <f>IF(AND(V925 &lt;= X925, V925 &gt;= Y925), 1, 0)</f>
        <v/>
      </c>
    </row>
    <row r="926">
      <c r="L926" s="15" t="n">
        <v>924</v>
      </c>
      <c r="M926" s="15">
        <f>IF(L926&lt;$D$16,$D$13,IF(L926&lt;$E$16,$E$13,$F$13))</f>
        <v/>
      </c>
      <c r="N926" s="15">
        <f>M926-V926</f>
        <v/>
      </c>
      <c r="O926" s="15">
        <f>IF(MOD(L926,$B$11)=0,OFFSET(O926,-$B$11,0)+ $E$2*N926+$E$3*OFFSET(N926,-$B$11,0)+ $E$4*OFFSET(N926,-2* $B$11,0), O925)</f>
        <v/>
      </c>
      <c r="P926" s="15">
        <f>INT((2^$J$12-1)*O926/100)/(2^$J$12-1)*100</f>
        <v/>
      </c>
      <c r="Q926" s="15" t="n">
        <v>0</v>
      </c>
      <c r="R926" s="15">
        <f>P926+Q926</f>
        <v/>
      </c>
      <c r="S926" s="15">
        <f>$I$1*S925-$I$2*S924+$I$3*R905+$I$4*R904</f>
        <v/>
      </c>
      <c r="T926" s="15">
        <f>RAND()*$G$12</f>
        <v/>
      </c>
      <c r="U926" s="15">
        <f>S926+T926</f>
        <v/>
      </c>
      <c r="V926" s="15">
        <f>INT((2^$J$12-1)*U926/100)/(2^$J$12-1)*100</f>
        <v/>
      </c>
      <c r="X926" s="15">
        <f>M926 * 1.05</f>
        <v/>
      </c>
      <c r="Y926" s="15">
        <f>M926 * 0.95</f>
        <v/>
      </c>
      <c r="Z926" s="15">
        <f>IF(AND(V926 &lt;= X926, V926 &gt;= Y926), 1, 0)</f>
        <v/>
      </c>
    </row>
    <row r="927">
      <c r="L927" s="15" t="n">
        <v>925</v>
      </c>
      <c r="M927" s="15">
        <f>IF(L927&lt;$D$16,$D$13,IF(L927&lt;$E$16,$E$13,$F$13))</f>
        <v/>
      </c>
      <c r="N927" s="15">
        <f>M927-V927</f>
        <v/>
      </c>
      <c r="O927" s="15">
        <f>IF(MOD(L927,$B$11)=0,OFFSET(O927,-$B$11,0)+ $E$2*N927+$E$3*OFFSET(N927,-$B$11,0)+ $E$4*OFFSET(N927,-2* $B$11,0), O926)</f>
        <v/>
      </c>
      <c r="P927" s="15">
        <f>INT((2^$J$12-1)*O927/100)/(2^$J$12-1)*100</f>
        <v/>
      </c>
      <c r="Q927" s="15" t="n">
        <v>0</v>
      </c>
      <c r="R927" s="15">
        <f>P927+Q927</f>
        <v/>
      </c>
      <c r="S927" s="15">
        <f>$I$1*S926-$I$2*S925+$I$3*R906+$I$4*R905</f>
        <v/>
      </c>
      <c r="T927" s="15">
        <f>RAND()*$G$12</f>
        <v/>
      </c>
      <c r="U927" s="15">
        <f>S927+T927</f>
        <v/>
      </c>
      <c r="V927" s="15">
        <f>INT((2^$J$12-1)*U927/100)/(2^$J$12-1)*100</f>
        <v/>
      </c>
      <c r="X927" s="15">
        <f>M927 * 1.05</f>
        <v/>
      </c>
      <c r="Y927" s="15">
        <f>M927 * 0.95</f>
        <v/>
      </c>
      <c r="Z927" s="15">
        <f>IF(AND(V927 &lt;= X927, V927 &gt;= Y927), 1, 0)</f>
        <v/>
      </c>
    </row>
    <row r="928">
      <c r="L928" s="15" t="n">
        <v>926</v>
      </c>
      <c r="M928" s="15">
        <f>IF(L928&lt;$D$16,$D$13,IF(L928&lt;$E$16,$E$13,$F$13))</f>
        <v/>
      </c>
      <c r="N928" s="15">
        <f>M928-V928</f>
        <v/>
      </c>
      <c r="O928" s="15">
        <f>IF(MOD(L928,$B$11)=0,OFFSET(O928,-$B$11,0)+ $E$2*N928+$E$3*OFFSET(N928,-$B$11,0)+ $E$4*OFFSET(N928,-2* $B$11,0), O927)</f>
        <v/>
      </c>
      <c r="P928" s="15">
        <f>INT((2^$J$12-1)*O928/100)/(2^$J$12-1)*100</f>
        <v/>
      </c>
      <c r="Q928" s="15" t="n">
        <v>0</v>
      </c>
      <c r="R928" s="15">
        <f>P928+Q928</f>
        <v/>
      </c>
      <c r="S928" s="15">
        <f>$I$1*S927-$I$2*S926+$I$3*R907+$I$4*R906</f>
        <v/>
      </c>
      <c r="T928" s="15">
        <f>RAND()*$G$12</f>
        <v/>
      </c>
      <c r="U928" s="15">
        <f>S928+T928</f>
        <v/>
      </c>
      <c r="V928" s="15">
        <f>INT((2^$J$12-1)*U928/100)/(2^$J$12-1)*100</f>
        <v/>
      </c>
      <c r="X928" s="15">
        <f>M928 * 1.05</f>
        <v/>
      </c>
      <c r="Y928" s="15">
        <f>M928 * 0.95</f>
        <v/>
      </c>
      <c r="Z928" s="15">
        <f>IF(AND(V928 &lt;= X928, V928 &gt;= Y928), 1, 0)</f>
        <v/>
      </c>
    </row>
    <row r="929">
      <c r="L929" s="15" t="n">
        <v>927</v>
      </c>
      <c r="M929" s="15">
        <f>IF(L929&lt;$D$16,$D$13,IF(L929&lt;$E$16,$E$13,$F$13))</f>
        <v/>
      </c>
      <c r="N929" s="15">
        <f>M929-V929</f>
        <v/>
      </c>
      <c r="O929" s="15">
        <f>IF(MOD(L929,$B$11)=0,OFFSET(O929,-$B$11,0)+ $E$2*N929+$E$3*OFFSET(N929,-$B$11,0)+ $E$4*OFFSET(N929,-2* $B$11,0), O928)</f>
        <v/>
      </c>
      <c r="P929" s="15">
        <f>INT((2^$J$12-1)*O929/100)/(2^$J$12-1)*100</f>
        <v/>
      </c>
      <c r="Q929" s="15" t="n">
        <v>0</v>
      </c>
      <c r="R929" s="15">
        <f>P929+Q929</f>
        <v/>
      </c>
      <c r="S929" s="15">
        <f>$I$1*S928-$I$2*S927+$I$3*R908+$I$4*R907</f>
        <v/>
      </c>
      <c r="T929" s="15">
        <f>RAND()*$G$12</f>
        <v/>
      </c>
      <c r="U929" s="15">
        <f>S929+T929</f>
        <v/>
      </c>
      <c r="V929" s="15">
        <f>INT((2^$J$12-1)*U929/100)/(2^$J$12-1)*100</f>
        <v/>
      </c>
      <c r="X929" s="15">
        <f>M929 * 1.05</f>
        <v/>
      </c>
      <c r="Y929" s="15">
        <f>M929 * 0.95</f>
        <v/>
      </c>
      <c r="Z929" s="15">
        <f>IF(AND(V929 &lt;= X929, V929 &gt;= Y929), 1, 0)</f>
        <v/>
      </c>
    </row>
    <row r="930">
      <c r="L930" s="15" t="n">
        <v>928</v>
      </c>
      <c r="M930" s="15">
        <f>IF(L930&lt;$D$16,$D$13,IF(L930&lt;$E$16,$E$13,$F$13))</f>
        <v/>
      </c>
      <c r="N930" s="15">
        <f>M930-V930</f>
        <v/>
      </c>
      <c r="O930" s="15">
        <f>IF(MOD(L930,$B$11)=0,OFFSET(O930,-$B$11,0)+ $E$2*N930+$E$3*OFFSET(N930,-$B$11,0)+ $E$4*OFFSET(N930,-2* $B$11,0), O929)</f>
        <v/>
      </c>
      <c r="P930" s="15">
        <f>INT((2^$J$12-1)*O930/100)/(2^$J$12-1)*100</f>
        <v/>
      </c>
      <c r="Q930" s="15" t="n">
        <v>0</v>
      </c>
      <c r="R930" s="15">
        <f>P930+Q930</f>
        <v/>
      </c>
      <c r="S930" s="15">
        <f>$I$1*S929-$I$2*S928+$I$3*R909+$I$4*R908</f>
        <v/>
      </c>
      <c r="T930" s="15">
        <f>RAND()*$G$12</f>
        <v/>
      </c>
      <c r="U930" s="15">
        <f>S930+T930</f>
        <v/>
      </c>
      <c r="V930" s="15">
        <f>INT((2^$J$12-1)*U930/100)/(2^$J$12-1)*100</f>
        <v/>
      </c>
      <c r="X930" s="15">
        <f>M930 * 1.05</f>
        <v/>
      </c>
      <c r="Y930" s="15">
        <f>M930 * 0.95</f>
        <v/>
      </c>
      <c r="Z930" s="15">
        <f>IF(AND(V930 &lt;= X930, V930 &gt;= Y930), 1, 0)</f>
        <v/>
      </c>
    </row>
    <row r="931">
      <c r="L931" s="15" t="n">
        <v>929</v>
      </c>
      <c r="M931" s="15">
        <f>IF(L931&lt;$D$16,$D$13,IF(L931&lt;$E$16,$E$13,$F$13))</f>
        <v/>
      </c>
      <c r="N931" s="15">
        <f>M931-V931</f>
        <v/>
      </c>
      <c r="O931" s="15">
        <f>IF(MOD(L931,$B$11)=0,OFFSET(O931,-$B$11,0)+ $E$2*N931+$E$3*OFFSET(N931,-$B$11,0)+ $E$4*OFFSET(N931,-2* $B$11,0), O930)</f>
        <v/>
      </c>
      <c r="P931" s="15">
        <f>INT((2^$J$12-1)*O931/100)/(2^$J$12-1)*100</f>
        <v/>
      </c>
      <c r="Q931" s="15" t="n">
        <v>0</v>
      </c>
      <c r="R931" s="15">
        <f>P931+Q931</f>
        <v/>
      </c>
      <c r="S931" s="15">
        <f>$I$1*S930-$I$2*S929+$I$3*R910+$I$4*R909</f>
        <v/>
      </c>
      <c r="T931" s="15">
        <f>RAND()*$G$12</f>
        <v/>
      </c>
      <c r="U931" s="15">
        <f>S931+T931</f>
        <v/>
      </c>
      <c r="V931" s="15">
        <f>INT((2^$J$12-1)*U931/100)/(2^$J$12-1)*100</f>
        <v/>
      </c>
      <c r="X931" s="15">
        <f>M931 * 1.05</f>
        <v/>
      </c>
      <c r="Y931" s="15">
        <f>M931 * 0.95</f>
        <v/>
      </c>
      <c r="Z931" s="15">
        <f>IF(AND(V931 &lt;= X931, V931 &gt;= Y931), 1, 0)</f>
        <v/>
      </c>
    </row>
    <row r="932">
      <c r="L932" s="15" t="n">
        <v>930</v>
      </c>
      <c r="M932" s="15">
        <f>IF(L932&lt;$D$16,$D$13,IF(L932&lt;$E$16,$E$13,$F$13))</f>
        <v/>
      </c>
      <c r="N932" s="15">
        <f>M932-V932</f>
        <v/>
      </c>
      <c r="O932" s="15">
        <f>IF(MOD(L932,$B$11)=0,OFFSET(O932,-$B$11,0)+ $E$2*N932+$E$3*OFFSET(N932,-$B$11,0)+ $E$4*OFFSET(N932,-2* $B$11,0), O931)</f>
        <v/>
      </c>
      <c r="P932" s="15">
        <f>INT((2^$J$12-1)*O932/100)/(2^$J$12-1)*100</f>
        <v/>
      </c>
      <c r="Q932" s="15" t="n">
        <v>0</v>
      </c>
      <c r="R932" s="15">
        <f>P932+Q932</f>
        <v/>
      </c>
      <c r="S932" s="15">
        <f>$I$1*S931-$I$2*S930+$I$3*R911+$I$4*R910</f>
        <v/>
      </c>
      <c r="T932" s="15">
        <f>RAND()*$G$12</f>
        <v/>
      </c>
      <c r="U932" s="15">
        <f>S932+T932</f>
        <v/>
      </c>
      <c r="V932" s="15">
        <f>INT((2^$J$12-1)*U932/100)/(2^$J$12-1)*100</f>
        <v/>
      </c>
      <c r="X932" s="15">
        <f>M932 * 1.05</f>
        <v/>
      </c>
      <c r="Y932" s="15">
        <f>M932 * 0.95</f>
        <v/>
      </c>
      <c r="Z932" s="15">
        <f>IF(AND(V932 &lt;= X932, V932 &gt;= Y932), 1, 0)</f>
        <v/>
      </c>
    </row>
    <row r="933">
      <c r="L933" s="15" t="n">
        <v>931</v>
      </c>
      <c r="M933" s="15">
        <f>IF(L933&lt;$D$16,$D$13,IF(L933&lt;$E$16,$E$13,$F$13))</f>
        <v/>
      </c>
      <c r="N933" s="15">
        <f>M933-V933</f>
        <v/>
      </c>
      <c r="O933" s="15">
        <f>IF(MOD(L933,$B$11)=0,OFFSET(O933,-$B$11,0)+ $E$2*N933+$E$3*OFFSET(N933,-$B$11,0)+ $E$4*OFFSET(N933,-2* $B$11,0), O932)</f>
        <v/>
      </c>
      <c r="P933" s="15">
        <f>INT((2^$J$12-1)*O933/100)/(2^$J$12-1)*100</f>
        <v/>
      </c>
      <c r="Q933" s="15" t="n">
        <v>0</v>
      </c>
      <c r="R933" s="15">
        <f>P933+Q933</f>
        <v/>
      </c>
      <c r="S933" s="15">
        <f>$I$1*S932-$I$2*S931+$I$3*R912+$I$4*R911</f>
        <v/>
      </c>
      <c r="T933" s="15">
        <f>RAND()*$G$12</f>
        <v/>
      </c>
      <c r="U933" s="15">
        <f>S933+T933</f>
        <v/>
      </c>
      <c r="V933" s="15">
        <f>INT((2^$J$12-1)*U933/100)/(2^$J$12-1)*100</f>
        <v/>
      </c>
      <c r="X933" s="15">
        <f>M933 * 1.05</f>
        <v/>
      </c>
      <c r="Y933" s="15">
        <f>M933 * 0.95</f>
        <v/>
      </c>
      <c r="Z933" s="15">
        <f>IF(AND(V933 &lt;= X933, V933 &gt;= Y933), 1, 0)</f>
        <v/>
      </c>
    </row>
    <row r="934">
      <c r="L934" s="15" t="n">
        <v>932</v>
      </c>
      <c r="M934" s="15">
        <f>IF(L934&lt;$D$16,$D$13,IF(L934&lt;$E$16,$E$13,$F$13))</f>
        <v/>
      </c>
      <c r="N934" s="15">
        <f>M934-V934</f>
        <v/>
      </c>
      <c r="O934" s="15">
        <f>IF(MOD(L934,$B$11)=0,OFFSET(O934,-$B$11,0)+ $E$2*N934+$E$3*OFFSET(N934,-$B$11,0)+ $E$4*OFFSET(N934,-2* $B$11,0), O933)</f>
        <v/>
      </c>
      <c r="P934" s="15">
        <f>INT((2^$J$12-1)*O934/100)/(2^$J$12-1)*100</f>
        <v/>
      </c>
      <c r="Q934" s="15" t="n">
        <v>0</v>
      </c>
      <c r="R934" s="15">
        <f>P934+Q934</f>
        <v/>
      </c>
      <c r="S934" s="15">
        <f>$I$1*S933-$I$2*S932+$I$3*R913+$I$4*R912</f>
        <v/>
      </c>
      <c r="T934" s="15">
        <f>RAND()*$G$12</f>
        <v/>
      </c>
      <c r="U934" s="15">
        <f>S934+T934</f>
        <v/>
      </c>
      <c r="V934" s="15">
        <f>INT((2^$J$12-1)*U934/100)/(2^$J$12-1)*100</f>
        <v/>
      </c>
      <c r="X934" s="15">
        <f>M934 * 1.05</f>
        <v/>
      </c>
      <c r="Y934" s="15">
        <f>M934 * 0.95</f>
        <v/>
      </c>
      <c r="Z934" s="15">
        <f>IF(AND(V934 &lt;= X934, V934 &gt;= Y934), 1, 0)</f>
        <v/>
      </c>
    </row>
    <row r="935">
      <c r="L935" s="15" t="n">
        <v>933</v>
      </c>
      <c r="M935" s="15">
        <f>IF(L935&lt;$D$16,$D$13,IF(L935&lt;$E$16,$E$13,$F$13))</f>
        <v/>
      </c>
      <c r="N935" s="15">
        <f>M935-V935</f>
        <v/>
      </c>
      <c r="O935" s="15">
        <f>IF(MOD(L935,$B$11)=0,OFFSET(O935,-$B$11,0)+ $E$2*N935+$E$3*OFFSET(N935,-$B$11,0)+ $E$4*OFFSET(N935,-2* $B$11,0), O934)</f>
        <v/>
      </c>
      <c r="P935" s="15">
        <f>INT((2^$J$12-1)*O935/100)/(2^$J$12-1)*100</f>
        <v/>
      </c>
      <c r="Q935" s="15" t="n">
        <v>0</v>
      </c>
      <c r="R935" s="15">
        <f>P935+Q935</f>
        <v/>
      </c>
      <c r="S935" s="15">
        <f>$I$1*S934-$I$2*S933+$I$3*R914+$I$4*R913</f>
        <v/>
      </c>
      <c r="T935" s="15">
        <f>RAND()*$G$12</f>
        <v/>
      </c>
      <c r="U935" s="15">
        <f>S935+T935</f>
        <v/>
      </c>
      <c r="V935" s="15">
        <f>INT((2^$J$12-1)*U935/100)/(2^$J$12-1)*100</f>
        <v/>
      </c>
      <c r="X935" s="15">
        <f>M935 * 1.05</f>
        <v/>
      </c>
      <c r="Y935" s="15">
        <f>M935 * 0.95</f>
        <v/>
      </c>
      <c r="Z935" s="15">
        <f>IF(AND(V935 &lt;= X935, V935 &gt;= Y935), 1, 0)</f>
        <v/>
      </c>
    </row>
    <row r="936">
      <c r="L936" s="15" t="n">
        <v>934</v>
      </c>
      <c r="M936" s="15">
        <f>IF(L936&lt;$D$16,$D$13,IF(L936&lt;$E$16,$E$13,$F$13))</f>
        <v/>
      </c>
      <c r="N936" s="15">
        <f>M936-V936</f>
        <v/>
      </c>
      <c r="O936" s="15">
        <f>IF(MOD(L936,$B$11)=0,OFFSET(O936,-$B$11,0)+ $E$2*N936+$E$3*OFFSET(N936,-$B$11,0)+ $E$4*OFFSET(N936,-2* $B$11,0), O935)</f>
        <v/>
      </c>
      <c r="P936" s="15">
        <f>INT((2^$J$12-1)*O936/100)/(2^$J$12-1)*100</f>
        <v/>
      </c>
      <c r="Q936" s="15" t="n">
        <v>0</v>
      </c>
      <c r="R936" s="15">
        <f>P936+Q936</f>
        <v/>
      </c>
      <c r="S936" s="15">
        <f>$I$1*S935-$I$2*S934+$I$3*R915+$I$4*R914</f>
        <v/>
      </c>
      <c r="T936" s="15">
        <f>RAND()*$G$12</f>
        <v/>
      </c>
      <c r="U936" s="15">
        <f>S936+T936</f>
        <v/>
      </c>
      <c r="V936" s="15">
        <f>INT((2^$J$12-1)*U936/100)/(2^$J$12-1)*100</f>
        <v/>
      </c>
      <c r="X936" s="15">
        <f>M936 * 1.05</f>
        <v/>
      </c>
      <c r="Y936" s="15">
        <f>M936 * 0.95</f>
        <v/>
      </c>
      <c r="Z936" s="15">
        <f>IF(AND(V936 &lt;= X936, V936 &gt;= Y936), 1, 0)</f>
        <v/>
      </c>
    </row>
    <row r="937">
      <c r="L937" s="15" t="n">
        <v>935</v>
      </c>
      <c r="M937" s="15">
        <f>IF(L937&lt;$D$16,$D$13,IF(L937&lt;$E$16,$E$13,$F$13))</f>
        <v/>
      </c>
      <c r="N937" s="15">
        <f>M937-V937</f>
        <v/>
      </c>
      <c r="O937" s="15">
        <f>IF(MOD(L937,$B$11)=0,OFFSET(O937,-$B$11,0)+ $E$2*N937+$E$3*OFFSET(N937,-$B$11,0)+ $E$4*OFFSET(N937,-2* $B$11,0), O936)</f>
        <v/>
      </c>
      <c r="P937" s="15">
        <f>INT((2^$J$12-1)*O937/100)/(2^$J$12-1)*100</f>
        <v/>
      </c>
      <c r="Q937" s="15" t="n">
        <v>0</v>
      </c>
      <c r="R937" s="15">
        <f>P937+Q937</f>
        <v/>
      </c>
      <c r="S937" s="15">
        <f>$I$1*S936-$I$2*S935+$I$3*R916+$I$4*R915</f>
        <v/>
      </c>
      <c r="T937" s="15">
        <f>RAND()*$G$12</f>
        <v/>
      </c>
      <c r="U937" s="15">
        <f>S937+T937</f>
        <v/>
      </c>
      <c r="V937" s="15">
        <f>INT((2^$J$12-1)*U937/100)/(2^$J$12-1)*100</f>
        <v/>
      </c>
      <c r="X937" s="15">
        <f>M937 * 1.05</f>
        <v/>
      </c>
      <c r="Y937" s="15">
        <f>M937 * 0.95</f>
        <v/>
      </c>
      <c r="Z937" s="15">
        <f>IF(AND(V937 &lt;= X937, V937 &gt;= Y937), 1, 0)</f>
        <v/>
      </c>
    </row>
    <row r="938">
      <c r="L938" s="15" t="n">
        <v>936</v>
      </c>
      <c r="M938" s="15">
        <f>IF(L938&lt;$D$16,$D$13,IF(L938&lt;$E$16,$E$13,$F$13))</f>
        <v/>
      </c>
      <c r="N938" s="15">
        <f>M938-V938</f>
        <v/>
      </c>
      <c r="O938" s="15">
        <f>IF(MOD(L938,$B$11)=0,OFFSET(O938,-$B$11,0)+ $E$2*N938+$E$3*OFFSET(N938,-$B$11,0)+ $E$4*OFFSET(N938,-2* $B$11,0), O937)</f>
        <v/>
      </c>
      <c r="P938" s="15">
        <f>INT((2^$J$12-1)*O938/100)/(2^$J$12-1)*100</f>
        <v/>
      </c>
      <c r="Q938" s="15" t="n">
        <v>0</v>
      </c>
      <c r="R938" s="15">
        <f>P938+Q938</f>
        <v/>
      </c>
      <c r="S938" s="15">
        <f>$I$1*S937-$I$2*S936+$I$3*R917+$I$4*R916</f>
        <v/>
      </c>
      <c r="T938" s="15">
        <f>RAND()*$G$12</f>
        <v/>
      </c>
      <c r="U938" s="15">
        <f>S938+T938</f>
        <v/>
      </c>
      <c r="V938" s="15">
        <f>INT((2^$J$12-1)*U938/100)/(2^$J$12-1)*100</f>
        <v/>
      </c>
      <c r="X938" s="15">
        <f>M938 * 1.05</f>
        <v/>
      </c>
      <c r="Y938" s="15">
        <f>M938 * 0.95</f>
        <v/>
      </c>
      <c r="Z938" s="15">
        <f>IF(AND(V938 &lt;= X938, V938 &gt;= Y938), 1, 0)</f>
        <v/>
      </c>
    </row>
    <row r="939">
      <c r="L939" s="15" t="n">
        <v>937</v>
      </c>
      <c r="M939" s="15">
        <f>IF(L939&lt;$D$16,$D$13,IF(L939&lt;$E$16,$E$13,$F$13))</f>
        <v/>
      </c>
      <c r="N939" s="15">
        <f>M939-V939</f>
        <v/>
      </c>
      <c r="O939" s="15">
        <f>IF(MOD(L939,$B$11)=0,OFFSET(O939,-$B$11,0)+ $E$2*N939+$E$3*OFFSET(N939,-$B$11,0)+ $E$4*OFFSET(N939,-2* $B$11,0), O938)</f>
        <v/>
      </c>
      <c r="P939" s="15">
        <f>INT((2^$J$12-1)*O939/100)/(2^$J$12-1)*100</f>
        <v/>
      </c>
      <c r="Q939" s="15" t="n">
        <v>0</v>
      </c>
      <c r="R939" s="15">
        <f>P939+Q939</f>
        <v/>
      </c>
      <c r="S939" s="15">
        <f>$I$1*S938-$I$2*S937+$I$3*R918+$I$4*R917</f>
        <v/>
      </c>
      <c r="T939" s="15">
        <f>RAND()*$G$12</f>
        <v/>
      </c>
      <c r="U939" s="15">
        <f>S939+T939</f>
        <v/>
      </c>
      <c r="V939" s="15">
        <f>INT((2^$J$12-1)*U939/100)/(2^$J$12-1)*100</f>
        <v/>
      </c>
      <c r="X939" s="15">
        <f>M939 * 1.05</f>
        <v/>
      </c>
      <c r="Y939" s="15">
        <f>M939 * 0.95</f>
        <v/>
      </c>
      <c r="Z939" s="15">
        <f>IF(AND(V939 &lt;= X939, V939 &gt;= Y939), 1, 0)</f>
        <v/>
      </c>
    </row>
    <row r="940">
      <c r="L940" s="15" t="n">
        <v>938</v>
      </c>
      <c r="M940" s="15">
        <f>IF(L940&lt;$D$16,$D$13,IF(L940&lt;$E$16,$E$13,$F$13))</f>
        <v/>
      </c>
      <c r="N940" s="15">
        <f>M940-V940</f>
        <v/>
      </c>
      <c r="O940" s="15">
        <f>IF(MOD(L940,$B$11)=0,OFFSET(O940,-$B$11,0)+ $E$2*N940+$E$3*OFFSET(N940,-$B$11,0)+ $E$4*OFFSET(N940,-2* $B$11,0), O939)</f>
        <v/>
      </c>
      <c r="P940" s="15">
        <f>INT((2^$J$12-1)*O940/100)/(2^$J$12-1)*100</f>
        <v/>
      </c>
      <c r="Q940" s="15" t="n">
        <v>0</v>
      </c>
      <c r="R940" s="15">
        <f>P940+Q940</f>
        <v/>
      </c>
      <c r="S940" s="15">
        <f>$I$1*S939-$I$2*S938+$I$3*R919+$I$4*R918</f>
        <v/>
      </c>
      <c r="T940" s="15">
        <f>RAND()*$G$12</f>
        <v/>
      </c>
      <c r="U940" s="15">
        <f>S940+T940</f>
        <v/>
      </c>
      <c r="V940" s="15">
        <f>INT((2^$J$12-1)*U940/100)/(2^$J$12-1)*100</f>
        <v/>
      </c>
      <c r="X940" s="15">
        <f>M940 * 1.05</f>
        <v/>
      </c>
      <c r="Y940" s="15">
        <f>M940 * 0.95</f>
        <v/>
      </c>
      <c r="Z940" s="15">
        <f>IF(AND(V940 &lt;= X940, V940 &gt;= Y940), 1, 0)</f>
        <v/>
      </c>
    </row>
    <row r="941">
      <c r="L941" s="15" t="n">
        <v>939</v>
      </c>
      <c r="M941" s="15">
        <f>IF(L941&lt;$D$16,$D$13,IF(L941&lt;$E$16,$E$13,$F$13))</f>
        <v/>
      </c>
      <c r="N941" s="15">
        <f>M941-V941</f>
        <v/>
      </c>
      <c r="O941" s="15">
        <f>IF(MOD(L941,$B$11)=0,OFFSET(O941,-$B$11,0)+ $E$2*N941+$E$3*OFFSET(N941,-$B$11,0)+ $E$4*OFFSET(N941,-2* $B$11,0), O940)</f>
        <v/>
      </c>
      <c r="P941" s="15">
        <f>INT((2^$J$12-1)*O941/100)/(2^$J$12-1)*100</f>
        <v/>
      </c>
      <c r="Q941" s="15" t="n">
        <v>0</v>
      </c>
      <c r="R941" s="15">
        <f>P941+Q941</f>
        <v/>
      </c>
      <c r="S941" s="15">
        <f>$I$1*S940-$I$2*S939+$I$3*R920+$I$4*R919</f>
        <v/>
      </c>
      <c r="T941" s="15">
        <f>RAND()*$G$12</f>
        <v/>
      </c>
      <c r="U941" s="15">
        <f>S941+T941</f>
        <v/>
      </c>
      <c r="V941" s="15">
        <f>INT((2^$J$12-1)*U941/100)/(2^$J$12-1)*100</f>
        <v/>
      </c>
      <c r="X941" s="15">
        <f>M941 * 1.05</f>
        <v/>
      </c>
      <c r="Y941" s="15">
        <f>M941 * 0.95</f>
        <v/>
      </c>
      <c r="Z941" s="15">
        <f>IF(AND(V941 &lt;= X941, V941 &gt;= Y941), 1, 0)</f>
        <v/>
      </c>
    </row>
    <row r="942">
      <c r="L942" s="15" t="n">
        <v>940</v>
      </c>
      <c r="M942" s="15">
        <f>IF(L942&lt;$D$16,$D$13,IF(L942&lt;$E$16,$E$13,$F$13))</f>
        <v/>
      </c>
      <c r="N942" s="15">
        <f>M942-V942</f>
        <v/>
      </c>
      <c r="O942" s="15">
        <f>IF(MOD(L942,$B$11)=0,OFFSET(O942,-$B$11,0)+ $E$2*N942+$E$3*OFFSET(N942,-$B$11,0)+ $E$4*OFFSET(N942,-2* $B$11,0), O941)</f>
        <v/>
      </c>
      <c r="P942" s="15">
        <f>INT((2^$J$12-1)*O942/100)/(2^$J$12-1)*100</f>
        <v/>
      </c>
      <c r="Q942" s="15" t="n">
        <v>0</v>
      </c>
      <c r="R942" s="15">
        <f>P942+Q942</f>
        <v/>
      </c>
      <c r="S942" s="15">
        <f>$I$1*S941-$I$2*S940+$I$3*R921+$I$4*R920</f>
        <v/>
      </c>
      <c r="T942" s="15">
        <f>RAND()*$G$12</f>
        <v/>
      </c>
      <c r="U942" s="15">
        <f>S942+T942</f>
        <v/>
      </c>
      <c r="V942" s="15">
        <f>INT((2^$J$12-1)*U942/100)/(2^$J$12-1)*100</f>
        <v/>
      </c>
      <c r="X942" s="15">
        <f>M942 * 1.05</f>
        <v/>
      </c>
      <c r="Y942" s="15">
        <f>M942 * 0.95</f>
        <v/>
      </c>
      <c r="Z942" s="15">
        <f>IF(AND(V942 &lt;= X942, V942 &gt;= Y942), 1, 0)</f>
        <v/>
      </c>
    </row>
    <row r="943">
      <c r="L943" s="15" t="n">
        <v>941</v>
      </c>
      <c r="M943" s="15">
        <f>IF(L943&lt;$D$16,$D$13,IF(L943&lt;$E$16,$E$13,$F$13))</f>
        <v/>
      </c>
      <c r="N943" s="15">
        <f>M943-V943</f>
        <v/>
      </c>
      <c r="O943" s="15">
        <f>IF(MOD(L943,$B$11)=0,OFFSET(O943,-$B$11,0)+ $E$2*N943+$E$3*OFFSET(N943,-$B$11,0)+ $E$4*OFFSET(N943,-2* $B$11,0), O942)</f>
        <v/>
      </c>
      <c r="P943" s="15">
        <f>INT((2^$J$12-1)*O943/100)/(2^$J$12-1)*100</f>
        <v/>
      </c>
      <c r="Q943" s="15" t="n">
        <v>0</v>
      </c>
      <c r="R943" s="15">
        <f>P943+Q943</f>
        <v/>
      </c>
      <c r="S943" s="15">
        <f>$I$1*S942-$I$2*S941+$I$3*R922+$I$4*R921</f>
        <v/>
      </c>
      <c r="T943" s="15">
        <f>RAND()*$G$12</f>
        <v/>
      </c>
      <c r="U943" s="15">
        <f>S943+T943</f>
        <v/>
      </c>
      <c r="V943" s="15">
        <f>INT((2^$J$12-1)*U943/100)/(2^$J$12-1)*100</f>
        <v/>
      </c>
      <c r="X943" s="15">
        <f>M943 * 1.05</f>
        <v/>
      </c>
      <c r="Y943" s="15">
        <f>M943 * 0.95</f>
        <v/>
      </c>
      <c r="Z943" s="15">
        <f>IF(AND(V943 &lt;= X943, V943 &gt;= Y943), 1, 0)</f>
        <v/>
      </c>
    </row>
    <row r="944">
      <c r="L944" s="15" t="n">
        <v>942</v>
      </c>
      <c r="M944" s="15">
        <f>IF(L944&lt;$D$16,$D$13,IF(L944&lt;$E$16,$E$13,$F$13))</f>
        <v/>
      </c>
      <c r="N944" s="15">
        <f>M944-V944</f>
        <v/>
      </c>
      <c r="O944" s="15">
        <f>IF(MOD(L944,$B$11)=0,OFFSET(O944,-$B$11,0)+ $E$2*N944+$E$3*OFFSET(N944,-$B$11,0)+ $E$4*OFFSET(N944,-2* $B$11,0), O943)</f>
        <v/>
      </c>
      <c r="P944" s="15">
        <f>INT((2^$J$12-1)*O944/100)/(2^$J$12-1)*100</f>
        <v/>
      </c>
      <c r="Q944" s="15" t="n">
        <v>0</v>
      </c>
      <c r="R944" s="15">
        <f>P944+Q944</f>
        <v/>
      </c>
      <c r="S944" s="15">
        <f>$I$1*S943-$I$2*S942+$I$3*R923+$I$4*R922</f>
        <v/>
      </c>
      <c r="T944" s="15">
        <f>RAND()*$G$12</f>
        <v/>
      </c>
      <c r="U944" s="15">
        <f>S944+T944</f>
        <v/>
      </c>
      <c r="V944" s="15">
        <f>INT((2^$J$12-1)*U944/100)/(2^$J$12-1)*100</f>
        <v/>
      </c>
      <c r="X944" s="15">
        <f>M944 * 1.05</f>
        <v/>
      </c>
      <c r="Y944" s="15">
        <f>M944 * 0.95</f>
        <v/>
      </c>
      <c r="Z944" s="15">
        <f>IF(AND(V944 &lt;= X944, V944 &gt;= Y944), 1, 0)</f>
        <v/>
      </c>
    </row>
    <row r="945">
      <c r="L945" s="15" t="n">
        <v>943</v>
      </c>
      <c r="M945" s="15">
        <f>IF(L945&lt;$D$16,$D$13,IF(L945&lt;$E$16,$E$13,$F$13))</f>
        <v/>
      </c>
      <c r="N945" s="15">
        <f>M945-V945</f>
        <v/>
      </c>
      <c r="O945" s="15">
        <f>IF(MOD(L945,$B$11)=0,OFFSET(O945,-$B$11,0)+ $E$2*N945+$E$3*OFFSET(N945,-$B$11,0)+ $E$4*OFFSET(N945,-2* $B$11,0), O944)</f>
        <v/>
      </c>
      <c r="P945" s="15">
        <f>INT((2^$J$12-1)*O945/100)/(2^$J$12-1)*100</f>
        <v/>
      </c>
      <c r="Q945" s="15" t="n">
        <v>0</v>
      </c>
      <c r="R945" s="15">
        <f>P945+Q945</f>
        <v/>
      </c>
      <c r="S945" s="15">
        <f>$I$1*S944-$I$2*S943+$I$3*R924+$I$4*R923</f>
        <v/>
      </c>
      <c r="T945" s="15">
        <f>RAND()*$G$12</f>
        <v/>
      </c>
      <c r="U945" s="15">
        <f>S945+T945</f>
        <v/>
      </c>
      <c r="V945" s="15">
        <f>INT((2^$J$12-1)*U945/100)/(2^$J$12-1)*100</f>
        <v/>
      </c>
      <c r="X945" s="15">
        <f>M945 * 1.05</f>
        <v/>
      </c>
      <c r="Y945" s="15">
        <f>M945 * 0.95</f>
        <v/>
      </c>
      <c r="Z945" s="15">
        <f>IF(AND(V945 &lt;= X945, V945 &gt;= Y945), 1, 0)</f>
        <v/>
      </c>
    </row>
    <row r="946">
      <c r="L946" s="15" t="n">
        <v>944</v>
      </c>
      <c r="M946" s="15">
        <f>IF(L946&lt;$D$16,$D$13,IF(L946&lt;$E$16,$E$13,$F$13))</f>
        <v/>
      </c>
      <c r="N946" s="15">
        <f>M946-V946</f>
        <v/>
      </c>
      <c r="O946" s="15">
        <f>IF(MOD(L946,$B$11)=0,OFFSET(O946,-$B$11,0)+ $E$2*N946+$E$3*OFFSET(N946,-$B$11,0)+ $E$4*OFFSET(N946,-2* $B$11,0), O945)</f>
        <v/>
      </c>
      <c r="P946" s="15">
        <f>INT((2^$J$12-1)*O946/100)/(2^$J$12-1)*100</f>
        <v/>
      </c>
      <c r="Q946" s="15" t="n">
        <v>0</v>
      </c>
      <c r="R946" s="15">
        <f>P946+Q946</f>
        <v/>
      </c>
      <c r="S946" s="15">
        <f>$I$1*S945-$I$2*S944+$I$3*R925+$I$4*R924</f>
        <v/>
      </c>
      <c r="T946" s="15">
        <f>RAND()*$G$12</f>
        <v/>
      </c>
      <c r="U946" s="15">
        <f>S946+T946</f>
        <v/>
      </c>
      <c r="V946" s="15">
        <f>INT((2^$J$12-1)*U946/100)/(2^$J$12-1)*100</f>
        <v/>
      </c>
      <c r="X946" s="15">
        <f>M946 * 1.05</f>
        <v/>
      </c>
      <c r="Y946" s="15">
        <f>M946 * 0.95</f>
        <v/>
      </c>
      <c r="Z946" s="15">
        <f>IF(AND(V946 &lt;= X946, V946 &gt;= Y946), 1, 0)</f>
        <v/>
      </c>
    </row>
    <row r="947">
      <c r="L947" s="15" t="n">
        <v>945</v>
      </c>
      <c r="M947" s="15">
        <f>IF(L947&lt;$D$16,$D$13,IF(L947&lt;$E$16,$E$13,$F$13))</f>
        <v/>
      </c>
      <c r="N947" s="15">
        <f>M947-V947</f>
        <v/>
      </c>
      <c r="O947" s="15">
        <f>IF(MOD(L947,$B$11)=0,OFFSET(O947,-$B$11,0)+ $E$2*N947+$E$3*OFFSET(N947,-$B$11,0)+ $E$4*OFFSET(N947,-2* $B$11,0), O946)</f>
        <v/>
      </c>
      <c r="P947" s="15">
        <f>INT((2^$J$12-1)*O947/100)/(2^$J$12-1)*100</f>
        <v/>
      </c>
      <c r="Q947" s="15" t="n">
        <v>0</v>
      </c>
      <c r="R947" s="15">
        <f>P947+Q947</f>
        <v/>
      </c>
      <c r="S947" s="15">
        <f>$I$1*S946-$I$2*S945+$I$3*R926+$I$4*R925</f>
        <v/>
      </c>
      <c r="T947" s="15">
        <f>RAND()*$G$12</f>
        <v/>
      </c>
      <c r="U947" s="15">
        <f>S947+T947</f>
        <v/>
      </c>
      <c r="V947" s="15">
        <f>INT((2^$J$12-1)*U947/100)/(2^$J$12-1)*100</f>
        <v/>
      </c>
      <c r="X947" s="15">
        <f>M947 * 1.05</f>
        <v/>
      </c>
      <c r="Y947" s="15">
        <f>M947 * 0.95</f>
        <v/>
      </c>
      <c r="Z947" s="15">
        <f>IF(AND(V947 &lt;= X947, V947 &gt;= Y947), 1, 0)</f>
        <v/>
      </c>
    </row>
    <row r="948">
      <c r="L948" s="15" t="n">
        <v>946</v>
      </c>
      <c r="M948" s="15">
        <f>IF(L948&lt;$D$16,$D$13,IF(L948&lt;$E$16,$E$13,$F$13))</f>
        <v/>
      </c>
      <c r="N948" s="15">
        <f>M948-V948</f>
        <v/>
      </c>
      <c r="O948" s="15">
        <f>IF(MOD(L948,$B$11)=0,OFFSET(O948,-$B$11,0)+ $E$2*N948+$E$3*OFFSET(N948,-$B$11,0)+ $E$4*OFFSET(N948,-2* $B$11,0), O947)</f>
        <v/>
      </c>
      <c r="P948" s="15">
        <f>INT((2^$J$12-1)*O948/100)/(2^$J$12-1)*100</f>
        <v/>
      </c>
      <c r="Q948" s="15" t="n">
        <v>0</v>
      </c>
      <c r="R948" s="15">
        <f>P948+Q948</f>
        <v/>
      </c>
      <c r="S948" s="15">
        <f>$I$1*S947-$I$2*S946+$I$3*R927+$I$4*R926</f>
        <v/>
      </c>
      <c r="T948" s="15">
        <f>RAND()*$G$12</f>
        <v/>
      </c>
      <c r="U948" s="15">
        <f>S948+T948</f>
        <v/>
      </c>
      <c r="V948" s="15">
        <f>INT((2^$J$12-1)*U948/100)/(2^$J$12-1)*100</f>
        <v/>
      </c>
      <c r="X948" s="15">
        <f>M948 * 1.05</f>
        <v/>
      </c>
      <c r="Y948" s="15">
        <f>M948 * 0.95</f>
        <v/>
      </c>
      <c r="Z948" s="15">
        <f>IF(AND(V948 &lt;= X948, V948 &gt;= Y948), 1, 0)</f>
        <v/>
      </c>
    </row>
    <row r="949">
      <c r="L949" s="15" t="n">
        <v>947</v>
      </c>
      <c r="M949" s="15">
        <f>IF(L949&lt;$D$16,$D$13,IF(L949&lt;$E$16,$E$13,$F$13))</f>
        <v/>
      </c>
      <c r="N949" s="15">
        <f>M949-V949</f>
        <v/>
      </c>
      <c r="O949" s="15">
        <f>IF(MOD(L949,$B$11)=0,OFFSET(O949,-$B$11,0)+ $E$2*N949+$E$3*OFFSET(N949,-$B$11,0)+ $E$4*OFFSET(N949,-2* $B$11,0), O948)</f>
        <v/>
      </c>
      <c r="P949" s="15">
        <f>INT((2^$J$12-1)*O949/100)/(2^$J$12-1)*100</f>
        <v/>
      </c>
      <c r="Q949" s="15" t="n">
        <v>0</v>
      </c>
      <c r="R949" s="15">
        <f>P949+Q949</f>
        <v/>
      </c>
      <c r="S949" s="15">
        <f>$I$1*S948-$I$2*S947+$I$3*R928+$I$4*R927</f>
        <v/>
      </c>
      <c r="T949" s="15">
        <f>RAND()*$G$12</f>
        <v/>
      </c>
      <c r="U949" s="15">
        <f>S949+T949</f>
        <v/>
      </c>
      <c r="V949" s="15">
        <f>INT((2^$J$12-1)*U949/100)/(2^$J$12-1)*100</f>
        <v/>
      </c>
      <c r="X949" s="15">
        <f>M949 * 1.05</f>
        <v/>
      </c>
      <c r="Y949" s="15">
        <f>M949 * 0.95</f>
        <v/>
      </c>
      <c r="Z949" s="15">
        <f>IF(AND(V949 &lt;= X949, V949 &gt;= Y949), 1, 0)</f>
        <v/>
      </c>
    </row>
    <row r="950">
      <c r="L950" s="15" t="n">
        <v>948</v>
      </c>
      <c r="M950" s="15">
        <f>IF(L950&lt;$D$16,$D$13,IF(L950&lt;$E$16,$E$13,$F$13))</f>
        <v/>
      </c>
      <c r="N950" s="15">
        <f>M950-V950</f>
        <v/>
      </c>
      <c r="O950" s="15">
        <f>IF(MOD(L950,$B$11)=0,OFFSET(O950,-$B$11,0)+ $E$2*N950+$E$3*OFFSET(N950,-$B$11,0)+ $E$4*OFFSET(N950,-2* $B$11,0), O949)</f>
        <v/>
      </c>
      <c r="P950" s="15">
        <f>INT((2^$J$12-1)*O950/100)/(2^$J$12-1)*100</f>
        <v/>
      </c>
      <c r="Q950" s="15" t="n">
        <v>0</v>
      </c>
      <c r="R950" s="15">
        <f>P950+Q950</f>
        <v/>
      </c>
      <c r="S950" s="15">
        <f>$I$1*S949-$I$2*S948+$I$3*R929+$I$4*R928</f>
        <v/>
      </c>
      <c r="T950" s="15">
        <f>RAND()*$G$12</f>
        <v/>
      </c>
      <c r="U950" s="15">
        <f>S950+T950</f>
        <v/>
      </c>
      <c r="V950" s="15">
        <f>INT((2^$J$12-1)*U950/100)/(2^$J$12-1)*100</f>
        <v/>
      </c>
      <c r="X950" s="15">
        <f>M950 * 1.05</f>
        <v/>
      </c>
      <c r="Y950" s="15">
        <f>M950 * 0.95</f>
        <v/>
      </c>
      <c r="Z950" s="15">
        <f>IF(AND(V950 &lt;= X950, V950 &gt;= Y950), 1, 0)</f>
        <v/>
      </c>
    </row>
    <row r="951">
      <c r="L951" s="15" t="n">
        <v>949</v>
      </c>
      <c r="M951" s="15">
        <f>IF(L951&lt;$D$16,$D$13,IF(L951&lt;$E$16,$E$13,$F$13))</f>
        <v/>
      </c>
      <c r="N951" s="15">
        <f>M951-V951</f>
        <v/>
      </c>
      <c r="O951" s="15">
        <f>IF(MOD(L951,$B$11)=0,OFFSET(O951,-$B$11,0)+ $E$2*N951+$E$3*OFFSET(N951,-$B$11,0)+ $E$4*OFFSET(N951,-2* $B$11,0), O950)</f>
        <v/>
      </c>
      <c r="P951" s="15">
        <f>INT((2^$J$12-1)*O951/100)/(2^$J$12-1)*100</f>
        <v/>
      </c>
      <c r="Q951" s="15" t="n">
        <v>0</v>
      </c>
      <c r="R951" s="15">
        <f>P951+Q951</f>
        <v/>
      </c>
      <c r="S951" s="15">
        <f>$I$1*S950-$I$2*S949+$I$3*R930+$I$4*R929</f>
        <v/>
      </c>
      <c r="T951" s="15">
        <f>RAND()*$G$12</f>
        <v/>
      </c>
      <c r="U951" s="15">
        <f>S951+T951</f>
        <v/>
      </c>
      <c r="V951" s="15">
        <f>INT((2^$J$12-1)*U951/100)/(2^$J$12-1)*100</f>
        <v/>
      </c>
      <c r="X951" s="15">
        <f>M951 * 1.05</f>
        <v/>
      </c>
      <c r="Y951" s="15">
        <f>M951 * 0.95</f>
        <v/>
      </c>
      <c r="Z951" s="15">
        <f>IF(AND(V951 &lt;= X951, V951 &gt;= Y951), 1, 0)</f>
        <v/>
      </c>
    </row>
    <row r="952">
      <c r="L952" s="15" t="n">
        <v>950</v>
      </c>
      <c r="M952" s="15">
        <f>IF(L952&lt;$D$16,$D$13,IF(L952&lt;$E$16,$E$13,$F$13))</f>
        <v/>
      </c>
      <c r="N952" s="15">
        <f>M952-V952</f>
        <v/>
      </c>
      <c r="O952" s="15">
        <f>IF(MOD(L952,$B$11)=0,OFFSET(O952,-$B$11,0)+ $E$2*N952+$E$3*OFFSET(N952,-$B$11,0)+ $E$4*OFFSET(N952,-2* $B$11,0), O951)</f>
        <v/>
      </c>
      <c r="P952" s="15">
        <f>INT((2^$J$12-1)*O952/100)/(2^$J$12-1)*100</f>
        <v/>
      </c>
      <c r="Q952" s="15" t="n">
        <v>0</v>
      </c>
      <c r="R952" s="15">
        <f>P952+Q952</f>
        <v/>
      </c>
      <c r="S952" s="15">
        <f>$I$1*S951-$I$2*S950+$I$3*R931+$I$4*R930</f>
        <v/>
      </c>
      <c r="T952" s="15">
        <f>RAND()*$G$12</f>
        <v/>
      </c>
      <c r="U952" s="15">
        <f>S952+T952</f>
        <v/>
      </c>
      <c r="V952" s="15">
        <f>INT((2^$J$12-1)*U952/100)/(2^$J$12-1)*100</f>
        <v/>
      </c>
      <c r="X952" s="15">
        <f>M952 * 1.05</f>
        <v/>
      </c>
      <c r="Y952" s="15">
        <f>M952 * 0.95</f>
        <v/>
      </c>
      <c r="Z952" s="15">
        <f>IF(AND(V952 &lt;= X952, V952 &gt;= Y952), 1, 0)</f>
        <v/>
      </c>
    </row>
    <row r="953">
      <c r="L953" s="15" t="n">
        <v>951</v>
      </c>
      <c r="M953" s="15">
        <f>IF(L953&lt;$D$16,$D$13,IF(L953&lt;$E$16,$E$13,$F$13))</f>
        <v/>
      </c>
      <c r="N953" s="15">
        <f>M953-V953</f>
        <v/>
      </c>
      <c r="O953" s="15">
        <f>IF(MOD(L953,$B$11)=0,OFFSET(O953,-$B$11,0)+ $E$2*N953+$E$3*OFFSET(N953,-$B$11,0)+ $E$4*OFFSET(N953,-2* $B$11,0), O952)</f>
        <v/>
      </c>
      <c r="P953" s="15">
        <f>INT((2^$J$12-1)*O953/100)/(2^$J$12-1)*100</f>
        <v/>
      </c>
      <c r="Q953" s="15" t="n">
        <v>0</v>
      </c>
      <c r="R953" s="15">
        <f>P953+Q953</f>
        <v/>
      </c>
      <c r="S953" s="15">
        <f>$I$1*S952-$I$2*S951+$I$3*R932+$I$4*R931</f>
        <v/>
      </c>
      <c r="T953" s="15">
        <f>RAND()*$G$12</f>
        <v/>
      </c>
      <c r="U953" s="15">
        <f>S953+T953</f>
        <v/>
      </c>
      <c r="V953" s="15">
        <f>INT((2^$J$12-1)*U953/100)/(2^$J$12-1)*100</f>
        <v/>
      </c>
      <c r="X953" s="15">
        <f>M953 * 1.05</f>
        <v/>
      </c>
      <c r="Y953" s="15">
        <f>M953 * 0.95</f>
        <v/>
      </c>
      <c r="Z953" s="15">
        <f>IF(AND(V953 &lt;= X953, V953 &gt;= Y953), 1, 0)</f>
        <v/>
      </c>
    </row>
    <row r="954">
      <c r="L954" s="15" t="n">
        <v>952</v>
      </c>
      <c r="M954" s="15">
        <f>IF(L954&lt;$D$16,$D$13,IF(L954&lt;$E$16,$E$13,$F$13))</f>
        <v/>
      </c>
      <c r="N954" s="15">
        <f>M954-V954</f>
        <v/>
      </c>
      <c r="O954" s="15">
        <f>IF(MOD(L954,$B$11)=0,OFFSET(O954,-$B$11,0)+ $E$2*N954+$E$3*OFFSET(N954,-$B$11,0)+ $E$4*OFFSET(N954,-2* $B$11,0), O953)</f>
        <v/>
      </c>
      <c r="P954" s="15">
        <f>INT((2^$J$12-1)*O954/100)/(2^$J$12-1)*100</f>
        <v/>
      </c>
      <c r="Q954" s="15" t="n">
        <v>0</v>
      </c>
      <c r="R954" s="15">
        <f>P954+Q954</f>
        <v/>
      </c>
      <c r="S954" s="15">
        <f>$I$1*S953-$I$2*S952+$I$3*R933+$I$4*R932</f>
        <v/>
      </c>
      <c r="T954" s="15">
        <f>RAND()*$G$12</f>
        <v/>
      </c>
      <c r="U954" s="15">
        <f>S954+T954</f>
        <v/>
      </c>
      <c r="V954" s="15">
        <f>INT((2^$J$12-1)*U954/100)/(2^$J$12-1)*100</f>
        <v/>
      </c>
      <c r="X954" s="15">
        <f>M954 * 1.05</f>
        <v/>
      </c>
      <c r="Y954" s="15">
        <f>M954 * 0.95</f>
        <v/>
      </c>
      <c r="Z954" s="15">
        <f>IF(AND(V954 &lt;= X954, V954 &gt;= Y954), 1, 0)</f>
        <v/>
      </c>
    </row>
    <row r="955">
      <c r="L955" s="15" t="n">
        <v>953</v>
      </c>
      <c r="M955" s="15">
        <f>IF(L955&lt;$D$16,$D$13,IF(L955&lt;$E$16,$E$13,$F$13))</f>
        <v/>
      </c>
      <c r="N955" s="15">
        <f>M955-V955</f>
        <v/>
      </c>
      <c r="O955" s="15">
        <f>IF(MOD(L955,$B$11)=0,OFFSET(O955,-$B$11,0)+ $E$2*N955+$E$3*OFFSET(N955,-$B$11,0)+ $E$4*OFFSET(N955,-2* $B$11,0), O954)</f>
        <v/>
      </c>
      <c r="P955" s="15">
        <f>INT((2^$J$12-1)*O955/100)/(2^$J$12-1)*100</f>
        <v/>
      </c>
      <c r="Q955" s="15" t="n">
        <v>0</v>
      </c>
      <c r="R955" s="15">
        <f>P955+Q955</f>
        <v/>
      </c>
      <c r="S955" s="15">
        <f>$I$1*S954-$I$2*S953+$I$3*R934+$I$4*R933</f>
        <v/>
      </c>
      <c r="T955" s="15">
        <f>RAND()*$G$12</f>
        <v/>
      </c>
      <c r="U955" s="15">
        <f>S955+T955</f>
        <v/>
      </c>
      <c r="V955" s="15">
        <f>INT((2^$J$12-1)*U955/100)/(2^$J$12-1)*100</f>
        <v/>
      </c>
      <c r="X955" s="15">
        <f>M955 * 1.05</f>
        <v/>
      </c>
      <c r="Y955" s="15">
        <f>M955 * 0.95</f>
        <v/>
      </c>
      <c r="Z955" s="15">
        <f>IF(AND(V955 &lt;= X955, V955 &gt;= Y955), 1, 0)</f>
        <v/>
      </c>
    </row>
    <row r="956">
      <c r="L956" s="15" t="n">
        <v>954</v>
      </c>
      <c r="M956" s="15">
        <f>IF(L956&lt;$D$16,$D$13,IF(L956&lt;$E$16,$E$13,$F$13))</f>
        <v/>
      </c>
      <c r="N956" s="15">
        <f>M956-V956</f>
        <v/>
      </c>
      <c r="O956" s="15">
        <f>IF(MOD(L956,$B$11)=0,OFFSET(O956,-$B$11,0)+ $E$2*N956+$E$3*OFFSET(N956,-$B$11,0)+ $E$4*OFFSET(N956,-2* $B$11,0), O955)</f>
        <v/>
      </c>
      <c r="P956" s="15">
        <f>INT((2^$J$12-1)*O956/100)/(2^$J$12-1)*100</f>
        <v/>
      </c>
      <c r="Q956" s="15" t="n">
        <v>0</v>
      </c>
      <c r="R956" s="15">
        <f>P956+Q956</f>
        <v/>
      </c>
      <c r="S956" s="15">
        <f>$I$1*S955-$I$2*S954+$I$3*R935+$I$4*R934</f>
        <v/>
      </c>
      <c r="T956" s="15">
        <f>RAND()*$G$12</f>
        <v/>
      </c>
      <c r="U956" s="15">
        <f>S956+T956</f>
        <v/>
      </c>
      <c r="V956" s="15">
        <f>INT((2^$J$12-1)*U956/100)/(2^$J$12-1)*100</f>
        <v/>
      </c>
      <c r="X956" s="15">
        <f>M956 * 1.05</f>
        <v/>
      </c>
      <c r="Y956" s="15">
        <f>M956 * 0.95</f>
        <v/>
      </c>
      <c r="Z956" s="15">
        <f>IF(AND(V956 &lt;= X956, V956 &gt;= Y956), 1, 0)</f>
        <v/>
      </c>
    </row>
    <row r="957">
      <c r="L957" s="15" t="n">
        <v>955</v>
      </c>
      <c r="M957" s="15">
        <f>IF(L957&lt;$D$16,$D$13,IF(L957&lt;$E$16,$E$13,$F$13))</f>
        <v/>
      </c>
      <c r="N957" s="15">
        <f>M957-V957</f>
        <v/>
      </c>
      <c r="O957" s="15">
        <f>IF(MOD(L957,$B$11)=0,OFFSET(O957,-$B$11,0)+ $E$2*N957+$E$3*OFFSET(N957,-$B$11,0)+ $E$4*OFFSET(N957,-2* $B$11,0), O956)</f>
        <v/>
      </c>
      <c r="P957" s="15">
        <f>INT((2^$J$12-1)*O957/100)/(2^$J$12-1)*100</f>
        <v/>
      </c>
      <c r="Q957" s="15" t="n">
        <v>0</v>
      </c>
      <c r="R957" s="15">
        <f>P957+Q957</f>
        <v/>
      </c>
      <c r="S957" s="15">
        <f>$I$1*S956-$I$2*S955+$I$3*R936+$I$4*R935</f>
        <v/>
      </c>
      <c r="T957" s="15">
        <f>RAND()*$G$12</f>
        <v/>
      </c>
      <c r="U957" s="15">
        <f>S957+T957</f>
        <v/>
      </c>
      <c r="V957" s="15">
        <f>INT((2^$J$12-1)*U957/100)/(2^$J$12-1)*100</f>
        <v/>
      </c>
      <c r="X957" s="15">
        <f>M957 * 1.05</f>
        <v/>
      </c>
      <c r="Y957" s="15">
        <f>M957 * 0.95</f>
        <v/>
      </c>
      <c r="Z957" s="15">
        <f>IF(AND(V957 &lt;= X957, V957 &gt;= Y957), 1, 0)</f>
        <v/>
      </c>
    </row>
    <row r="958">
      <c r="L958" s="15" t="n">
        <v>956</v>
      </c>
      <c r="M958" s="15">
        <f>IF(L958&lt;$D$16,$D$13,IF(L958&lt;$E$16,$E$13,$F$13))</f>
        <v/>
      </c>
      <c r="N958" s="15">
        <f>M958-V958</f>
        <v/>
      </c>
      <c r="O958" s="15">
        <f>IF(MOD(L958,$B$11)=0,OFFSET(O958,-$B$11,0)+ $E$2*N958+$E$3*OFFSET(N958,-$B$11,0)+ $E$4*OFFSET(N958,-2* $B$11,0), O957)</f>
        <v/>
      </c>
      <c r="P958" s="15">
        <f>INT((2^$J$12-1)*O958/100)/(2^$J$12-1)*100</f>
        <v/>
      </c>
      <c r="Q958" s="15" t="n">
        <v>0</v>
      </c>
      <c r="R958" s="15">
        <f>P958+Q958</f>
        <v/>
      </c>
      <c r="S958" s="15">
        <f>$I$1*S957-$I$2*S956+$I$3*R937+$I$4*R936</f>
        <v/>
      </c>
      <c r="T958" s="15">
        <f>RAND()*$G$12</f>
        <v/>
      </c>
      <c r="U958" s="15">
        <f>S958+T958</f>
        <v/>
      </c>
      <c r="V958" s="15">
        <f>INT((2^$J$12-1)*U958/100)/(2^$J$12-1)*100</f>
        <v/>
      </c>
      <c r="X958" s="15">
        <f>M958 * 1.05</f>
        <v/>
      </c>
      <c r="Y958" s="15">
        <f>M958 * 0.95</f>
        <v/>
      </c>
      <c r="Z958" s="15">
        <f>IF(AND(V958 &lt;= X958, V958 &gt;= Y958), 1, 0)</f>
        <v/>
      </c>
    </row>
    <row r="959">
      <c r="L959" s="15" t="n">
        <v>957</v>
      </c>
      <c r="M959" s="15">
        <f>IF(L959&lt;$D$16,$D$13,IF(L959&lt;$E$16,$E$13,$F$13))</f>
        <v/>
      </c>
      <c r="N959" s="15">
        <f>M959-V959</f>
        <v/>
      </c>
      <c r="O959" s="15">
        <f>IF(MOD(L959,$B$11)=0,OFFSET(O959,-$B$11,0)+ $E$2*N959+$E$3*OFFSET(N959,-$B$11,0)+ $E$4*OFFSET(N959,-2* $B$11,0), O958)</f>
        <v/>
      </c>
      <c r="P959" s="15">
        <f>INT((2^$J$12-1)*O959/100)/(2^$J$12-1)*100</f>
        <v/>
      </c>
      <c r="Q959" s="15" t="n">
        <v>0</v>
      </c>
      <c r="R959" s="15">
        <f>P959+Q959</f>
        <v/>
      </c>
      <c r="S959" s="15">
        <f>$I$1*S958-$I$2*S957+$I$3*R938+$I$4*R937</f>
        <v/>
      </c>
      <c r="T959" s="15">
        <f>RAND()*$G$12</f>
        <v/>
      </c>
      <c r="U959" s="15">
        <f>S959+T959</f>
        <v/>
      </c>
      <c r="V959" s="15">
        <f>INT((2^$J$12-1)*U959/100)/(2^$J$12-1)*100</f>
        <v/>
      </c>
      <c r="X959" s="15">
        <f>M959 * 1.05</f>
        <v/>
      </c>
      <c r="Y959" s="15">
        <f>M959 * 0.95</f>
        <v/>
      </c>
      <c r="Z959" s="15">
        <f>IF(AND(V959 &lt;= X959, V959 &gt;= Y959), 1, 0)</f>
        <v/>
      </c>
    </row>
    <row r="960">
      <c r="L960" s="15" t="n">
        <v>958</v>
      </c>
      <c r="M960" s="15">
        <f>IF(L960&lt;$D$16,$D$13,IF(L960&lt;$E$16,$E$13,$F$13))</f>
        <v/>
      </c>
      <c r="N960" s="15">
        <f>M960-V960</f>
        <v/>
      </c>
      <c r="O960" s="15">
        <f>IF(MOD(L960,$B$11)=0,OFFSET(O960,-$B$11,0)+ $E$2*N960+$E$3*OFFSET(N960,-$B$11,0)+ $E$4*OFFSET(N960,-2* $B$11,0), O959)</f>
        <v/>
      </c>
      <c r="P960" s="15">
        <f>INT((2^$J$12-1)*O960/100)/(2^$J$12-1)*100</f>
        <v/>
      </c>
      <c r="Q960" s="15" t="n">
        <v>0</v>
      </c>
      <c r="R960" s="15">
        <f>P960+Q960</f>
        <v/>
      </c>
      <c r="S960" s="15">
        <f>$I$1*S959-$I$2*S958+$I$3*R939+$I$4*R938</f>
        <v/>
      </c>
      <c r="T960" s="15">
        <f>RAND()*$G$12</f>
        <v/>
      </c>
      <c r="U960" s="15">
        <f>S960+T960</f>
        <v/>
      </c>
      <c r="V960" s="15">
        <f>INT((2^$J$12-1)*U960/100)/(2^$J$12-1)*100</f>
        <v/>
      </c>
      <c r="X960" s="15">
        <f>M960 * 1.05</f>
        <v/>
      </c>
      <c r="Y960" s="15">
        <f>M960 * 0.95</f>
        <v/>
      </c>
      <c r="Z960" s="15">
        <f>IF(AND(V960 &lt;= X960, V960 &gt;= Y960), 1, 0)</f>
        <v/>
      </c>
    </row>
    <row r="961">
      <c r="L961" s="15" t="n">
        <v>959</v>
      </c>
      <c r="M961" s="15">
        <f>IF(L961&lt;$D$16,$D$13,IF(L961&lt;$E$16,$E$13,$F$13))</f>
        <v/>
      </c>
      <c r="N961" s="15">
        <f>M961-V961</f>
        <v/>
      </c>
      <c r="O961" s="15">
        <f>IF(MOD(L961,$B$11)=0,OFFSET(O961,-$B$11,0)+ $E$2*N961+$E$3*OFFSET(N961,-$B$11,0)+ $E$4*OFFSET(N961,-2* $B$11,0), O960)</f>
        <v/>
      </c>
      <c r="P961" s="15">
        <f>INT((2^$J$12-1)*O961/100)/(2^$J$12-1)*100</f>
        <v/>
      </c>
      <c r="Q961" s="15" t="n">
        <v>0</v>
      </c>
      <c r="R961" s="15">
        <f>P961+Q961</f>
        <v/>
      </c>
      <c r="S961" s="15">
        <f>$I$1*S960-$I$2*S959+$I$3*R940+$I$4*R939</f>
        <v/>
      </c>
      <c r="T961" s="15">
        <f>RAND()*$G$12</f>
        <v/>
      </c>
      <c r="U961" s="15">
        <f>S961+T961</f>
        <v/>
      </c>
      <c r="V961" s="15">
        <f>INT((2^$J$12-1)*U961/100)/(2^$J$12-1)*100</f>
        <v/>
      </c>
      <c r="X961" s="15">
        <f>M961 * 1.05</f>
        <v/>
      </c>
      <c r="Y961" s="15">
        <f>M961 * 0.95</f>
        <v/>
      </c>
      <c r="Z961" s="15">
        <f>IF(AND(V961 &lt;= X961, V961 &gt;= Y961), 1, 0)</f>
        <v/>
      </c>
    </row>
    <row r="962">
      <c r="L962" s="15" t="n">
        <v>960</v>
      </c>
      <c r="M962" s="15">
        <f>IF(L962&lt;$D$16,$D$13,IF(L962&lt;$E$16,$E$13,$F$13))</f>
        <v/>
      </c>
      <c r="N962" s="15">
        <f>M962-V962</f>
        <v/>
      </c>
      <c r="O962" s="15">
        <f>IF(MOD(L962,$B$11)=0,OFFSET(O962,-$B$11,0)+ $E$2*N962+$E$3*OFFSET(N962,-$B$11,0)+ $E$4*OFFSET(N962,-2* $B$11,0), O961)</f>
        <v/>
      </c>
      <c r="P962" s="15">
        <f>INT((2^$J$12-1)*O962/100)/(2^$J$12-1)*100</f>
        <v/>
      </c>
      <c r="Q962" s="15" t="n">
        <v>0</v>
      </c>
      <c r="R962" s="15">
        <f>P962+Q962</f>
        <v/>
      </c>
      <c r="S962" s="15">
        <f>$I$1*S961-$I$2*S960+$I$3*R941+$I$4*R940</f>
        <v/>
      </c>
      <c r="T962" s="15">
        <f>RAND()*$G$12</f>
        <v/>
      </c>
      <c r="U962" s="15">
        <f>S962+T962</f>
        <v/>
      </c>
      <c r="V962" s="15">
        <f>INT((2^$J$12-1)*U962/100)/(2^$J$12-1)*100</f>
        <v/>
      </c>
      <c r="X962" s="15">
        <f>M962 * 1.05</f>
        <v/>
      </c>
      <c r="Y962" s="15">
        <f>M962 * 0.95</f>
        <v/>
      </c>
      <c r="Z962" s="15">
        <f>IF(AND(V962 &lt;= X962, V962 &gt;= Y962), 1, 0)</f>
        <v/>
      </c>
    </row>
    <row r="963">
      <c r="L963" s="15" t="n">
        <v>961</v>
      </c>
      <c r="M963" s="15">
        <f>IF(L963&lt;$D$16,$D$13,IF(L963&lt;$E$16,$E$13,$F$13))</f>
        <v/>
      </c>
      <c r="N963" s="15">
        <f>M963-V963</f>
        <v/>
      </c>
      <c r="O963" s="15">
        <f>IF(MOD(L963,$B$11)=0,OFFSET(O963,-$B$11,0)+ $E$2*N963+$E$3*OFFSET(N963,-$B$11,0)+ $E$4*OFFSET(N963,-2* $B$11,0), O962)</f>
        <v/>
      </c>
      <c r="P963" s="15">
        <f>INT((2^$J$12-1)*O963/100)/(2^$J$12-1)*100</f>
        <v/>
      </c>
      <c r="Q963" s="15" t="n">
        <v>0</v>
      </c>
      <c r="R963" s="15">
        <f>P963+Q963</f>
        <v/>
      </c>
      <c r="S963" s="15">
        <f>$I$1*S962-$I$2*S961+$I$3*R942+$I$4*R941</f>
        <v/>
      </c>
      <c r="T963" s="15">
        <f>RAND()*$G$12</f>
        <v/>
      </c>
      <c r="U963" s="15">
        <f>S963+T963</f>
        <v/>
      </c>
      <c r="V963" s="15">
        <f>INT((2^$J$12-1)*U963/100)/(2^$J$12-1)*100</f>
        <v/>
      </c>
      <c r="X963" s="15">
        <f>M963 * 1.05</f>
        <v/>
      </c>
      <c r="Y963" s="15">
        <f>M963 * 0.95</f>
        <v/>
      </c>
      <c r="Z963" s="15">
        <f>IF(AND(V963 &lt;= X963, V963 &gt;= Y963), 1, 0)</f>
        <v/>
      </c>
    </row>
    <row r="964">
      <c r="L964" s="15" t="n">
        <v>962</v>
      </c>
      <c r="M964" s="15">
        <f>IF(L964&lt;$D$16,$D$13,IF(L964&lt;$E$16,$E$13,$F$13))</f>
        <v/>
      </c>
      <c r="N964" s="15">
        <f>M964-V964</f>
        <v/>
      </c>
      <c r="O964" s="15">
        <f>IF(MOD(L964,$B$11)=0,OFFSET(O964,-$B$11,0)+ $E$2*N964+$E$3*OFFSET(N964,-$B$11,0)+ $E$4*OFFSET(N964,-2* $B$11,0), O963)</f>
        <v/>
      </c>
      <c r="P964" s="15">
        <f>INT((2^$J$12-1)*O964/100)/(2^$J$12-1)*100</f>
        <v/>
      </c>
      <c r="Q964" s="15" t="n">
        <v>0</v>
      </c>
      <c r="R964" s="15">
        <f>P964+Q964</f>
        <v/>
      </c>
      <c r="S964" s="15">
        <f>$I$1*S963-$I$2*S962+$I$3*R943+$I$4*R942</f>
        <v/>
      </c>
      <c r="T964" s="15">
        <f>RAND()*$G$12</f>
        <v/>
      </c>
      <c r="U964" s="15">
        <f>S964+T964</f>
        <v/>
      </c>
      <c r="V964" s="15">
        <f>INT((2^$J$12-1)*U964/100)/(2^$J$12-1)*100</f>
        <v/>
      </c>
      <c r="X964" s="15">
        <f>M964 * 1.05</f>
        <v/>
      </c>
      <c r="Y964" s="15">
        <f>M964 * 0.95</f>
        <v/>
      </c>
      <c r="Z964" s="15">
        <f>IF(AND(V964 &lt;= X964, V964 &gt;= Y964), 1, 0)</f>
        <v/>
      </c>
    </row>
    <row r="965">
      <c r="L965" s="15" t="n">
        <v>963</v>
      </c>
      <c r="M965" s="15">
        <f>IF(L965&lt;$D$16,$D$13,IF(L965&lt;$E$16,$E$13,$F$13))</f>
        <v/>
      </c>
      <c r="N965" s="15">
        <f>M965-V965</f>
        <v/>
      </c>
      <c r="O965" s="15">
        <f>IF(MOD(L965,$B$11)=0,OFFSET(O965,-$B$11,0)+ $E$2*N965+$E$3*OFFSET(N965,-$B$11,0)+ $E$4*OFFSET(N965,-2* $B$11,0), O964)</f>
        <v/>
      </c>
      <c r="P965" s="15">
        <f>INT((2^$J$12-1)*O965/100)/(2^$J$12-1)*100</f>
        <v/>
      </c>
      <c r="Q965" s="15" t="n">
        <v>0</v>
      </c>
      <c r="R965" s="15">
        <f>P965+Q965</f>
        <v/>
      </c>
      <c r="S965" s="15">
        <f>$I$1*S964-$I$2*S963+$I$3*R944+$I$4*R943</f>
        <v/>
      </c>
      <c r="T965" s="15">
        <f>RAND()*$G$12</f>
        <v/>
      </c>
      <c r="U965" s="15">
        <f>S965+T965</f>
        <v/>
      </c>
      <c r="V965" s="15">
        <f>INT((2^$J$12-1)*U965/100)/(2^$J$12-1)*100</f>
        <v/>
      </c>
      <c r="X965" s="15">
        <f>M965 * 1.05</f>
        <v/>
      </c>
      <c r="Y965" s="15">
        <f>M965 * 0.95</f>
        <v/>
      </c>
      <c r="Z965" s="15">
        <f>IF(AND(V965 &lt;= X965, V965 &gt;= Y965), 1, 0)</f>
        <v/>
      </c>
    </row>
    <row r="966">
      <c r="L966" s="15" t="n">
        <v>964</v>
      </c>
      <c r="M966" s="15">
        <f>IF(L966&lt;$D$16,$D$13,IF(L966&lt;$E$16,$E$13,$F$13))</f>
        <v/>
      </c>
      <c r="N966" s="15">
        <f>M966-V966</f>
        <v/>
      </c>
      <c r="O966" s="15">
        <f>IF(MOD(L966,$B$11)=0,OFFSET(O966,-$B$11,0)+ $E$2*N966+$E$3*OFFSET(N966,-$B$11,0)+ $E$4*OFFSET(N966,-2* $B$11,0), O965)</f>
        <v/>
      </c>
      <c r="P966" s="15">
        <f>INT((2^$J$12-1)*O966/100)/(2^$J$12-1)*100</f>
        <v/>
      </c>
      <c r="Q966" s="15" t="n">
        <v>0</v>
      </c>
      <c r="R966" s="15">
        <f>P966+Q966</f>
        <v/>
      </c>
      <c r="S966" s="15">
        <f>$I$1*S965-$I$2*S964+$I$3*R945+$I$4*R944</f>
        <v/>
      </c>
      <c r="T966" s="15">
        <f>RAND()*$G$12</f>
        <v/>
      </c>
      <c r="U966" s="15">
        <f>S966+T966</f>
        <v/>
      </c>
      <c r="V966" s="15">
        <f>INT((2^$J$12-1)*U966/100)/(2^$J$12-1)*100</f>
        <v/>
      </c>
      <c r="X966" s="15">
        <f>M966 * 1.05</f>
        <v/>
      </c>
      <c r="Y966" s="15">
        <f>M966 * 0.95</f>
        <v/>
      </c>
      <c r="Z966" s="15">
        <f>IF(AND(V966 &lt;= X966, V966 &gt;= Y966), 1, 0)</f>
        <v/>
      </c>
    </row>
    <row r="967">
      <c r="L967" s="15" t="n">
        <v>965</v>
      </c>
      <c r="M967" s="15">
        <f>IF(L967&lt;$D$16,$D$13,IF(L967&lt;$E$16,$E$13,$F$13))</f>
        <v/>
      </c>
      <c r="N967" s="15">
        <f>M967-V967</f>
        <v/>
      </c>
      <c r="O967" s="15">
        <f>IF(MOD(L967,$B$11)=0,OFFSET(O967,-$B$11,0)+ $E$2*N967+$E$3*OFFSET(N967,-$B$11,0)+ $E$4*OFFSET(N967,-2* $B$11,0), O966)</f>
        <v/>
      </c>
      <c r="P967" s="15">
        <f>INT((2^$J$12-1)*O967/100)/(2^$J$12-1)*100</f>
        <v/>
      </c>
      <c r="Q967" s="15" t="n">
        <v>0</v>
      </c>
      <c r="R967" s="15">
        <f>P967+Q967</f>
        <v/>
      </c>
      <c r="S967" s="15">
        <f>$I$1*S966-$I$2*S965+$I$3*R946+$I$4*R945</f>
        <v/>
      </c>
      <c r="T967" s="15">
        <f>RAND()*$G$12</f>
        <v/>
      </c>
      <c r="U967" s="15">
        <f>S967+T967</f>
        <v/>
      </c>
      <c r="V967" s="15">
        <f>INT((2^$J$12-1)*U967/100)/(2^$J$12-1)*100</f>
        <v/>
      </c>
      <c r="X967" s="15">
        <f>M967 * 1.05</f>
        <v/>
      </c>
      <c r="Y967" s="15">
        <f>M967 * 0.95</f>
        <v/>
      </c>
      <c r="Z967" s="15">
        <f>IF(AND(V967 &lt;= X967, V967 &gt;= Y967), 1, 0)</f>
        <v/>
      </c>
    </row>
    <row r="968">
      <c r="L968" s="15" t="n">
        <v>966</v>
      </c>
      <c r="M968" s="15">
        <f>IF(L968&lt;$D$16,$D$13,IF(L968&lt;$E$16,$E$13,$F$13))</f>
        <v/>
      </c>
      <c r="N968" s="15">
        <f>M968-V968</f>
        <v/>
      </c>
      <c r="O968" s="15">
        <f>IF(MOD(L968,$B$11)=0,OFFSET(O968,-$B$11,0)+ $E$2*N968+$E$3*OFFSET(N968,-$B$11,0)+ $E$4*OFFSET(N968,-2* $B$11,0), O967)</f>
        <v/>
      </c>
      <c r="P968" s="15">
        <f>INT((2^$J$12-1)*O968/100)/(2^$J$12-1)*100</f>
        <v/>
      </c>
      <c r="Q968" s="15" t="n">
        <v>0</v>
      </c>
      <c r="R968" s="15">
        <f>P968+Q968</f>
        <v/>
      </c>
      <c r="S968" s="15">
        <f>$I$1*S967-$I$2*S966+$I$3*R947+$I$4*R946</f>
        <v/>
      </c>
      <c r="T968" s="15">
        <f>RAND()*$G$12</f>
        <v/>
      </c>
      <c r="U968" s="15">
        <f>S968+T968</f>
        <v/>
      </c>
      <c r="V968" s="15">
        <f>INT((2^$J$12-1)*U968/100)/(2^$J$12-1)*100</f>
        <v/>
      </c>
      <c r="X968" s="15">
        <f>M968 * 1.05</f>
        <v/>
      </c>
      <c r="Y968" s="15">
        <f>M968 * 0.95</f>
        <v/>
      </c>
      <c r="Z968" s="15">
        <f>IF(AND(V968 &lt;= X968, V968 &gt;= Y968), 1, 0)</f>
        <v/>
      </c>
    </row>
    <row r="969">
      <c r="L969" s="15" t="n">
        <v>967</v>
      </c>
      <c r="M969" s="15">
        <f>IF(L969&lt;$D$16,$D$13,IF(L969&lt;$E$16,$E$13,$F$13))</f>
        <v/>
      </c>
      <c r="N969" s="15">
        <f>M969-V969</f>
        <v/>
      </c>
      <c r="O969" s="15">
        <f>IF(MOD(L969,$B$11)=0,OFFSET(O969,-$B$11,0)+ $E$2*N969+$E$3*OFFSET(N969,-$B$11,0)+ $E$4*OFFSET(N969,-2* $B$11,0), O968)</f>
        <v/>
      </c>
      <c r="P969" s="15">
        <f>INT((2^$J$12-1)*O969/100)/(2^$J$12-1)*100</f>
        <v/>
      </c>
      <c r="Q969" s="15" t="n">
        <v>0</v>
      </c>
      <c r="R969" s="15">
        <f>P969+Q969</f>
        <v/>
      </c>
      <c r="S969" s="15">
        <f>$I$1*S968-$I$2*S967+$I$3*R948+$I$4*R947</f>
        <v/>
      </c>
      <c r="T969" s="15">
        <f>RAND()*$G$12</f>
        <v/>
      </c>
      <c r="U969" s="15">
        <f>S969+T969</f>
        <v/>
      </c>
      <c r="V969" s="15">
        <f>INT((2^$J$12-1)*U969/100)/(2^$J$12-1)*100</f>
        <v/>
      </c>
      <c r="X969" s="15">
        <f>M969 * 1.05</f>
        <v/>
      </c>
      <c r="Y969" s="15">
        <f>M969 * 0.95</f>
        <v/>
      </c>
      <c r="Z969" s="15">
        <f>IF(AND(V969 &lt;= X969, V969 &gt;= Y969), 1, 0)</f>
        <v/>
      </c>
    </row>
    <row r="970">
      <c r="L970" s="15" t="n">
        <v>968</v>
      </c>
      <c r="M970" s="15">
        <f>IF(L970&lt;$D$16,$D$13,IF(L970&lt;$E$16,$E$13,$F$13))</f>
        <v/>
      </c>
      <c r="N970" s="15">
        <f>M970-V970</f>
        <v/>
      </c>
      <c r="O970" s="15">
        <f>IF(MOD(L970,$B$11)=0,OFFSET(O970,-$B$11,0)+ $E$2*N970+$E$3*OFFSET(N970,-$B$11,0)+ $E$4*OFFSET(N970,-2* $B$11,0), O969)</f>
        <v/>
      </c>
      <c r="P970" s="15">
        <f>INT((2^$J$12-1)*O970/100)/(2^$J$12-1)*100</f>
        <v/>
      </c>
      <c r="Q970" s="15" t="n">
        <v>0</v>
      </c>
      <c r="R970" s="15">
        <f>P970+Q970</f>
        <v/>
      </c>
      <c r="S970" s="15">
        <f>$I$1*S969-$I$2*S968+$I$3*R949+$I$4*R948</f>
        <v/>
      </c>
      <c r="T970" s="15">
        <f>RAND()*$G$12</f>
        <v/>
      </c>
      <c r="U970" s="15">
        <f>S970+T970</f>
        <v/>
      </c>
      <c r="V970" s="15">
        <f>INT((2^$J$12-1)*U970/100)/(2^$J$12-1)*100</f>
        <v/>
      </c>
      <c r="X970" s="15">
        <f>M970 * 1.05</f>
        <v/>
      </c>
      <c r="Y970" s="15">
        <f>M970 * 0.95</f>
        <v/>
      </c>
      <c r="Z970" s="15">
        <f>IF(AND(V970 &lt;= X970, V970 &gt;= Y970), 1, 0)</f>
        <v/>
      </c>
    </row>
    <row r="971">
      <c r="L971" s="15" t="n">
        <v>969</v>
      </c>
      <c r="M971" s="15">
        <f>IF(L971&lt;$D$16,$D$13,IF(L971&lt;$E$16,$E$13,$F$13))</f>
        <v/>
      </c>
      <c r="N971" s="15">
        <f>M971-V971</f>
        <v/>
      </c>
      <c r="O971" s="15">
        <f>IF(MOD(L971,$B$11)=0,OFFSET(O971,-$B$11,0)+ $E$2*N971+$E$3*OFFSET(N971,-$B$11,0)+ $E$4*OFFSET(N971,-2* $B$11,0), O970)</f>
        <v/>
      </c>
      <c r="P971" s="15">
        <f>INT((2^$J$12-1)*O971/100)/(2^$J$12-1)*100</f>
        <v/>
      </c>
      <c r="Q971" s="15" t="n">
        <v>0</v>
      </c>
      <c r="R971" s="15">
        <f>P971+Q971</f>
        <v/>
      </c>
      <c r="S971" s="15">
        <f>$I$1*S970-$I$2*S969+$I$3*R950+$I$4*R949</f>
        <v/>
      </c>
      <c r="T971" s="15">
        <f>RAND()*$G$12</f>
        <v/>
      </c>
      <c r="U971" s="15">
        <f>S971+T971</f>
        <v/>
      </c>
      <c r="V971" s="15">
        <f>INT((2^$J$12-1)*U971/100)/(2^$J$12-1)*100</f>
        <v/>
      </c>
      <c r="X971" s="15">
        <f>M971 * 1.05</f>
        <v/>
      </c>
      <c r="Y971" s="15">
        <f>M971 * 0.95</f>
        <v/>
      </c>
      <c r="Z971" s="15">
        <f>IF(AND(V971 &lt;= X971, V971 &gt;= Y971), 1, 0)</f>
        <v/>
      </c>
    </row>
    <row r="972">
      <c r="L972" s="15" t="n">
        <v>970</v>
      </c>
      <c r="M972" s="15">
        <f>IF(L972&lt;$D$16,$D$13,IF(L972&lt;$E$16,$E$13,$F$13))</f>
        <v/>
      </c>
      <c r="N972" s="15">
        <f>M972-V972</f>
        <v/>
      </c>
      <c r="O972" s="15">
        <f>IF(MOD(L972,$B$11)=0,OFFSET(O972,-$B$11,0)+ $E$2*N972+$E$3*OFFSET(N972,-$B$11,0)+ $E$4*OFFSET(N972,-2* $B$11,0), O971)</f>
        <v/>
      </c>
      <c r="P972" s="15">
        <f>INT((2^$J$12-1)*O972/100)/(2^$J$12-1)*100</f>
        <v/>
      </c>
      <c r="Q972" s="15" t="n">
        <v>0</v>
      </c>
      <c r="R972" s="15">
        <f>P972+Q972</f>
        <v/>
      </c>
      <c r="S972" s="15">
        <f>$I$1*S971-$I$2*S970+$I$3*R951+$I$4*R950</f>
        <v/>
      </c>
      <c r="T972" s="15">
        <f>RAND()*$G$12</f>
        <v/>
      </c>
      <c r="U972" s="15">
        <f>S972+T972</f>
        <v/>
      </c>
      <c r="V972" s="15">
        <f>INT((2^$J$12-1)*U972/100)/(2^$J$12-1)*100</f>
        <v/>
      </c>
      <c r="X972" s="15">
        <f>M972 * 1.05</f>
        <v/>
      </c>
      <c r="Y972" s="15">
        <f>M972 * 0.95</f>
        <v/>
      </c>
      <c r="Z972" s="15">
        <f>IF(AND(V972 &lt;= X972, V972 &gt;= Y972), 1, 0)</f>
        <v/>
      </c>
    </row>
    <row r="973">
      <c r="L973" s="15" t="n">
        <v>971</v>
      </c>
      <c r="M973" s="15">
        <f>IF(L973&lt;$D$16,$D$13,IF(L973&lt;$E$16,$E$13,$F$13))</f>
        <v/>
      </c>
      <c r="N973" s="15">
        <f>M973-V973</f>
        <v/>
      </c>
      <c r="O973" s="15">
        <f>IF(MOD(L973,$B$11)=0,OFFSET(O973,-$B$11,0)+ $E$2*N973+$E$3*OFFSET(N973,-$B$11,0)+ $E$4*OFFSET(N973,-2* $B$11,0), O972)</f>
        <v/>
      </c>
      <c r="P973" s="15">
        <f>INT((2^$J$12-1)*O973/100)/(2^$J$12-1)*100</f>
        <v/>
      </c>
      <c r="Q973" s="15" t="n">
        <v>0</v>
      </c>
      <c r="R973" s="15">
        <f>P973+Q973</f>
        <v/>
      </c>
      <c r="S973" s="15">
        <f>$I$1*S972-$I$2*S971+$I$3*R952+$I$4*R951</f>
        <v/>
      </c>
      <c r="T973" s="15">
        <f>RAND()*$G$12</f>
        <v/>
      </c>
      <c r="U973" s="15">
        <f>S973+T973</f>
        <v/>
      </c>
      <c r="V973" s="15">
        <f>INT((2^$J$12-1)*U973/100)/(2^$J$12-1)*100</f>
        <v/>
      </c>
      <c r="X973" s="15">
        <f>M973 * 1.05</f>
        <v/>
      </c>
      <c r="Y973" s="15">
        <f>M973 * 0.95</f>
        <v/>
      </c>
      <c r="Z973" s="15">
        <f>IF(AND(V973 &lt;= X973, V973 &gt;= Y973), 1, 0)</f>
        <v/>
      </c>
    </row>
    <row r="974">
      <c r="L974" s="15" t="n">
        <v>972</v>
      </c>
      <c r="M974" s="15">
        <f>IF(L974&lt;$D$16,$D$13,IF(L974&lt;$E$16,$E$13,$F$13))</f>
        <v/>
      </c>
      <c r="N974" s="15">
        <f>M974-V974</f>
        <v/>
      </c>
      <c r="O974" s="15">
        <f>IF(MOD(L974,$B$11)=0,OFFSET(O974,-$B$11,0)+ $E$2*N974+$E$3*OFFSET(N974,-$B$11,0)+ $E$4*OFFSET(N974,-2* $B$11,0), O973)</f>
        <v/>
      </c>
      <c r="P974" s="15">
        <f>INT((2^$J$12-1)*O974/100)/(2^$J$12-1)*100</f>
        <v/>
      </c>
      <c r="Q974" s="15" t="n">
        <v>0</v>
      </c>
      <c r="R974" s="15">
        <f>P974+Q974</f>
        <v/>
      </c>
      <c r="S974" s="15">
        <f>$I$1*S973-$I$2*S972+$I$3*R953+$I$4*R952</f>
        <v/>
      </c>
      <c r="T974" s="15">
        <f>RAND()*$G$12</f>
        <v/>
      </c>
      <c r="U974" s="15">
        <f>S974+T974</f>
        <v/>
      </c>
      <c r="V974" s="15">
        <f>INT((2^$J$12-1)*U974/100)/(2^$J$12-1)*100</f>
        <v/>
      </c>
      <c r="X974" s="15">
        <f>M974 * 1.05</f>
        <v/>
      </c>
      <c r="Y974" s="15">
        <f>M974 * 0.95</f>
        <v/>
      </c>
      <c r="Z974" s="15">
        <f>IF(AND(V974 &lt;= X974, V974 &gt;= Y974), 1, 0)</f>
        <v/>
      </c>
    </row>
    <row r="975">
      <c r="L975" s="15" t="n">
        <v>973</v>
      </c>
      <c r="M975" s="15">
        <f>IF(L975&lt;$D$16,$D$13,IF(L975&lt;$E$16,$E$13,$F$13))</f>
        <v/>
      </c>
      <c r="N975" s="15">
        <f>M975-V975</f>
        <v/>
      </c>
      <c r="O975" s="15">
        <f>IF(MOD(L975,$B$11)=0,OFFSET(O975,-$B$11,0)+ $E$2*N975+$E$3*OFFSET(N975,-$B$11,0)+ $E$4*OFFSET(N975,-2* $B$11,0), O974)</f>
        <v/>
      </c>
      <c r="P975" s="15">
        <f>INT((2^$J$12-1)*O975/100)/(2^$J$12-1)*100</f>
        <v/>
      </c>
      <c r="Q975" s="15" t="n">
        <v>0</v>
      </c>
      <c r="R975" s="15">
        <f>P975+Q975</f>
        <v/>
      </c>
      <c r="S975" s="15">
        <f>$I$1*S974-$I$2*S973+$I$3*R954+$I$4*R953</f>
        <v/>
      </c>
      <c r="T975" s="15">
        <f>RAND()*$G$12</f>
        <v/>
      </c>
      <c r="U975" s="15">
        <f>S975+T975</f>
        <v/>
      </c>
      <c r="V975" s="15">
        <f>INT((2^$J$12-1)*U975/100)/(2^$J$12-1)*100</f>
        <v/>
      </c>
      <c r="X975" s="15">
        <f>M975 * 1.05</f>
        <v/>
      </c>
      <c r="Y975" s="15">
        <f>M975 * 0.95</f>
        <v/>
      </c>
      <c r="Z975" s="15">
        <f>IF(AND(V975 &lt;= X975, V975 &gt;= Y975), 1, 0)</f>
        <v/>
      </c>
    </row>
    <row r="976">
      <c r="L976" s="15" t="n">
        <v>974</v>
      </c>
      <c r="M976" s="15">
        <f>IF(L976&lt;$D$16,$D$13,IF(L976&lt;$E$16,$E$13,$F$13))</f>
        <v/>
      </c>
      <c r="N976" s="15">
        <f>M976-V976</f>
        <v/>
      </c>
      <c r="O976" s="15">
        <f>IF(MOD(L976,$B$11)=0,OFFSET(O976,-$B$11,0)+ $E$2*N976+$E$3*OFFSET(N976,-$B$11,0)+ $E$4*OFFSET(N976,-2* $B$11,0), O975)</f>
        <v/>
      </c>
      <c r="P976" s="15">
        <f>INT((2^$J$12-1)*O976/100)/(2^$J$12-1)*100</f>
        <v/>
      </c>
      <c r="Q976" s="15" t="n">
        <v>0</v>
      </c>
      <c r="R976" s="15">
        <f>P976+Q976</f>
        <v/>
      </c>
      <c r="S976" s="15">
        <f>$I$1*S975-$I$2*S974+$I$3*R955+$I$4*R954</f>
        <v/>
      </c>
      <c r="T976" s="15">
        <f>RAND()*$G$12</f>
        <v/>
      </c>
      <c r="U976" s="15">
        <f>S976+T976</f>
        <v/>
      </c>
      <c r="V976" s="15">
        <f>INT((2^$J$12-1)*U976/100)/(2^$J$12-1)*100</f>
        <v/>
      </c>
      <c r="X976" s="15">
        <f>M976 * 1.05</f>
        <v/>
      </c>
      <c r="Y976" s="15">
        <f>M976 * 0.95</f>
        <v/>
      </c>
      <c r="Z976" s="15">
        <f>IF(AND(V976 &lt;= X976, V976 &gt;= Y976), 1, 0)</f>
        <v/>
      </c>
    </row>
    <row r="977">
      <c r="L977" s="15" t="n">
        <v>975</v>
      </c>
      <c r="M977" s="15">
        <f>IF(L977&lt;$D$16,$D$13,IF(L977&lt;$E$16,$E$13,$F$13))</f>
        <v/>
      </c>
      <c r="N977" s="15">
        <f>M977-V977</f>
        <v/>
      </c>
      <c r="O977" s="15">
        <f>IF(MOD(L977,$B$11)=0,OFFSET(O977,-$B$11,0)+ $E$2*N977+$E$3*OFFSET(N977,-$B$11,0)+ $E$4*OFFSET(N977,-2* $B$11,0), O976)</f>
        <v/>
      </c>
      <c r="P977" s="15">
        <f>INT((2^$J$12-1)*O977/100)/(2^$J$12-1)*100</f>
        <v/>
      </c>
      <c r="Q977" s="15" t="n">
        <v>0</v>
      </c>
      <c r="R977" s="15">
        <f>P977+Q977</f>
        <v/>
      </c>
      <c r="S977" s="15">
        <f>$I$1*S976-$I$2*S975+$I$3*R956+$I$4*R955</f>
        <v/>
      </c>
      <c r="T977" s="15">
        <f>RAND()*$G$12</f>
        <v/>
      </c>
      <c r="U977" s="15">
        <f>S977+T977</f>
        <v/>
      </c>
      <c r="V977" s="15">
        <f>INT((2^$J$12-1)*U977/100)/(2^$J$12-1)*100</f>
        <v/>
      </c>
      <c r="X977" s="15">
        <f>M977 * 1.05</f>
        <v/>
      </c>
      <c r="Y977" s="15">
        <f>M977 * 0.95</f>
        <v/>
      </c>
      <c r="Z977" s="15">
        <f>IF(AND(V977 &lt;= X977, V977 &gt;= Y977), 1, 0)</f>
        <v/>
      </c>
    </row>
    <row r="978">
      <c r="L978" s="15" t="n">
        <v>976</v>
      </c>
      <c r="M978" s="15">
        <f>IF(L978&lt;$D$16,$D$13,IF(L978&lt;$E$16,$E$13,$F$13))</f>
        <v/>
      </c>
      <c r="N978" s="15">
        <f>M978-V978</f>
        <v/>
      </c>
      <c r="O978" s="15">
        <f>IF(MOD(L978,$B$11)=0,OFFSET(O978,-$B$11,0)+ $E$2*N978+$E$3*OFFSET(N978,-$B$11,0)+ $E$4*OFFSET(N978,-2* $B$11,0), O977)</f>
        <v/>
      </c>
      <c r="P978" s="15">
        <f>INT((2^$J$12-1)*O978/100)/(2^$J$12-1)*100</f>
        <v/>
      </c>
      <c r="Q978" s="15" t="n">
        <v>0</v>
      </c>
      <c r="R978" s="15">
        <f>P978+Q978</f>
        <v/>
      </c>
      <c r="S978" s="15">
        <f>$I$1*S977-$I$2*S976+$I$3*R957+$I$4*R956</f>
        <v/>
      </c>
      <c r="T978" s="15">
        <f>RAND()*$G$12</f>
        <v/>
      </c>
      <c r="U978" s="15">
        <f>S978+T978</f>
        <v/>
      </c>
      <c r="V978" s="15">
        <f>INT((2^$J$12-1)*U978/100)/(2^$J$12-1)*100</f>
        <v/>
      </c>
      <c r="X978" s="15">
        <f>M978 * 1.05</f>
        <v/>
      </c>
      <c r="Y978" s="15">
        <f>M978 * 0.95</f>
        <v/>
      </c>
      <c r="Z978" s="15">
        <f>IF(AND(V978 &lt;= X978, V978 &gt;= Y978), 1, 0)</f>
        <v/>
      </c>
    </row>
    <row r="979">
      <c r="L979" s="15" t="n">
        <v>977</v>
      </c>
      <c r="M979" s="15">
        <f>IF(L979&lt;$D$16,$D$13,IF(L979&lt;$E$16,$E$13,$F$13))</f>
        <v/>
      </c>
      <c r="N979" s="15">
        <f>M979-V979</f>
        <v/>
      </c>
      <c r="O979" s="15">
        <f>IF(MOD(L979,$B$11)=0,OFFSET(O979,-$B$11,0)+ $E$2*N979+$E$3*OFFSET(N979,-$B$11,0)+ $E$4*OFFSET(N979,-2* $B$11,0), O978)</f>
        <v/>
      </c>
      <c r="P979" s="15">
        <f>INT((2^$J$12-1)*O979/100)/(2^$J$12-1)*100</f>
        <v/>
      </c>
      <c r="Q979" s="15" t="n">
        <v>0</v>
      </c>
      <c r="R979" s="15">
        <f>P979+Q979</f>
        <v/>
      </c>
      <c r="S979" s="15">
        <f>$I$1*S978-$I$2*S977+$I$3*R958+$I$4*R957</f>
        <v/>
      </c>
      <c r="T979" s="15">
        <f>RAND()*$G$12</f>
        <v/>
      </c>
      <c r="U979" s="15">
        <f>S979+T979</f>
        <v/>
      </c>
      <c r="V979" s="15">
        <f>INT((2^$J$12-1)*U979/100)/(2^$J$12-1)*100</f>
        <v/>
      </c>
      <c r="X979" s="15">
        <f>M979 * 1.05</f>
        <v/>
      </c>
      <c r="Y979" s="15">
        <f>M979 * 0.95</f>
        <v/>
      </c>
      <c r="Z979" s="15">
        <f>IF(AND(V979 &lt;= X979, V979 &gt;= Y979), 1, 0)</f>
        <v/>
      </c>
    </row>
    <row r="980">
      <c r="L980" s="15" t="n">
        <v>978</v>
      </c>
      <c r="M980" s="15">
        <f>IF(L980&lt;$D$16,$D$13,IF(L980&lt;$E$16,$E$13,$F$13))</f>
        <v/>
      </c>
      <c r="N980" s="15">
        <f>M980-V980</f>
        <v/>
      </c>
      <c r="O980" s="15">
        <f>IF(MOD(L980,$B$11)=0,OFFSET(O980,-$B$11,0)+ $E$2*N980+$E$3*OFFSET(N980,-$B$11,0)+ $E$4*OFFSET(N980,-2* $B$11,0), O979)</f>
        <v/>
      </c>
      <c r="P980" s="15">
        <f>INT((2^$J$12-1)*O980/100)/(2^$J$12-1)*100</f>
        <v/>
      </c>
      <c r="Q980" s="15" t="n">
        <v>0</v>
      </c>
      <c r="R980" s="15">
        <f>P980+Q980</f>
        <v/>
      </c>
      <c r="S980" s="15">
        <f>$I$1*S979-$I$2*S978+$I$3*R959+$I$4*R958</f>
        <v/>
      </c>
      <c r="T980" s="15">
        <f>RAND()*$G$12</f>
        <v/>
      </c>
      <c r="U980" s="15">
        <f>S980+T980</f>
        <v/>
      </c>
      <c r="V980" s="15">
        <f>INT((2^$J$12-1)*U980/100)/(2^$J$12-1)*100</f>
        <v/>
      </c>
      <c r="X980" s="15">
        <f>M980 * 1.05</f>
        <v/>
      </c>
      <c r="Y980" s="15">
        <f>M980 * 0.95</f>
        <v/>
      </c>
      <c r="Z980" s="15">
        <f>IF(AND(V980 &lt;= X980, V980 &gt;= Y980), 1, 0)</f>
        <v/>
      </c>
    </row>
    <row r="981">
      <c r="L981" s="15" t="n">
        <v>979</v>
      </c>
      <c r="M981" s="15">
        <f>IF(L981&lt;$D$16,$D$13,IF(L981&lt;$E$16,$E$13,$F$13))</f>
        <v/>
      </c>
      <c r="N981" s="15">
        <f>M981-V981</f>
        <v/>
      </c>
      <c r="O981" s="15">
        <f>IF(MOD(L981,$B$11)=0,OFFSET(O981,-$B$11,0)+ $E$2*N981+$E$3*OFFSET(N981,-$B$11,0)+ $E$4*OFFSET(N981,-2* $B$11,0), O980)</f>
        <v/>
      </c>
      <c r="P981" s="15">
        <f>INT((2^$J$12-1)*O981/100)/(2^$J$12-1)*100</f>
        <v/>
      </c>
      <c r="Q981" s="15" t="n">
        <v>0</v>
      </c>
      <c r="R981" s="15">
        <f>P981+Q981</f>
        <v/>
      </c>
      <c r="S981" s="15">
        <f>$I$1*S980-$I$2*S979+$I$3*R960+$I$4*R959</f>
        <v/>
      </c>
      <c r="T981" s="15">
        <f>RAND()*$G$12</f>
        <v/>
      </c>
      <c r="U981" s="15">
        <f>S981+T981</f>
        <v/>
      </c>
      <c r="V981" s="15">
        <f>INT((2^$J$12-1)*U981/100)/(2^$J$12-1)*100</f>
        <v/>
      </c>
      <c r="X981" s="15">
        <f>M981 * 1.05</f>
        <v/>
      </c>
      <c r="Y981" s="15">
        <f>M981 * 0.95</f>
        <v/>
      </c>
      <c r="Z981" s="15">
        <f>IF(AND(V981 &lt;= X981, V981 &gt;= Y981), 1, 0)</f>
        <v/>
      </c>
    </row>
    <row r="982">
      <c r="L982" s="15" t="n">
        <v>980</v>
      </c>
      <c r="M982" s="15">
        <f>IF(L982&lt;$D$16,$D$13,IF(L982&lt;$E$16,$E$13,$F$13))</f>
        <v/>
      </c>
      <c r="N982" s="15">
        <f>M982-V982</f>
        <v/>
      </c>
      <c r="O982" s="15">
        <f>IF(MOD(L982,$B$11)=0,OFFSET(O982,-$B$11,0)+ $E$2*N982+$E$3*OFFSET(N982,-$B$11,0)+ $E$4*OFFSET(N982,-2* $B$11,0), O981)</f>
        <v/>
      </c>
      <c r="P982" s="15">
        <f>INT((2^$J$12-1)*O982/100)/(2^$J$12-1)*100</f>
        <v/>
      </c>
      <c r="Q982" s="15" t="n">
        <v>0</v>
      </c>
      <c r="R982" s="15">
        <f>P982+Q982</f>
        <v/>
      </c>
      <c r="S982" s="15">
        <f>$I$1*S981-$I$2*S980+$I$3*R961+$I$4*R960</f>
        <v/>
      </c>
      <c r="T982" s="15">
        <f>RAND()*$G$12</f>
        <v/>
      </c>
      <c r="U982" s="15">
        <f>S982+T982</f>
        <v/>
      </c>
      <c r="V982" s="15">
        <f>INT((2^$J$12-1)*U982/100)/(2^$J$12-1)*100</f>
        <v/>
      </c>
      <c r="X982" s="15">
        <f>M982 * 1.05</f>
        <v/>
      </c>
      <c r="Y982" s="15">
        <f>M982 * 0.95</f>
        <v/>
      </c>
      <c r="Z982" s="15">
        <f>IF(AND(V982 &lt;= X982, V982 &gt;= Y982), 1, 0)</f>
        <v/>
      </c>
    </row>
    <row r="983">
      <c r="L983" s="15" t="n">
        <v>981</v>
      </c>
      <c r="M983" s="15">
        <f>IF(L983&lt;$D$16,$D$13,IF(L983&lt;$E$16,$E$13,$F$13))</f>
        <v/>
      </c>
      <c r="N983" s="15">
        <f>M983-V983</f>
        <v/>
      </c>
      <c r="O983" s="15">
        <f>IF(MOD(L983,$B$11)=0,OFFSET(O983,-$B$11,0)+ $E$2*N983+$E$3*OFFSET(N983,-$B$11,0)+ $E$4*OFFSET(N983,-2* $B$11,0), O982)</f>
        <v/>
      </c>
      <c r="P983" s="15">
        <f>INT((2^$J$12-1)*O983/100)/(2^$J$12-1)*100</f>
        <v/>
      </c>
      <c r="Q983" s="15" t="n">
        <v>0</v>
      </c>
      <c r="R983" s="15">
        <f>P983+Q983</f>
        <v/>
      </c>
      <c r="S983" s="15">
        <f>$I$1*S982-$I$2*S981+$I$3*R962+$I$4*R961</f>
        <v/>
      </c>
      <c r="T983" s="15">
        <f>RAND()*$G$12</f>
        <v/>
      </c>
      <c r="U983" s="15">
        <f>S983+T983</f>
        <v/>
      </c>
      <c r="V983" s="15">
        <f>INT((2^$J$12-1)*U983/100)/(2^$J$12-1)*100</f>
        <v/>
      </c>
      <c r="X983" s="15">
        <f>M983 * 1.05</f>
        <v/>
      </c>
      <c r="Y983" s="15">
        <f>M983 * 0.95</f>
        <v/>
      </c>
      <c r="Z983" s="15">
        <f>IF(AND(V983 &lt;= X983, V983 &gt;= Y983), 1, 0)</f>
        <v/>
      </c>
    </row>
    <row r="984">
      <c r="L984" s="15" t="n">
        <v>982</v>
      </c>
      <c r="M984" s="15">
        <f>IF(L984&lt;$D$16,$D$13,IF(L984&lt;$E$16,$E$13,$F$13))</f>
        <v/>
      </c>
      <c r="N984" s="15">
        <f>M984-V984</f>
        <v/>
      </c>
      <c r="O984" s="15">
        <f>IF(MOD(L984,$B$11)=0,OFFSET(O984,-$B$11,0)+ $E$2*N984+$E$3*OFFSET(N984,-$B$11,0)+ $E$4*OFFSET(N984,-2* $B$11,0), O983)</f>
        <v/>
      </c>
      <c r="P984" s="15">
        <f>INT((2^$J$12-1)*O984/100)/(2^$J$12-1)*100</f>
        <v/>
      </c>
      <c r="Q984" s="15" t="n">
        <v>0</v>
      </c>
      <c r="R984" s="15">
        <f>P984+Q984</f>
        <v/>
      </c>
      <c r="S984" s="15">
        <f>$I$1*S983-$I$2*S982+$I$3*R963+$I$4*R962</f>
        <v/>
      </c>
      <c r="T984" s="15">
        <f>RAND()*$G$12</f>
        <v/>
      </c>
      <c r="U984" s="15">
        <f>S984+T984</f>
        <v/>
      </c>
      <c r="V984" s="15">
        <f>INT((2^$J$12-1)*U984/100)/(2^$J$12-1)*100</f>
        <v/>
      </c>
      <c r="X984" s="15">
        <f>M984 * 1.05</f>
        <v/>
      </c>
      <c r="Y984" s="15">
        <f>M984 * 0.95</f>
        <v/>
      </c>
      <c r="Z984" s="15">
        <f>IF(AND(V984 &lt;= X984, V984 &gt;= Y984), 1, 0)</f>
        <v/>
      </c>
    </row>
    <row r="985">
      <c r="L985" s="15" t="n">
        <v>983</v>
      </c>
      <c r="M985" s="15">
        <f>IF(L985&lt;$D$16,$D$13,IF(L985&lt;$E$16,$E$13,$F$13))</f>
        <v/>
      </c>
      <c r="N985" s="15">
        <f>M985-V985</f>
        <v/>
      </c>
      <c r="O985" s="15">
        <f>IF(MOD(L985,$B$11)=0,OFFSET(O985,-$B$11,0)+ $E$2*N985+$E$3*OFFSET(N985,-$B$11,0)+ $E$4*OFFSET(N985,-2* $B$11,0), O984)</f>
        <v/>
      </c>
      <c r="P985" s="15">
        <f>INT((2^$J$12-1)*O985/100)/(2^$J$12-1)*100</f>
        <v/>
      </c>
      <c r="Q985" s="15" t="n">
        <v>0</v>
      </c>
      <c r="R985" s="15">
        <f>P985+Q985</f>
        <v/>
      </c>
      <c r="S985" s="15">
        <f>$I$1*S984-$I$2*S983+$I$3*R964+$I$4*R963</f>
        <v/>
      </c>
      <c r="T985" s="15">
        <f>RAND()*$G$12</f>
        <v/>
      </c>
      <c r="U985" s="15">
        <f>S985+T985</f>
        <v/>
      </c>
      <c r="V985" s="15">
        <f>INT((2^$J$12-1)*U985/100)/(2^$J$12-1)*100</f>
        <v/>
      </c>
      <c r="X985" s="15">
        <f>M985 * 1.05</f>
        <v/>
      </c>
      <c r="Y985" s="15">
        <f>M985 * 0.95</f>
        <v/>
      </c>
      <c r="Z985" s="15">
        <f>IF(AND(V985 &lt;= X985, V985 &gt;= Y985), 1, 0)</f>
        <v/>
      </c>
    </row>
    <row r="986">
      <c r="L986" s="15" t="n">
        <v>984</v>
      </c>
      <c r="M986" s="15">
        <f>IF(L986&lt;$D$16,$D$13,IF(L986&lt;$E$16,$E$13,$F$13))</f>
        <v/>
      </c>
      <c r="N986" s="15">
        <f>M986-V986</f>
        <v/>
      </c>
      <c r="O986" s="15">
        <f>IF(MOD(L986,$B$11)=0,OFFSET(O986,-$B$11,0)+ $E$2*N986+$E$3*OFFSET(N986,-$B$11,0)+ $E$4*OFFSET(N986,-2* $B$11,0), O985)</f>
        <v/>
      </c>
      <c r="P986" s="15">
        <f>INT((2^$J$12-1)*O986/100)/(2^$J$12-1)*100</f>
        <v/>
      </c>
      <c r="Q986" s="15" t="n">
        <v>0</v>
      </c>
      <c r="R986" s="15">
        <f>P986+Q986</f>
        <v/>
      </c>
      <c r="S986" s="15">
        <f>$I$1*S985-$I$2*S984+$I$3*R965+$I$4*R964</f>
        <v/>
      </c>
      <c r="T986" s="15">
        <f>RAND()*$G$12</f>
        <v/>
      </c>
      <c r="U986" s="15">
        <f>S986+T986</f>
        <v/>
      </c>
      <c r="V986" s="15">
        <f>INT((2^$J$12-1)*U986/100)/(2^$J$12-1)*100</f>
        <v/>
      </c>
      <c r="X986" s="15">
        <f>M986 * 1.05</f>
        <v/>
      </c>
      <c r="Y986" s="15">
        <f>M986 * 0.95</f>
        <v/>
      </c>
      <c r="Z986" s="15">
        <f>IF(AND(V986 &lt;= X986, V986 &gt;= Y986), 1, 0)</f>
        <v/>
      </c>
    </row>
    <row r="987">
      <c r="L987" s="15" t="n">
        <v>985</v>
      </c>
      <c r="M987" s="15">
        <f>IF(L987&lt;$D$16,$D$13,IF(L987&lt;$E$16,$E$13,$F$13))</f>
        <v/>
      </c>
      <c r="N987" s="15">
        <f>M987-V987</f>
        <v/>
      </c>
      <c r="O987" s="15">
        <f>IF(MOD(L987,$B$11)=0,OFFSET(O987,-$B$11,0)+ $E$2*N987+$E$3*OFFSET(N987,-$B$11,0)+ $E$4*OFFSET(N987,-2* $B$11,0), O986)</f>
        <v/>
      </c>
      <c r="P987" s="15">
        <f>INT((2^$J$12-1)*O987/100)/(2^$J$12-1)*100</f>
        <v/>
      </c>
      <c r="Q987" s="15" t="n">
        <v>0</v>
      </c>
      <c r="R987" s="15">
        <f>P987+Q987</f>
        <v/>
      </c>
      <c r="S987" s="15">
        <f>$I$1*S986-$I$2*S985+$I$3*R966+$I$4*R965</f>
        <v/>
      </c>
      <c r="T987" s="15">
        <f>RAND()*$G$12</f>
        <v/>
      </c>
      <c r="U987" s="15">
        <f>S987+T987</f>
        <v/>
      </c>
      <c r="V987" s="15">
        <f>INT((2^$J$12-1)*U987/100)/(2^$J$12-1)*100</f>
        <v/>
      </c>
      <c r="X987" s="15">
        <f>M987 * 1.05</f>
        <v/>
      </c>
      <c r="Y987" s="15">
        <f>M987 * 0.95</f>
        <v/>
      </c>
      <c r="Z987" s="15">
        <f>IF(AND(V987 &lt;= X987, V987 &gt;= Y987), 1, 0)</f>
        <v/>
      </c>
    </row>
    <row r="988">
      <c r="L988" s="15" t="n">
        <v>986</v>
      </c>
      <c r="M988" s="15">
        <f>IF(L988&lt;$D$16,$D$13,IF(L988&lt;$E$16,$E$13,$F$13))</f>
        <v/>
      </c>
      <c r="N988" s="15">
        <f>M988-V988</f>
        <v/>
      </c>
      <c r="O988" s="15">
        <f>IF(MOD(L988,$B$11)=0,OFFSET(O988,-$B$11,0)+ $E$2*N988+$E$3*OFFSET(N988,-$B$11,0)+ $E$4*OFFSET(N988,-2* $B$11,0), O987)</f>
        <v/>
      </c>
      <c r="P988" s="15">
        <f>INT((2^$J$12-1)*O988/100)/(2^$J$12-1)*100</f>
        <v/>
      </c>
      <c r="Q988" s="15" t="n">
        <v>0</v>
      </c>
      <c r="R988" s="15">
        <f>P988+Q988</f>
        <v/>
      </c>
      <c r="S988" s="15">
        <f>$I$1*S987-$I$2*S986+$I$3*R967+$I$4*R966</f>
        <v/>
      </c>
      <c r="T988" s="15">
        <f>RAND()*$G$12</f>
        <v/>
      </c>
      <c r="U988" s="15">
        <f>S988+T988</f>
        <v/>
      </c>
      <c r="V988" s="15">
        <f>INT((2^$J$12-1)*U988/100)/(2^$J$12-1)*100</f>
        <v/>
      </c>
      <c r="X988" s="15">
        <f>M988 * 1.05</f>
        <v/>
      </c>
      <c r="Y988" s="15">
        <f>M988 * 0.95</f>
        <v/>
      </c>
      <c r="Z988" s="15">
        <f>IF(AND(V988 &lt;= X988, V988 &gt;= Y988), 1, 0)</f>
        <v/>
      </c>
    </row>
    <row r="989">
      <c r="L989" s="15" t="n">
        <v>987</v>
      </c>
      <c r="M989" s="15">
        <f>IF(L989&lt;$D$16,$D$13,IF(L989&lt;$E$16,$E$13,$F$13))</f>
        <v/>
      </c>
      <c r="N989" s="15">
        <f>M989-V989</f>
        <v/>
      </c>
      <c r="O989" s="15">
        <f>IF(MOD(L989,$B$11)=0,OFFSET(O989,-$B$11,0)+ $E$2*N989+$E$3*OFFSET(N989,-$B$11,0)+ $E$4*OFFSET(N989,-2* $B$11,0), O988)</f>
        <v/>
      </c>
      <c r="P989" s="15">
        <f>INT((2^$J$12-1)*O989/100)/(2^$J$12-1)*100</f>
        <v/>
      </c>
      <c r="Q989" s="15" t="n">
        <v>0</v>
      </c>
      <c r="R989" s="15">
        <f>P989+Q989</f>
        <v/>
      </c>
      <c r="S989" s="15">
        <f>$I$1*S988-$I$2*S987+$I$3*R968+$I$4*R967</f>
        <v/>
      </c>
      <c r="T989" s="15">
        <f>RAND()*$G$12</f>
        <v/>
      </c>
      <c r="U989" s="15">
        <f>S989+T989</f>
        <v/>
      </c>
      <c r="V989" s="15">
        <f>INT((2^$J$12-1)*U989/100)/(2^$J$12-1)*100</f>
        <v/>
      </c>
      <c r="X989" s="15">
        <f>M989 * 1.05</f>
        <v/>
      </c>
      <c r="Y989" s="15">
        <f>M989 * 0.95</f>
        <v/>
      </c>
      <c r="Z989" s="15">
        <f>IF(AND(V989 &lt;= X989, V989 &gt;= Y989), 1, 0)</f>
        <v/>
      </c>
    </row>
    <row r="990">
      <c r="L990" s="15" t="n">
        <v>988</v>
      </c>
      <c r="M990" s="15">
        <f>IF(L990&lt;$D$16,$D$13,IF(L990&lt;$E$16,$E$13,$F$13))</f>
        <v/>
      </c>
      <c r="N990" s="15">
        <f>M990-V990</f>
        <v/>
      </c>
      <c r="O990" s="15">
        <f>IF(MOD(L990,$B$11)=0,OFFSET(O990,-$B$11,0)+ $E$2*N990+$E$3*OFFSET(N990,-$B$11,0)+ $E$4*OFFSET(N990,-2* $B$11,0), O989)</f>
        <v/>
      </c>
      <c r="P990" s="15">
        <f>INT((2^$J$12-1)*O990/100)/(2^$J$12-1)*100</f>
        <v/>
      </c>
      <c r="Q990" s="15" t="n">
        <v>0</v>
      </c>
      <c r="R990" s="15">
        <f>P990+Q990</f>
        <v/>
      </c>
      <c r="S990" s="15">
        <f>$I$1*S989-$I$2*S988+$I$3*R969+$I$4*R968</f>
        <v/>
      </c>
      <c r="T990" s="15">
        <f>RAND()*$G$12</f>
        <v/>
      </c>
      <c r="U990" s="15">
        <f>S990+T990</f>
        <v/>
      </c>
      <c r="V990" s="15">
        <f>INT((2^$J$12-1)*U990/100)/(2^$J$12-1)*100</f>
        <v/>
      </c>
      <c r="X990" s="15">
        <f>M990 * 1.05</f>
        <v/>
      </c>
      <c r="Y990" s="15">
        <f>M990 * 0.95</f>
        <v/>
      </c>
      <c r="Z990" s="15">
        <f>IF(AND(V990 &lt;= X990, V990 &gt;= Y990), 1, 0)</f>
        <v/>
      </c>
    </row>
    <row r="991">
      <c r="L991" s="15" t="n">
        <v>989</v>
      </c>
      <c r="M991" s="15">
        <f>IF(L991&lt;$D$16,$D$13,IF(L991&lt;$E$16,$E$13,$F$13))</f>
        <v/>
      </c>
      <c r="N991" s="15">
        <f>M991-V991</f>
        <v/>
      </c>
      <c r="O991" s="15">
        <f>IF(MOD(L991,$B$11)=0,OFFSET(O991,-$B$11,0)+ $E$2*N991+$E$3*OFFSET(N991,-$B$11,0)+ $E$4*OFFSET(N991,-2* $B$11,0), O990)</f>
        <v/>
      </c>
      <c r="P991" s="15">
        <f>INT((2^$J$12-1)*O991/100)/(2^$J$12-1)*100</f>
        <v/>
      </c>
      <c r="Q991" s="15" t="n">
        <v>0</v>
      </c>
      <c r="R991" s="15">
        <f>P991+Q991</f>
        <v/>
      </c>
      <c r="S991" s="15">
        <f>$I$1*S990-$I$2*S989+$I$3*R970+$I$4*R969</f>
        <v/>
      </c>
      <c r="T991" s="15">
        <f>RAND()*$G$12</f>
        <v/>
      </c>
      <c r="U991" s="15">
        <f>S991+T991</f>
        <v/>
      </c>
      <c r="V991" s="15">
        <f>INT((2^$J$12-1)*U991/100)/(2^$J$12-1)*100</f>
        <v/>
      </c>
      <c r="X991" s="15">
        <f>M991 * 1.05</f>
        <v/>
      </c>
      <c r="Y991" s="15">
        <f>M991 * 0.95</f>
        <v/>
      </c>
      <c r="Z991" s="15">
        <f>IF(AND(V991 &lt;= X991, V991 &gt;= Y991), 1, 0)</f>
        <v/>
      </c>
    </row>
    <row r="992">
      <c r="L992" s="15" t="n">
        <v>990</v>
      </c>
      <c r="M992" s="15">
        <f>IF(L992&lt;$D$16,$D$13,IF(L992&lt;$E$16,$E$13,$F$13))</f>
        <v/>
      </c>
      <c r="N992" s="15">
        <f>M992-V992</f>
        <v/>
      </c>
      <c r="O992" s="15">
        <f>IF(MOD(L992,$B$11)=0,OFFSET(O992,-$B$11,0)+ $E$2*N992+$E$3*OFFSET(N992,-$B$11,0)+ $E$4*OFFSET(N992,-2* $B$11,0), O991)</f>
        <v/>
      </c>
      <c r="P992" s="15">
        <f>INT((2^$J$12-1)*O992/100)/(2^$J$12-1)*100</f>
        <v/>
      </c>
      <c r="Q992" s="15" t="n">
        <v>0</v>
      </c>
      <c r="R992" s="15">
        <f>P992+Q992</f>
        <v/>
      </c>
      <c r="S992" s="15">
        <f>$I$1*S991-$I$2*S990+$I$3*R971+$I$4*R970</f>
        <v/>
      </c>
      <c r="T992" s="15">
        <f>RAND()*$G$12</f>
        <v/>
      </c>
      <c r="U992" s="15">
        <f>S992+T992</f>
        <v/>
      </c>
      <c r="V992" s="15">
        <f>INT((2^$J$12-1)*U992/100)/(2^$J$12-1)*100</f>
        <v/>
      </c>
      <c r="X992" s="15">
        <f>M992 * 1.05</f>
        <v/>
      </c>
      <c r="Y992" s="15">
        <f>M992 * 0.95</f>
        <v/>
      </c>
      <c r="Z992" s="15">
        <f>IF(AND(V992 &lt;= X992, V992 &gt;= Y992), 1, 0)</f>
        <v/>
      </c>
    </row>
    <row r="993">
      <c r="L993" s="15" t="n">
        <v>991</v>
      </c>
      <c r="M993" s="15">
        <f>IF(L993&lt;$D$16,$D$13,IF(L993&lt;$E$16,$E$13,$F$13))</f>
        <v/>
      </c>
      <c r="N993" s="15">
        <f>M993-V993</f>
        <v/>
      </c>
      <c r="O993" s="15">
        <f>IF(MOD(L993,$B$11)=0,OFFSET(O993,-$B$11,0)+ $E$2*N993+$E$3*OFFSET(N993,-$B$11,0)+ $E$4*OFFSET(N993,-2* $B$11,0), O992)</f>
        <v/>
      </c>
      <c r="P993" s="15">
        <f>INT((2^$J$12-1)*O993/100)/(2^$J$12-1)*100</f>
        <v/>
      </c>
      <c r="Q993" s="15" t="n">
        <v>0</v>
      </c>
      <c r="R993" s="15">
        <f>P993+Q993</f>
        <v/>
      </c>
      <c r="S993" s="15">
        <f>$I$1*S992-$I$2*S991+$I$3*R972+$I$4*R971</f>
        <v/>
      </c>
      <c r="T993" s="15">
        <f>RAND()*$G$12</f>
        <v/>
      </c>
      <c r="U993" s="15">
        <f>S993+T993</f>
        <v/>
      </c>
      <c r="V993" s="15">
        <f>INT((2^$J$12-1)*U993/100)/(2^$J$12-1)*100</f>
        <v/>
      </c>
      <c r="X993" s="15">
        <f>M993 * 1.05</f>
        <v/>
      </c>
      <c r="Y993" s="15">
        <f>M993 * 0.95</f>
        <v/>
      </c>
      <c r="Z993" s="15">
        <f>IF(AND(V993 &lt;= X993, V993 &gt;= Y993), 1, 0)</f>
        <v/>
      </c>
    </row>
    <row r="994">
      <c r="L994" s="15" t="n">
        <v>992</v>
      </c>
      <c r="M994" s="15">
        <f>IF(L994&lt;$D$16,$D$13,IF(L994&lt;$E$16,$E$13,$F$13))</f>
        <v/>
      </c>
      <c r="N994" s="15">
        <f>M994-V994</f>
        <v/>
      </c>
      <c r="O994" s="15">
        <f>IF(MOD(L994,$B$11)=0,OFFSET(O994,-$B$11,0)+ $E$2*N994+$E$3*OFFSET(N994,-$B$11,0)+ $E$4*OFFSET(N994,-2* $B$11,0), O993)</f>
        <v/>
      </c>
      <c r="P994" s="15">
        <f>INT((2^$J$12-1)*O994/100)/(2^$J$12-1)*100</f>
        <v/>
      </c>
      <c r="Q994" s="15" t="n">
        <v>0</v>
      </c>
      <c r="R994" s="15">
        <f>P994+Q994</f>
        <v/>
      </c>
      <c r="S994" s="15">
        <f>$I$1*S993-$I$2*S992+$I$3*R973+$I$4*R972</f>
        <v/>
      </c>
      <c r="T994" s="15">
        <f>RAND()*$G$12</f>
        <v/>
      </c>
      <c r="U994" s="15">
        <f>S994+T994</f>
        <v/>
      </c>
      <c r="V994" s="15">
        <f>INT((2^$J$12-1)*U994/100)/(2^$J$12-1)*100</f>
        <v/>
      </c>
      <c r="X994" s="15">
        <f>M994 * 1.05</f>
        <v/>
      </c>
      <c r="Y994" s="15">
        <f>M994 * 0.95</f>
        <v/>
      </c>
      <c r="Z994" s="15">
        <f>IF(AND(V994 &lt;= X994, V994 &gt;= Y994), 1, 0)</f>
        <v/>
      </c>
    </row>
    <row r="995">
      <c r="L995" s="15" t="n">
        <v>993</v>
      </c>
      <c r="M995" s="15">
        <f>IF(L995&lt;$D$16,$D$13,IF(L995&lt;$E$16,$E$13,$F$13))</f>
        <v/>
      </c>
      <c r="N995" s="15">
        <f>M995-V995</f>
        <v/>
      </c>
      <c r="O995" s="15">
        <f>IF(MOD(L995,$B$11)=0,OFFSET(O995,-$B$11,0)+ $E$2*N995+$E$3*OFFSET(N995,-$B$11,0)+ $E$4*OFFSET(N995,-2* $B$11,0), O994)</f>
        <v/>
      </c>
      <c r="P995" s="15">
        <f>INT((2^$J$12-1)*O995/100)/(2^$J$12-1)*100</f>
        <v/>
      </c>
      <c r="Q995" s="15" t="n">
        <v>0</v>
      </c>
      <c r="R995" s="15">
        <f>P995+Q995</f>
        <v/>
      </c>
      <c r="S995" s="15">
        <f>$I$1*S994-$I$2*S993+$I$3*R974+$I$4*R973</f>
        <v/>
      </c>
      <c r="T995" s="15">
        <f>RAND()*$G$12</f>
        <v/>
      </c>
      <c r="U995" s="15">
        <f>S995+T995</f>
        <v/>
      </c>
      <c r="V995" s="15">
        <f>INT((2^$J$12-1)*U995/100)/(2^$J$12-1)*100</f>
        <v/>
      </c>
      <c r="X995" s="15">
        <f>M995 * 1.05</f>
        <v/>
      </c>
      <c r="Y995" s="15">
        <f>M995 * 0.95</f>
        <v/>
      </c>
      <c r="Z995" s="15">
        <f>IF(AND(V995 &lt;= X995, V995 &gt;= Y995), 1, 0)</f>
        <v/>
      </c>
    </row>
    <row r="996">
      <c r="L996" s="15" t="n">
        <v>994</v>
      </c>
      <c r="M996" s="15">
        <f>IF(L996&lt;$D$16,$D$13,IF(L996&lt;$E$16,$E$13,$F$13))</f>
        <v/>
      </c>
      <c r="N996" s="15">
        <f>M996-V996</f>
        <v/>
      </c>
      <c r="O996" s="15">
        <f>IF(MOD(L996,$B$11)=0,OFFSET(O996,-$B$11,0)+ $E$2*N996+$E$3*OFFSET(N996,-$B$11,0)+ $E$4*OFFSET(N996,-2* $B$11,0), O995)</f>
        <v/>
      </c>
      <c r="P996" s="15">
        <f>INT((2^$J$12-1)*O996/100)/(2^$J$12-1)*100</f>
        <v/>
      </c>
      <c r="Q996" s="15" t="n">
        <v>0</v>
      </c>
      <c r="R996" s="15">
        <f>P996+Q996</f>
        <v/>
      </c>
      <c r="S996" s="15">
        <f>$I$1*S995-$I$2*S994+$I$3*R975+$I$4*R974</f>
        <v/>
      </c>
      <c r="T996" s="15">
        <f>RAND()*$G$12</f>
        <v/>
      </c>
      <c r="U996" s="15">
        <f>S996+T996</f>
        <v/>
      </c>
      <c r="V996" s="15">
        <f>INT((2^$J$12-1)*U996/100)/(2^$J$12-1)*100</f>
        <v/>
      </c>
      <c r="X996" s="15">
        <f>M996 * 1.05</f>
        <v/>
      </c>
      <c r="Y996" s="15">
        <f>M996 * 0.95</f>
        <v/>
      </c>
      <c r="Z996" s="15">
        <f>IF(AND(V996 &lt;= X996, V996 &gt;= Y996), 1, 0)</f>
        <v/>
      </c>
    </row>
    <row r="997">
      <c r="L997" s="15" t="n">
        <v>995</v>
      </c>
      <c r="M997" s="15">
        <f>IF(L997&lt;$D$16,$D$13,IF(L997&lt;$E$16,$E$13,$F$13))</f>
        <v/>
      </c>
      <c r="N997" s="15">
        <f>M997-V997</f>
        <v/>
      </c>
      <c r="O997" s="15">
        <f>IF(MOD(L997,$B$11)=0,OFFSET(O997,-$B$11,0)+ $E$2*N997+$E$3*OFFSET(N997,-$B$11,0)+ $E$4*OFFSET(N997,-2* $B$11,0), O996)</f>
        <v/>
      </c>
      <c r="P997" s="15">
        <f>INT((2^$J$12-1)*O997/100)/(2^$J$12-1)*100</f>
        <v/>
      </c>
      <c r="Q997" s="15" t="n">
        <v>0</v>
      </c>
      <c r="R997" s="15">
        <f>P997+Q997</f>
        <v/>
      </c>
      <c r="S997" s="15">
        <f>$I$1*S996-$I$2*S995+$I$3*R976+$I$4*R975</f>
        <v/>
      </c>
      <c r="T997" s="15">
        <f>RAND()*$G$12</f>
        <v/>
      </c>
      <c r="U997" s="15">
        <f>S997+T997</f>
        <v/>
      </c>
      <c r="V997" s="15">
        <f>INT((2^$J$12-1)*U997/100)/(2^$J$12-1)*100</f>
        <v/>
      </c>
      <c r="X997" s="15">
        <f>M997 * 1.05</f>
        <v/>
      </c>
      <c r="Y997" s="15">
        <f>M997 * 0.95</f>
        <v/>
      </c>
      <c r="Z997" s="15">
        <f>IF(AND(V997 &lt;= X997, V997 &gt;= Y997), 1, 0)</f>
        <v/>
      </c>
    </row>
    <row r="998">
      <c r="L998" s="15" t="n">
        <v>996</v>
      </c>
      <c r="M998" s="15">
        <f>IF(L998&lt;$D$16,$D$13,IF(L998&lt;$E$16,$E$13,$F$13))</f>
        <v/>
      </c>
      <c r="N998" s="15">
        <f>M998-V998</f>
        <v/>
      </c>
      <c r="O998" s="15">
        <f>IF(MOD(L998,$B$11)=0,OFFSET(O998,-$B$11,0)+ $E$2*N998+$E$3*OFFSET(N998,-$B$11,0)+ $E$4*OFFSET(N998,-2* $B$11,0), O997)</f>
        <v/>
      </c>
      <c r="P998" s="15">
        <f>INT((2^$J$12-1)*O998/100)/(2^$J$12-1)*100</f>
        <v/>
      </c>
      <c r="Q998" s="15" t="n">
        <v>0</v>
      </c>
      <c r="R998" s="15">
        <f>P998+Q998</f>
        <v/>
      </c>
      <c r="S998" s="15">
        <f>$I$1*S997-$I$2*S996+$I$3*R977+$I$4*R976</f>
        <v/>
      </c>
      <c r="T998" s="15">
        <f>RAND()*$G$12</f>
        <v/>
      </c>
      <c r="U998" s="15">
        <f>S998+T998</f>
        <v/>
      </c>
      <c r="V998" s="15">
        <f>INT((2^$J$12-1)*U998/100)/(2^$J$12-1)*100</f>
        <v/>
      </c>
      <c r="X998" s="15">
        <f>M998 * 1.05</f>
        <v/>
      </c>
      <c r="Y998" s="15">
        <f>M998 * 0.95</f>
        <v/>
      </c>
      <c r="Z998" s="15">
        <f>IF(AND(V998 &lt;= X998, V998 &gt;= Y998), 1, 0)</f>
        <v/>
      </c>
    </row>
    <row r="999">
      <c r="L999" s="15" t="n">
        <v>997</v>
      </c>
      <c r="M999" s="15">
        <f>IF(L999&lt;$D$16,$D$13,IF(L999&lt;$E$16,$E$13,$F$13))</f>
        <v/>
      </c>
      <c r="N999" s="15">
        <f>M999-V999</f>
        <v/>
      </c>
      <c r="O999" s="15">
        <f>IF(MOD(L999,$B$11)=0,OFFSET(O999,-$B$11,0)+ $E$2*N999+$E$3*OFFSET(N999,-$B$11,0)+ $E$4*OFFSET(N999,-2* $B$11,0), O998)</f>
        <v/>
      </c>
      <c r="P999" s="15">
        <f>INT((2^$J$12-1)*O999/100)/(2^$J$12-1)*100</f>
        <v/>
      </c>
      <c r="Q999" s="15" t="n">
        <v>0</v>
      </c>
      <c r="R999" s="15">
        <f>P999+Q999</f>
        <v/>
      </c>
      <c r="S999" s="15">
        <f>$I$1*S998-$I$2*S997+$I$3*R978+$I$4*R977</f>
        <v/>
      </c>
      <c r="T999" s="15">
        <f>RAND()*$G$12</f>
        <v/>
      </c>
      <c r="U999" s="15">
        <f>S999+T999</f>
        <v/>
      </c>
      <c r="V999" s="15">
        <f>INT((2^$J$12-1)*U999/100)/(2^$J$12-1)*100</f>
        <v/>
      </c>
      <c r="X999" s="15">
        <f>M999 * 1.05</f>
        <v/>
      </c>
      <c r="Y999" s="15">
        <f>M999 * 0.95</f>
        <v/>
      </c>
      <c r="Z999" s="15">
        <f>IF(AND(V999 &lt;= X999, V999 &gt;= Y999), 1, 0)</f>
        <v/>
      </c>
    </row>
    <row r="1000">
      <c r="L1000" s="15" t="n">
        <v>998</v>
      </c>
      <c r="M1000" s="15">
        <f>IF(L1000&lt;$D$16,$D$13,IF(L1000&lt;$E$16,$E$13,$F$13))</f>
        <v/>
      </c>
      <c r="N1000" s="15">
        <f>M1000-V1000</f>
        <v/>
      </c>
      <c r="O1000" s="15">
        <f>IF(MOD(L1000,$B$11)=0,OFFSET(O1000,-$B$11,0)+ $E$2*N1000+$E$3*OFFSET(N1000,-$B$11,0)+ $E$4*OFFSET(N1000,-2* $B$11,0), O999)</f>
        <v/>
      </c>
      <c r="P1000" s="15">
        <f>INT((2^$J$12-1)*O1000/100)/(2^$J$12-1)*100</f>
        <v/>
      </c>
      <c r="Q1000" s="15" t="n">
        <v>0</v>
      </c>
      <c r="R1000" s="15">
        <f>P1000+Q1000</f>
        <v/>
      </c>
      <c r="S1000" s="15">
        <f>$I$1*S999-$I$2*S998+$I$3*R979+$I$4*R978</f>
        <v/>
      </c>
      <c r="T1000" s="15">
        <f>RAND()*$G$12</f>
        <v/>
      </c>
      <c r="U1000" s="15">
        <f>S1000+T1000</f>
        <v/>
      </c>
      <c r="V1000" s="15">
        <f>INT((2^$J$12-1)*U1000/100)/(2^$J$12-1)*100</f>
        <v/>
      </c>
      <c r="X1000" s="15">
        <f>M1000 * 1.05</f>
        <v/>
      </c>
      <c r="Y1000" s="15">
        <f>M1000 * 0.95</f>
        <v/>
      </c>
      <c r="Z1000" s="15">
        <f>IF(AND(V1000 &lt;= X1000, V1000 &gt;= Y1000), 1, 0)</f>
        <v/>
      </c>
    </row>
    <row r="1001">
      <c r="L1001" s="15" t="n">
        <v>999</v>
      </c>
      <c r="M1001" s="15">
        <f>IF(L1001&lt;$D$16,$D$13,IF(L1001&lt;$E$16,$E$13,$F$13))</f>
        <v/>
      </c>
      <c r="N1001" s="15">
        <f>M1001-V1001</f>
        <v/>
      </c>
      <c r="O1001" s="15">
        <f>IF(MOD(L1001,$B$11)=0,OFFSET(O1001,-$B$11,0)+ $E$2*N1001+$E$3*OFFSET(N1001,-$B$11,0)+ $E$4*OFFSET(N1001,-2* $B$11,0), O1000)</f>
        <v/>
      </c>
      <c r="P1001" s="15">
        <f>INT((2^$J$12-1)*O1001/100)/(2^$J$12-1)*100</f>
        <v/>
      </c>
      <c r="Q1001" s="15" t="n">
        <v>0</v>
      </c>
      <c r="R1001" s="15">
        <f>P1001+Q1001</f>
        <v/>
      </c>
      <c r="S1001" s="15">
        <f>$I$1*S1000-$I$2*S999+$I$3*R980+$I$4*R979</f>
        <v/>
      </c>
      <c r="T1001" s="15">
        <f>RAND()*$G$12</f>
        <v/>
      </c>
      <c r="U1001" s="15">
        <f>S1001+T1001</f>
        <v/>
      </c>
      <c r="V1001" s="15">
        <f>INT((2^$J$12-1)*U1001/100)/(2^$J$12-1)*100</f>
        <v/>
      </c>
      <c r="X1001" s="15">
        <f>M1001 * 1.05</f>
        <v/>
      </c>
      <c r="Y1001" s="15">
        <f>M1001 * 0.95</f>
        <v/>
      </c>
      <c r="Z1001" s="15">
        <f>IF(AND(V1001 &lt;= X1001, V1001 &gt;= Y1001), 1, 0)</f>
        <v/>
      </c>
    </row>
    <row r="1002">
      <c r="L1002" s="15" t="n">
        <v>1000</v>
      </c>
      <c r="M1002" s="15">
        <f>IF(L1002&lt;$D$16,$D$13,IF(L1002&lt;$E$16,$E$13,$F$13))</f>
        <v/>
      </c>
      <c r="N1002" s="15">
        <f>M1002-V1002</f>
        <v/>
      </c>
      <c r="O1002" s="15">
        <f>IF(MOD(L1002,$B$11)=0,OFFSET(O1002,-$B$11,0)+ $E$2*N1002+$E$3*OFFSET(N1002,-$B$11,0)+ $E$4*OFFSET(N1002,-2* $B$11,0), O1001)</f>
        <v/>
      </c>
      <c r="P1002" s="15">
        <f>INT((2^$J$12-1)*O1002/100)/(2^$J$12-1)*100</f>
        <v/>
      </c>
      <c r="Q1002" s="15" t="n">
        <v>0</v>
      </c>
      <c r="R1002" s="15">
        <f>P1002+Q1002</f>
        <v/>
      </c>
      <c r="S1002" s="15">
        <f>$I$1*S1001-$I$2*S1000+$I$3*R981+$I$4*R980</f>
        <v/>
      </c>
      <c r="T1002" s="15">
        <f>RAND()*$G$12</f>
        <v/>
      </c>
      <c r="U1002" s="15">
        <f>S1002+T1002</f>
        <v/>
      </c>
      <c r="V1002" s="15">
        <f>INT((2^$J$12-1)*U1002/100)/(2^$J$12-1)*100</f>
        <v/>
      </c>
      <c r="X1002" s="15">
        <f>M1002 * 1.05</f>
        <v/>
      </c>
      <c r="Y1002" s="15">
        <f>M1002 * 0.95</f>
        <v/>
      </c>
      <c r="Z1002" s="15">
        <f>IF(AND(V1002 &lt;= X1002, V1002 &gt;= Y1002), 1, 0)</f>
        <v/>
      </c>
    </row>
  </sheetData>
  <mergeCells count="2">
    <mergeCell ref="A1:B1"/>
    <mergeCell ref="A7:B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02"/>
  <sheetViews>
    <sheetView zoomScale="70" zoomScaleNormal="70" workbookViewId="0">
      <selection activeCell="I17" sqref="I17"/>
    </sheetView>
  </sheetViews>
  <sheetFormatPr baseColWidth="8" defaultColWidth="9.109375" defaultRowHeight="14.4"/>
  <cols>
    <col width="12.33203125" customWidth="1" style="15" min="1" max="1"/>
    <col width="14.33203125" customWidth="1" style="15" min="2" max="2"/>
    <col width="9.109375" customWidth="1" style="15" min="3" max="4"/>
    <col width="9.44140625" bestFit="1" customWidth="1" style="15" min="5" max="5"/>
    <col width="9.109375" customWidth="1" style="15" min="6" max="7"/>
    <col width="10.44140625" bestFit="1" customWidth="1" style="15" min="8" max="8"/>
    <col width="9.109375" customWidth="1" style="15" min="9" max="22"/>
    <col width="9.109375" customWidth="1" style="29" min="23" max="23"/>
    <col width="13.44140625" customWidth="1" style="15" min="24" max="24"/>
    <col width="12.88671875" customWidth="1" style="15" min="25" max="25"/>
    <col width="10.33203125" bestFit="1" customWidth="1" style="15" min="26" max="26"/>
    <col width="21.77734375" customWidth="1" style="15" min="27" max="27"/>
    <col width="19.21875" bestFit="1" customWidth="1" style="15" min="28" max="28"/>
    <col width="9.109375" customWidth="1" style="15" min="29" max="29"/>
    <col width="10.33203125" bestFit="1" customWidth="1" style="15" min="30" max="30"/>
    <col width="9.109375" customWidth="1" style="15" min="31" max="33"/>
    <col width="10.44140625" bestFit="1" customWidth="1" style="15" min="34" max="34"/>
    <col width="10.33203125" bestFit="1" customWidth="1" style="15" min="35" max="35"/>
    <col width="9.109375" customWidth="1" style="15" min="36" max="16384"/>
  </cols>
  <sheetData>
    <row r="1" ht="15" customHeight="1" thickBot="1">
      <c r="A1" s="49" t="inlineStr">
        <is>
          <t>Параметры обьекта</t>
        </is>
      </c>
      <c r="B1" s="50" t="n"/>
      <c r="D1" s="28" t="inlineStr">
        <is>
          <t>Т0</t>
        </is>
      </c>
      <c r="E1" s="16" t="n">
        <v>1</v>
      </c>
      <c r="H1" s="17" t="inlineStr">
        <is>
          <t>A1</t>
        </is>
      </c>
      <c r="I1" s="18">
        <f>EXP(-B$6/$B$4)+EXP(-B$6/$B$5)</f>
        <v/>
      </c>
      <c r="L1" s="15" t="inlineStr">
        <is>
          <t>t</t>
        </is>
      </c>
      <c r="M1" s="15" t="inlineStr">
        <is>
          <t>g(nT0)</t>
        </is>
      </c>
      <c r="N1" s="15" t="inlineStr">
        <is>
          <t>e(nT0)</t>
        </is>
      </c>
      <c r="O1" s="15" t="inlineStr">
        <is>
          <t>u(nT0)</t>
        </is>
      </c>
      <c r="P1" s="15" t="inlineStr">
        <is>
          <t>u(t)</t>
        </is>
      </c>
      <c r="Q1" s="15" t="inlineStr">
        <is>
          <t>f(t)</t>
        </is>
      </c>
      <c r="R1" s="15" t="inlineStr">
        <is>
          <t>x(t)</t>
        </is>
      </c>
      <c r="S1" s="15" t="inlineStr">
        <is>
          <t>x*(t)</t>
        </is>
      </c>
      <c r="T1" s="15" t="inlineStr">
        <is>
          <t>s(t)</t>
        </is>
      </c>
      <c r="U1" s="15" t="inlineStr">
        <is>
          <t>y(t)</t>
        </is>
      </c>
      <c r="V1" s="15" t="inlineStr">
        <is>
          <t>y(nT0)</t>
        </is>
      </c>
      <c r="X1" s="15" t="inlineStr">
        <is>
          <t>Граница верх</t>
        </is>
      </c>
      <c r="Y1" s="15" t="inlineStr">
        <is>
          <t>Граница низ</t>
        </is>
      </c>
      <c r="Z1" s="15" t="inlineStr">
        <is>
          <t>Вход</t>
        </is>
      </c>
      <c r="AA1" s="15" t="inlineStr">
        <is>
          <t>Время регулирования</t>
        </is>
      </c>
      <c r="AB1" s="15" t="inlineStr">
        <is>
          <t>Перерегулирование</t>
        </is>
      </c>
      <c r="AC1" s="15" t="inlineStr">
        <is>
          <t>I2</t>
        </is>
      </c>
      <c r="AD1" s="15" t="inlineStr">
        <is>
          <t>I3</t>
        </is>
      </c>
      <c r="AE1" s="15" t="inlineStr">
        <is>
          <t>I4</t>
        </is>
      </c>
      <c r="AF1" s="15" t="inlineStr">
        <is>
          <t>сумма I2</t>
        </is>
      </c>
      <c r="AG1" s="15" t="inlineStr">
        <is>
          <t>сумма I3</t>
        </is>
      </c>
      <c r="AH1" s="15" t="inlineStr">
        <is>
          <t>сумма I4</t>
        </is>
      </c>
    </row>
    <row r="2">
      <c r="A2" s="19" t="inlineStr">
        <is>
          <t>K</t>
        </is>
      </c>
      <c r="B2" s="38" t="n">
        <v>4</v>
      </c>
      <c r="D2" s="21" t="inlineStr">
        <is>
          <t>q0</t>
        </is>
      </c>
      <c r="E2" s="18">
        <f>$B$8*(1+B11/(2*$B$9)+B10/B11)</f>
        <v/>
      </c>
      <c r="H2" s="22" t="inlineStr">
        <is>
          <t>A2</t>
        </is>
      </c>
      <c r="I2" s="20">
        <f>EXP(-B$6/$B$4)*EXP(-B$6/$B$5)</f>
        <v/>
      </c>
      <c r="L2" s="15" t="n">
        <v>0</v>
      </c>
      <c r="M2" s="15">
        <f>IF(L2&lt;$D$16,$D$12,IF(L2&lt;$E$16,$E$12,$F$13))</f>
        <v/>
      </c>
      <c r="N2" s="15">
        <f>M2-V2</f>
        <v/>
      </c>
      <c r="O2" s="15" t="n">
        <v>0</v>
      </c>
      <c r="P2" s="15">
        <f>INT((2^$J$12-1)*O2/100)/(2^$J$12-1)*100</f>
        <v/>
      </c>
      <c r="Q2" s="15" t="n">
        <v>0</v>
      </c>
      <c r="R2" s="15">
        <f>P2+Q2</f>
        <v/>
      </c>
      <c r="S2" s="15">
        <f>$D$12</f>
        <v/>
      </c>
      <c r="T2" s="15" t="n">
        <v>0</v>
      </c>
      <c r="U2" s="15">
        <f>S2+T2</f>
        <v/>
      </c>
      <c r="V2" s="15">
        <f>INT((2^$J$12-1)*U2/100)/(2^$J$12-1)*100</f>
        <v/>
      </c>
      <c r="X2" s="15">
        <f>M2 * 1.05</f>
        <v/>
      </c>
      <c r="Y2" s="15">
        <f>M2 * 0.95</f>
        <v/>
      </c>
      <c r="Z2" s="15">
        <f>IF(AND(V2 &lt;= X2, V2 &gt;= Y2), 1, 0)</f>
        <v/>
      </c>
      <c r="AA2" s="15">
        <f>INDEX(L42:L300, IFERROR(LOOKUP(2,1/(Z42:Z300=0),ROW(Z42:Z300))-40,1))</f>
        <v/>
      </c>
      <c r="AB2" s="15">
        <f>MAX(V2:V322)</f>
        <v/>
      </c>
      <c r="AC2" s="15">
        <f>N2^2</f>
        <v/>
      </c>
      <c r="AD2" s="15">
        <f>ABS(N2)</f>
        <v/>
      </c>
      <c r="AE2" s="15">
        <f>IF(M2&gt;0, ABS(N2)*(L2-$D$16),0)</f>
        <v/>
      </c>
      <c r="AF2" s="15">
        <f>SUM(AC2:AC1002)</f>
        <v/>
      </c>
      <c r="AG2" s="15">
        <f>SUM(AD2:AD1002)</f>
        <v/>
      </c>
      <c r="AH2" s="15">
        <f>SUM(AE2:AE1002)</f>
        <v/>
      </c>
    </row>
    <row r="3">
      <c r="A3" s="19" t="inlineStr">
        <is>
          <t>tau</t>
        </is>
      </c>
      <c r="B3" s="39" t="n">
        <v>40</v>
      </c>
      <c r="D3" s="19" t="inlineStr">
        <is>
          <t>q1</t>
        </is>
      </c>
      <c r="E3" s="20">
        <f>$B$8*(B11/(2*$B$9)-1-2*$B$10/B11)</f>
        <v/>
      </c>
      <c r="H3" s="22" t="inlineStr">
        <is>
          <t>B1</t>
        </is>
      </c>
      <c r="I3" s="20">
        <f>$B$2*(1+$B$4/($B$5-$B$4)*EXP(-B6/$B$4)-$B$5/($B$5-$B$4)*EXP(-B6/$B$5))</f>
        <v/>
      </c>
      <c r="L3" s="15" t="n">
        <v>1</v>
      </c>
      <c r="M3" s="15">
        <f>IF(L3&lt;$D$16,$D$12,IF(L3&lt;$E$16,$E$12,$F$13))</f>
        <v/>
      </c>
      <c r="N3" s="15">
        <f>M3-V3</f>
        <v/>
      </c>
      <c r="O3" s="15" t="n">
        <v>0</v>
      </c>
      <c r="P3" s="15">
        <f>INT((2^$J$12-1)*O3/100)/(2^$J$12-1)*100</f>
        <v/>
      </c>
      <c r="Q3" s="15" t="n">
        <v>0</v>
      </c>
      <c r="R3" s="15">
        <f>P3+Q3</f>
        <v/>
      </c>
      <c r="S3" s="15">
        <f>$D$12</f>
        <v/>
      </c>
      <c r="T3" s="15" t="n">
        <v>0</v>
      </c>
      <c r="U3" s="15">
        <f>S3+T3</f>
        <v/>
      </c>
      <c r="V3" s="15">
        <f>INT((2^$J$12-1)*U3/100)/(2^$J$12-1)*100</f>
        <v/>
      </c>
      <c r="X3" s="15">
        <f>M3 * 1.05</f>
        <v/>
      </c>
      <c r="Y3" s="15">
        <f>M3 * 0.95</f>
        <v/>
      </c>
      <c r="Z3" s="15">
        <f>IF(AND(V3 &lt;= X3, V3 &gt;= Y3), 1, 0)</f>
        <v/>
      </c>
      <c r="AB3" s="15">
        <f>AB2-E12</f>
        <v/>
      </c>
      <c r="AC3" s="15">
        <f>N3^2</f>
        <v/>
      </c>
      <c r="AD3" s="15">
        <f>ABS(N3)</f>
        <v/>
      </c>
      <c r="AE3" s="15">
        <f>IF(M3&gt;0, ABS(N3)*(L3-$D$16),0)</f>
        <v/>
      </c>
    </row>
    <row r="4" ht="15" customHeight="1" thickBot="1">
      <c r="A4" s="19" t="inlineStr">
        <is>
          <t>T1</t>
        </is>
      </c>
      <c r="B4" s="39" t="n">
        <v>17</v>
      </c>
      <c r="D4" s="23" t="inlineStr">
        <is>
          <t>q2</t>
        </is>
      </c>
      <c r="E4" s="24">
        <f>$B$8*$B$10/B11</f>
        <v/>
      </c>
      <c r="H4" s="25" t="inlineStr">
        <is>
          <t>B2</t>
        </is>
      </c>
      <c r="I4" s="24">
        <f>$B$2*(EXP(-B6/$B$4)*EXP(-B6/$B$5)+$B$4/($B$5-$B$4)*EXP(-B6/$B$5)-$B$5/($B$5-$B$4)*EXP(-B6/$B$4))</f>
        <v/>
      </c>
      <c r="L4" s="15" t="n">
        <v>2</v>
      </c>
      <c r="M4" s="15">
        <f>IF(L4&lt;$D$16,$D$12,IF(L4&lt;$E$16,$E$12,$F$13))</f>
        <v/>
      </c>
      <c r="N4" s="15">
        <f>M4-V4</f>
        <v/>
      </c>
      <c r="O4" s="15" t="n">
        <v>0</v>
      </c>
      <c r="P4" s="15">
        <f>INT((2^$J$12-1)*O4/100)/(2^$J$12-1)*100</f>
        <v/>
      </c>
      <c r="Q4" s="15" t="n">
        <v>0</v>
      </c>
      <c r="R4" s="15">
        <f>P4+Q4</f>
        <v/>
      </c>
      <c r="S4" s="15">
        <f>$D$12</f>
        <v/>
      </c>
      <c r="T4" s="15" t="n">
        <v>0</v>
      </c>
      <c r="U4" s="15">
        <f>S4+T4</f>
        <v/>
      </c>
      <c r="V4" s="15">
        <f>INT((2^$J$12-1)*U4/100)/(2^$J$12-1)*100</f>
        <v/>
      </c>
      <c r="X4" s="15">
        <f>M4 * 1.05</f>
        <v/>
      </c>
      <c r="Y4" s="15">
        <f>M4 * 0.95</f>
        <v/>
      </c>
      <c r="Z4" s="15">
        <f>IF(AND(V4 &lt;= X4, V4 &gt;= Y4), 1, 0)</f>
        <v/>
      </c>
      <c r="AB4" s="15">
        <f>AB3/E13</f>
        <v/>
      </c>
      <c r="AC4" s="15">
        <f>N4^2</f>
        <v/>
      </c>
      <c r="AD4" s="15">
        <f>ABS(N4)</f>
        <v/>
      </c>
      <c r="AE4" s="15">
        <f>IF(M4&gt;0, ABS(N4)*(L4-$D$16),0)</f>
        <v/>
      </c>
    </row>
    <row r="5" ht="15" customHeight="1" thickBot="1">
      <c r="A5" s="23" t="inlineStr">
        <is>
          <t>T2</t>
        </is>
      </c>
      <c r="B5" s="40" t="n">
        <v>13</v>
      </c>
      <c r="L5" s="15" t="n">
        <v>3</v>
      </c>
      <c r="M5" s="15">
        <f>IF(L5&lt;$D$16,$D$12,IF(L5&lt;$E$16,$E$12,$F$13))</f>
        <v/>
      </c>
      <c r="N5" s="15">
        <f>M5-V5</f>
        <v/>
      </c>
      <c r="O5" s="15" t="n">
        <v>0</v>
      </c>
      <c r="P5" s="15">
        <f>INT((2^$J$12-1)*O5/100)/(2^$J$12-1)*100</f>
        <v/>
      </c>
      <c r="Q5" s="15" t="n">
        <v>0</v>
      </c>
      <c r="R5" s="15">
        <f>P5+Q5</f>
        <v/>
      </c>
      <c r="S5" s="15">
        <f>$D$12</f>
        <v/>
      </c>
      <c r="T5" s="15" t="n">
        <v>0</v>
      </c>
      <c r="U5" s="15">
        <f>S5+T5</f>
        <v/>
      </c>
      <c r="V5" s="15">
        <f>INT((2^$J$12-1)*U5/100)/(2^$J$12-1)*100</f>
        <v/>
      </c>
      <c r="X5" s="15">
        <f>M5 * 1.05</f>
        <v/>
      </c>
      <c r="Y5" s="15">
        <f>M5 * 0.95</f>
        <v/>
      </c>
      <c r="Z5" s="15">
        <f>IF(AND(V5 &lt;= X5, V5 &gt;= Y5), 1, 0)</f>
        <v/>
      </c>
      <c r="AB5" s="15">
        <f>AB4*100</f>
        <v/>
      </c>
      <c r="AC5" s="15">
        <f>N5^2</f>
        <v/>
      </c>
      <c r="AD5" s="15">
        <f>ABS(N5)</f>
        <v/>
      </c>
      <c r="AE5" s="15">
        <f>IF(M5&gt;0, ABS(N5)*(L5-$D$16),0)</f>
        <v/>
      </c>
    </row>
    <row r="6">
      <c r="A6" s="26" t="inlineStr">
        <is>
          <t>T0</t>
        </is>
      </c>
      <c r="B6" s="26" t="n">
        <v>1</v>
      </c>
      <c r="L6" s="15" t="n">
        <v>4</v>
      </c>
      <c r="M6" s="15">
        <f>IF(L6&lt;$D$16,$D$12,IF(L6&lt;$E$16,$E$12,$F$13))</f>
        <v/>
      </c>
      <c r="N6" s="15">
        <f>M6-V6</f>
        <v/>
      </c>
      <c r="O6" s="15" t="n">
        <v>0</v>
      </c>
      <c r="P6" s="15">
        <f>INT((2^$J$12-1)*O6/100)/(2^$J$12-1)*100</f>
        <v/>
      </c>
      <c r="Q6" s="15" t="n">
        <v>0</v>
      </c>
      <c r="R6" s="15">
        <f>P6+Q6</f>
        <v/>
      </c>
      <c r="S6" s="15">
        <f>$D$12</f>
        <v/>
      </c>
      <c r="T6" s="15" t="n">
        <v>0</v>
      </c>
      <c r="U6" s="15">
        <f>S6+T6</f>
        <v/>
      </c>
      <c r="V6" s="15">
        <f>INT((2^$J$12-1)*U6/100)/(2^$J$12-1)*100</f>
        <v/>
      </c>
      <c r="X6" s="15">
        <f>M6 * 1.05</f>
        <v/>
      </c>
      <c r="Y6" s="15">
        <f>M6 * 0.95</f>
        <v/>
      </c>
      <c r="Z6" s="15">
        <f>IF(AND(V6 &lt;= X6, V6 &gt;= Y6), 1, 0)</f>
        <v/>
      </c>
      <c r="AC6" s="15">
        <f>N6^2</f>
        <v/>
      </c>
      <c r="AD6" s="15">
        <f>ABS(N6)</f>
        <v/>
      </c>
      <c r="AE6" s="15">
        <f>IF(M6&gt;0, ABS(N6)*(L6-$D$16),0)</f>
        <v/>
      </c>
    </row>
    <row r="7">
      <c r="A7" s="51" t="inlineStr">
        <is>
          <t>Параметры регулятор</t>
        </is>
      </c>
      <c r="B7" s="52" t="n"/>
      <c r="L7" s="15" t="n">
        <v>5</v>
      </c>
      <c r="M7" s="15">
        <f>IF(L7&lt;$D$16,$D$12,IF(L7&lt;$E$16,$E$12,$F$13))</f>
        <v/>
      </c>
      <c r="N7" s="15">
        <f>M7-V7</f>
        <v/>
      </c>
      <c r="O7" s="15" t="n">
        <v>0</v>
      </c>
      <c r="P7" s="15">
        <f>INT((2^$J$12-1)*O7/100)/(2^$J$12-1)*100</f>
        <v/>
      </c>
      <c r="Q7" s="15" t="n">
        <v>0</v>
      </c>
      <c r="R7" s="15">
        <f>P7+Q7</f>
        <v/>
      </c>
      <c r="S7" s="15">
        <f>$D$12</f>
        <v/>
      </c>
      <c r="T7" s="15" t="n">
        <v>0</v>
      </c>
      <c r="U7" s="15">
        <f>S7+T7</f>
        <v/>
      </c>
      <c r="V7" s="15">
        <f>INT((2^$J$12-1)*U7/100)/(2^$J$12-1)*100</f>
        <v/>
      </c>
      <c r="X7" s="15">
        <f>M7 * 1.05</f>
        <v/>
      </c>
      <c r="Y7" s="15">
        <f>M7 * 0.95</f>
        <v/>
      </c>
      <c r="Z7" s="15">
        <f>IF(AND(V7 &lt;= X7, V7 &gt;= Y7), 1, 0)</f>
        <v/>
      </c>
      <c r="AC7" s="15">
        <f>N7^2</f>
        <v/>
      </c>
      <c r="AD7" s="15">
        <f>ABS(N7)</f>
        <v/>
      </c>
      <c r="AE7" s="15">
        <f>IF(M7&gt;0, ABS(N7)*(L7-$D$16),0)</f>
        <v/>
      </c>
    </row>
    <row r="8">
      <c r="A8" s="19" t="inlineStr">
        <is>
          <t>kr</t>
        </is>
      </c>
      <c r="B8" s="20" t="n">
        <v>0.22803</v>
      </c>
      <c r="E8" s="20" t="n">
        <v>0.18</v>
      </c>
      <c r="G8" s="20" t="n">
        <v>0.22803</v>
      </c>
      <c r="L8" s="15" t="n">
        <v>6</v>
      </c>
      <c r="M8" s="15">
        <f>IF(L8&lt;$D$16,$D$12,IF(L8&lt;$E$16,$E$12,$F$13))</f>
        <v/>
      </c>
      <c r="N8" s="15">
        <f>M8-V8</f>
        <v/>
      </c>
      <c r="O8" s="15" t="n">
        <v>0</v>
      </c>
      <c r="P8" s="15">
        <f>INT((2^$J$12-1)*O8/100)/(2^$J$12-1)*100</f>
        <v/>
      </c>
      <c r="Q8" s="15" t="n">
        <v>0</v>
      </c>
      <c r="R8" s="15">
        <f>P8+Q8</f>
        <v/>
      </c>
      <c r="S8" s="15">
        <f>$D$12</f>
        <v/>
      </c>
      <c r="T8" s="15" t="n">
        <v>0</v>
      </c>
      <c r="U8" s="15">
        <f>S8+T8</f>
        <v/>
      </c>
      <c r="V8" s="15">
        <f>INT((2^$J$12-1)*U8/100)/(2^$J$12-1)*100</f>
        <v/>
      </c>
      <c r="X8" s="15">
        <f>M8 * 1.05</f>
        <v/>
      </c>
      <c r="Y8" s="15">
        <f>M8 * 0.95</f>
        <v/>
      </c>
      <c r="Z8" s="15">
        <f>IF(AND(V8 &lt;= X8, V8 &gt;= Y8), 1, 0)</f>
        <v/>
      </c>
      <c r="AC8" s="15">
        <f>N8^2</f>
        <v/>
      </c>
      <c r="AD8" s="15">
        <f>ABS(N8)</f>
        <v/>
      </c>
      <c r="AE8" s="15">
        <f>IF(M8&gt;0, ABS(N8)*(L8-$D$16),0)</f>
        <v/>
      </c>
    </row>
    <row r="9">
      <c r="A9" s="19" t="inlineStr">
        <is>
          <t>Ti</t>
        </is>
      </c>
      <c r="B9" s="20" t="n">
        <v>36.184</v>
      </c>
      <c r="E9" s="20" t="n">
        <v>27.5</v>
      </c>
      <c r="G9" s="20" t="n">
        <v>36.184</v>
      </c>
      <c r="L9" s="15" t="n">
        <v>7</v>
      </c>
      <c r="M9" s="15">
        <f>IF(L9&lt;$D$16,$D$12,IF(L9&lt;$E$16,$E$12,$F$13))</f>
        <v/>
      </c>
      <c r="N9" s="15">
        <f>M9-V9</f>
        <v/>
      </c>
      <c r="O9" s="15" t="n">
        <v>0</v>
      </c>
      <c r="P9" s="15">
        <f>INT((2^$J$12-1)*O9/100)/(2^$J$12-1)*100</f>
        <v/>
      </c>
      <c r="Q9" s="15" t="n">
        <v>0</v>
      </c>
      <c r="R9" s="15">
        <f>P9+Q9</f>
        <v/>
      </c>
      <c r="S9" s="15">
        <f>$D$12</f>
        <v/>
      </c>
      <c r="T9" s="15" t="n">
        <v>0</v>
      </c>
      <c r="U9" s="15">
        <f>S9+T9</f>
        <v/>
      </c>
      <c r="V9" s="15">
        <f>INT((2^$J$12-1)*U9/100)/(2^$J$12-1)*100</f>
        <v/>
      </c>
      <c r="X9" s="15">
        <f>M9 * 1.05</f>
        <v/>
      </c>
      <c r="Y9" s="15">
        <f>M9 * 0.95</f>
        <v/>
      </c>
      <c r="Z9" s="15">
        <f>IF(AND(V9 &lt;= X9, V9 &gt;= Y9), 1, 0)</f>
        <v/>
      </c>
      <c r="AC9" s="15">
        <f>N9^2</f>
        <v/>
      </c>
      <c r="AD9" s="15">
        <f>ABS(N9)</f>
        <v/>
      </c>
      <c r="AE9" s="15">
        <f>IF(M9&gt;0, ABS(N9)*(L9-$D$16),0)</f>
        <v/>
      </c>
    </row>
    <row r="10" ht="15" customHeight="1" thickBot="1">
      <c r="A10" s="23" t="inlineStr">
        <is>
          <t>Td</t>
        </is>
      </c>
      <c r="B10" s="24" t="n">
        <v>11.157</v>
      </c>
      <c r="E10" s="24" t="n">
        <v>10</v>
      </c>
      <c r="G10" s="24" t="n">
        <v>11.157</v>
      </c>
      <c r="L10" s="15" t="n">
        <v>8</v>
      </c>
      <c r="M10" s="15">
        <f>IF(L10&lt;$D$16,$D$12,IF(L10&lt;$E$16,$E$12,$F$13))</f>
        <v/>
      </c>
      <c r="N10" s="15">
        <f>M10-V10</f>
        <v/>
      </c>
      <c r="O10" s="15" t="n">
        <v>0</v>
      </c>
      <c r="P10" s="15">
        <f>INT((2^$J$12-1)*O10/100)/(2^$J$12-1)*100</f>
        <v/>
      </c>
      <c r="Q10" s="15" t="n">
        <v>0</v>
      </c>
      <c r="R10" s="15">
        <f>P10+Q10</f>
        <v/>
      </c>
      <c r="S10" s="15">
        <f>$D$12</f>
        <v/>
      </c>
      <c r="T10" s="15" t="n">
        <v>0</v>
      </c>
      <c r="U10" s="15">
        <f>S10+T10</f>
        <v/>
      </c>
      <c r="V10" s="15">
        <f>INT((2^$J$12-1)*U10/100)/(2^$J$12-1)*100</f>
        <v/>
      </c>
      <c r="X10" s="15">
        <f>M10 * 1.05</f>
        <v/>
      </c>
      <c r="Y10" s="15">
        <f>M10 * 0.95</f>
        <v/>
      </c>
      <c r="Z10" s="15">
        <f>IF(AND(V10 &lt;= X10, V10 &gt;= Y10), 1, 0)</f>
        <v/>
      </c>
      <c r="AC10" s="15">
        <f>N10^2</f>
        <v/>
      </c>
      <c r="AD10" s="15">
        <f>ABS(N10)</f>
        <v/>
      </c>
      <c r="AE10" s="15">
        <f>IF(M10&gt;0, ABS(N10)*(L10-$D$16),0)</f>
        <v/>
      </c>
    </row>
    <row r="11">
      <c r="A11" s="15" t="inlineStr">
        <is>
          <t>T0</t>
        </is>
      </c>
      <c r="B11" s="15" t="n">
        <v>3</v>
      </c>
      <c r="D11" s="15" t="inlineStr">
        <is>
          <t>g(nT0)</t>
        </is>
      </c>
      <c r="E11" s="15" t="inlineStr">
        <is>
          <t>g(nT1)</t>
        </is>
      </c>
      <c r="F11" s="15" t="inlineStr">
        <is>
          <t>g(nT2)</t>
        </is>
      </c>
      <c r="G11" s="15" t="inlineStr">
        <is>
          <t>Ks</t>
        </is>
      </c>
      <c r="H11" s="15" t="inlineStr">
        <is>
          <t>Kf</t>
        </is>
      </c>
      <c r="I11" s="15" t="inlineStr">
        <is>
          <t>T0</t>
        </is>
      </c>
      <c r="J11" s="15" t="inlineStr">
        <is>
          <t>n</t>
        </is>
      </c>
      <c r="L11" s="15" t="n">
        <v>9</v>
      </c>
      <c r="M11" s="15">
        <f>IF(L11&lt;$D$16,$D$12,IF(L11&lt;$E$16,$E$12,$F$13))</f>
        <v/>
      </c>
      <c r="N11" s="15">
        <f>M11-V11</f>
        <v/>
      </c>
      <c r="O11" s="15" t="n">
        <v>0</v>
      </c>
      <c r="P11" s="15">
        <f>INT((2^$J$12-1)*O11/100)/(2^$J$12-1)*100</f>
        <v/>
      </c>
      <c r="Q11" s="15" t="n">
        <v>0</v>
      </c>
      <c r="R11" s="15">
        <f>P11+Q11</f>
        <v/>
      </c>
      <c r="S11" s="15">
        <f>$D$12</f>
        <v/>
      </c>
      <c r="T11" s="15" t="n">
        <v>0</v>
      </c>
      <c r="U11" s="15">
        <f>S11+T11</f>
        <v/>
      </c>
      <c r="V11" s="15">
        <f>INT((2^$J$12-1)*U11/100)/(2^$J$12-1)*100</f>
        <v/>
      </c>
      <c r="X11" s="15">
        <f>M11 * 1.05</f>
        <v/>
      </c>
      <c r="Y11" s="15">
        <f>M11 * 0.95</f>
        <v/>
      </c>
      <c r="Z11" s="15">
        <f>IF(AND(V11 &lt;= X11, V11 &gt;= Y11), 1, 0)</f>
        <v/>
      </c>
      <c r="AC11" s="15">
        <f>N11^2</f>
        <v/>
      </c>
      <c r="AD11" s="15">
        <f>ABS(N11)</f>
        <v/>
      </c>
      <c r="AE11" s="15">
        <f>IF(M11&gt;0, ABS(N11)*(L11-$D$16),0)</f>
        <v/>
      </c>
    </row>
    <row r="12">
      <c r="D12" s="15" t="n">
        <v>0</v>
      </c>
      <c r="E12" s="15" t="n">
        <v>1</v>
      </c>
      <c r="F12" s="15" t="n">
        <v>0</v>
      </c>
      <c r="G12" s="15" t="n">
        <v>0.01</v>
      </c>
      <c r="H12" s="15" t="n">
        <v>0.1</v>
      </c>
      <c r="I12" s="15">
        <f>B11</f>
        <v/>
      </c>
      <c r="J12" s="15" t="n">
        <v>16</v>
      </c>
      <c r="L12" s="15" t="n">
        <v>10</v>
      </c>
      <c r="M12" s="15">
        <f>IF(L12&lt;$D$16,$D$12,IF(L12&lt;$E$16,$E$12,$F$13))</f>
        <v/>
      </c>
      <c r="N12" s="15">
        <f>M12-V12</f>
        <v/>
      </c>
      <c r="O12" s="15" t="n">
        <v>0</v>
      </c>
      <c r="P12" s="15">
        <f>INT((2^$J$12-1)*O12/100)/(2^$J$12-1)*100</f>
        <v/>
      </c>
      <c r="Q12" s="15" t="n">
        <v>0</v>
      </c>
      <c r="R12" s="15">
        <f>P12+Q12</f>
        <v/>
      </c>
      <c r="S12" s="15">
        <f>$D$12</f>
        <v/>
      </c>
      <c r="T12" s="15" t="n">
        <v>0</v>
      </c>
      <c r="U12" s="15">
        <f>S12+T12</f>
        <v/>
      </c>
      <c r="V12" s="15">
        <f>INT((2^$J$12-1)*U12/100)/(2^$J$12-1)*100</f>
        <v/>
      </c>
      <c r="X12" s="15">
        <f>M12 * 1.05</f>
        <v/>
      </c>
      <c r="Y12" s="15">
        <f>M12 * 0.95</f>
        <v/>
      </c>
      <c r="Z12" s="15">
        <f>IF(AND(V12 &lt;= X12, V12 &gt;= Y12), 1, 0)</f>
        <v/>
      </c>
      <c r="AC12" s="15">
        <f>N12^2</f>
        <v/>
      </c>
      <c r="AD12" s="15">
        <f>ABS(N12)</f>
        <v/>
      </c>
      <c r="AE12" s="15">
        <f>IF(M12&gt;0, ABS(N12)*(L12-$D$16),0)</f>
        <v/>
      </c>
    </row>
    <row r="13">
      <c r="A13" s="15">
        <f>B3+E1</f>
        <v/>
      </c>
      <c r="D13" s="15" t="n">
        <v>1</v>
      </c>
      <c r="E13" s="15" t="n">
        <v>10</v>
      </c>
      <c r="F13" s="15" t="n">
        <v>1</v>
      </c>
      <c r="H13" s="15" t="inlineStr">
        <is>
          <t>(300 с)</t>
        </is>
      </c>
      <c r="L13" s="15" t="n">
        <v>11</v>
      </c>
      <c r="M13" s="15">
        <f>IF(L13&lt;$D$16,$D$12,IF(L13&lt;$E$16,$E$12,$F$13))</f>
        <v/>
      </c>
      <c r="N13" s="15">
        <f>M13-V13</f>
        <v/>
      </c>
      <c r="O13" s="15" t="n">
        <v>0</v>
      </c>
      <c r="P13" s="15">
        <f>INT((2^$J$12-1)*O13/100)/(2^$J$12-1)*100</f>
        <v/>
      </c>
      <c r="Q13" s="15" t="n">
        <v>0</v>
      </c>
      <c r="R13" s="15">
        <f>P13+Q13</f>
        <v/>
      </c>
      <c r="S13" s="15">
        <f>$D$12</f>
        <v/>
      </c>
      <c r="T13" s="15" t="n">
        <v>0</v>
      </c>
      <c r="U13" s="15">
        <f>S13+T13</f>
        <v/>
      </c>
      <c r="V13" s="15">
        <f>INT((2^$J$12-1)*U13/100)/(2^$J$12-1)*100</f>
        <v/>
      </c>
      <c r="X13" s="15">
        <f>M13 * 1.05</f>
        <v/>
      </c>
      <c r="Y13" s="15">
        <f>M13 * 0.95</f>
        <v/>
      </c>
      <c r="Z13" s="15">
        <f>IF(AND(V13 &lt;= X13, V13 &gt;= Y13), 1, 0)</f>
        <v/>
      </c>
      <c r="AC13" s="15">
        <f>N13^2</f>
        <v/>
      </c>
      <c r="AD13" s="15">
        <f>ABS(N13)</f>
        <v/>
      </c>
      <c r="AE13" s="15">
        <f>IF(M13&gt;0, ABS(N13)*(L13-$D$16),0)</f>
        <v/>
      </c>
    </row>
    <row r="14">
      <c r="A14" s="15">
        <f>B3+2*E1</f>
        <v/>
      </c>
      <c r="L14" s="15" t="n">
        <v>12</v>
      </c>
      <c r="M14" s="15">
        <f>IF(L14&lt;$D$16,$D$12,IF(L14&lt;$E$16,$E$12,$F$13))</f>
        <v/>
      </c>
      <c r="N14" s="15">
        <f>M14-V14</f>
        <v/>
      </c>
      <c r="O14" s="15" t="n">
        <v>0</v>
      </c>
      <c r="P14" s="15">
        <f>INT((2^$J$12-1)*O14/100)/(2^$J$12-1)*100</f>
        <v/>
      </c>
      <c r="Q14" s="15" t="n">
        <v>0</v>
      </c>
      <c r="R14" s="15">
        <f>P14+Q14</f>
        <v/>
      </c>
      <c r="S14" s="15">
        <f>$D$12</f>
        <v/>
      </c>
      <c r="T14" s="15" t="n">
        <v>0</v>
      </c>
      <c r="U14" s="15">
        <f>S14+T14</f>
        <v/>
      </c>
      <c r="V14" s="15">
        <f>INT((2^$J$12-1)*U14/100)/(2^$J$12-1)*100</f>
        <v/>
      </c>
      <c r="X14" s="15">
        <f>M14 * 1.05</f>
        <v/>
      </c>
      <c r="Y14" s="15">
        <f>M14 * 0.95</f>
        <v/>
      </c>
      <c r="Z14" s="15">
        <f>IF(AND(V14 &lt;= X14, V14 &gt;= Y14), 1, 0)</f>
        <v/>
      </c>
      <c r="AC14" s="15">
        <f>N14^2</f>
        <v/>
      </c>
      <c r="AD14" s="15">
        <f>ABS(N14)</f>
        <v/>
      </c>
      <c r="AE14" s="15">
        <f>IF(M14&gt;0, ABS(N14)*(L14-$D$16),0)</f>
        <v/>
      </c>
    </row>
    <row r="15">
      <c r="L15" s="15" t="n">
        <v>13</v>
      </c>
      <c r="M15" s="15">
        <f>IF(L15&lt;$D$16,$D$12,IF(L15&lt;$E$16,$E$12,$F$13))</f>
        <v/>
      </c>
      <c r="N15" s="15">
        <f>M15-V15</f>
        <v/>
      </c>
      <c r="O15" s="15" t="n">
        <v>0</v>
      </c>
      <c r="P15" s="15">
        <f>INT((2^$J$12-1)*O15/100)/(2^$J$12-1)*100</f>
        <v/>
      </c>
      <c r="Q15" s="15" t="n">
        <v>0</v>
      </c>
      <c r="R15" s="15">
        <f>P15+Q15</f>
        <v/>
      </c>
      <c r="S15" s="15">
        <f>$D$12</f>
        <v/>
      </c>
      <c r="T15" s="15" t="n">
        <v>0</v>
      </c>
      <c r="U15" s="15">
        <f>S15+T15</f>
        <v/>
      </c>
      <c r="V15" s="15">
        <f>INT((2^$J$12-1)*U15/100)/(2^$J$12-1)*100</f>
        <v/>
      </c>
      <c r="X15" s="15">
        <f>M15 * 1.05</f>
        <v/>
      </c>
      <c r="Y15" s="15">
        <f>M15 * 0.95</f>
        <v/>
      </c>
      <c r="Z15" s="15">
        <f>IF(AND(V15 &lt;= X15, V15 &gt;= Y15), 1, 0)</f>
        <v/>
      </c>
      <c r="AC15" s="15">
        <f>N15^2</f>
        <v/>
      </c>
      <c r="AD15" s="15">
        <f>ABS(N15)</f>
        <v/>
      </c>
      <c r="AE15" s="15">
        <f>IF(M15&gt;0, ABS(N15)*(L15-$D$16),0)</f>
        <v/>
      </c>
    </row>
    <row r="16">
      <c r="D16" s="15" t="n">
        <v>40</v>
      </c>
      <c r="E16" s="15" t="n">
        <v>600</v>
      </c>
      <c r="L16" s="15" t="n">
        <v>14</v>
      </c>
      <c r="M16" s="15">
        <f>IF(L16&lt;$D$16,$D$12,IF(L16&lt;$E$16,$E$12,$F$13))</f>
        <v/>
      </c>
      <c r="N16" s="15">
        <f>M16-V16</f>
        <v/>
      </c>
      <c r="O16" s="15" t="n">
        <v>0</v>
      </c>
      <c r="P16" s="15">
        <f>INT((2^$J$12-1)*O16/100)/(2^$J$12-1)*100</f>
        <v/>
      </c>
      <c r="Q16" s="15" t="n">
        <v>0</v>
      </c>
      <c r="R16" s="15">
        <f>P16+Q16</f>
        <v/>
      </c>
      <c r="S16" s="15">
        <f>$D$12</f>
        <v/>
      </c>
      <c r="T16" s="15" t="n">
        <v>0</v>
      </c>
      <c r="U16" s="15">
        <f>S16+T16</f>
        <v/>
      </c>
      <c r="V16" s="15">
        <f>INT((2^$J$12-1)*U16/100)/(2^$J$12-1)*100</f>
        <v/>
      </c>
      <c r="X16" s="15">
        <f>M16 * 1.05</f>
        <v/>
      </c>
      <c r="Y16" s="15">
        <f>M16 * 0.95</f>
        <v/>
      </c>
      <c r="Z16" s="15">
        <f>IF(AND(V16 &lt;= X16, V16 &gt;= Y16), 1, 0)</f>
        <v/>
      </c>
      <c r="AC16" s="15">
        <f>N16^2</f>
        <v/>
      </c>
      <c r="AD16" s="15">
        <f>ABS(N16)</f>
        <v/>
      </c>
      <c r="AE16" s="15">
        <f>IF(M16&gt;0, ABS(N16)*(L16-$D$16),0)</f>
        <v/>
      </c>
    </row>
    <row r="17">
      <c r="L17" s="15" t="n">
        <v>15</v>
      </c>
      <c r="M17" s="15">
        <f>IF(L17&lt;$D$16,$D$12,IF(L17&lt;$E$16,$E$12,$F$13))</f>
        <v/>
      </c>
      <c r="N17" s="15">
        <f>M17-V17</f>
        <v/>
      </c>
      <c r="O17" s="15" t="n">
        <v>0</v>
      </c>
      <c r="P17" s="15">
        <f>INT((2^$J$12-1)*O17/100)/(2^$J$12-1)*100</f>
        <v/>
      </c>
      <c r="Q17" s="15" t="n">
        <v>0</v>
      </c>
      <c r="R17" s="15">
        <f>P17+Q17</f>
        <v/>
      </c>
      <c r="S17" s="15">
        <f>$D$12</f>
        <v/>
      </c>
      <c r="T17" s="15" t="n">
        <v>0</v>
      </c>
      <c r="U17" s="15">
        <f>S17+T17</f>
        <v/>
      </c>
      <c r="V17" s="15">
        <f>INT((2^$J$12-1)*U17/100)/(2^$J$12-1)*100</f>
        <v/>
      </c>
      <c r="X17" s="15">
        <f>M17 * 1.05</f>
        <v/>
      </c>
      <c r="Y17" s="15">
        <f>M17 * 0.95</f>
        <v/>
      </c>
      <c r="Z17" s="15">
        <f>IF(AND(V17 &lt;= X17, V17 &gt;= Y17), 1, 0)</f>
        <v/>
      </c>
      <c r="AC17" s="15">
        <f>N17^2</f>
        <v/>
      </c>
      <c r="AD17" s="15">
        <f>ABS(N17)</f>
        <v/>
      </c>
      <c r="AE17" s="15">
        <f>IF(M17&gt;0, ABS(N17)*(L17-$D$16),0)</f>
        <v/>
      </c>
    </row>
    <row r="18">
      <c r="L18" s="15" t="n">
        <v>16</v>
      </c>
      <c r="M18" s="15">
        <f>IF(L18&lt;$D$16,$D$12,IF(L18&lt;$E$16,$E$12,$F$13))</f>
        <v/>
      </c>
      <c r="N18" s="15">
        <f>M18-V18</f>
        <v/>
      </c>
      <c r="O18" s="15" t="n">
        <v>0</v>
      </c>
      <c r="P18" s="15">
        <f>INT((2^$J$12-1)*O18/100)/(2^$J$12-1)*100</f>
        <v/>
      </c>
      <c r="Q18" s="15" t="n">
        <v>0</v>
      </c>
      <c r="R18" s="15">
        <f>P18+Q18</f>
        <v/>
      </c>
      <c r="S18" s="15">
        <f>$D$12</f>
        <v/>
      </c>
      <c r="T18" s="15" t="n">
        <v>0</v>
      </c>
      <c r="U18" s="15">
        <f>S18+T18</f>
        <v/>
      </c>
      <c r="V18" s="15">
        <f>INT((2^$J$12-1)*U18/100)/(2^$J$12-1)*100</f>
        <v/>
      </c>
      <c r="X18" s="15">
        <f>M18 * 1.05</f>
        <v/>
      </c>
      <c r="Y18" s="15">
        <f>M18 * 0.95</f>
        <v/>
      </c>
      <c r="Z18" s="15">
        <f>IF(AND(V18 &lt;= X18, V18 &gt;= Y18), 1, 0)</f>
        <v/>
      </c>
      <c r="AC18" s="15">
        <f>N18^2</f>
        <v/>
      </c>
      <c r="AD18" s="15">
        <f>ABS(N18)</f>
        <v/>
      </c>
      <c r="AE18" s="15">
        <f>IF(M18&gt;0, ABS(N18)*(L18-$D$16),0)</f>
        <v/>
      </c>
    </row>
    <row r="19">
      <c r="L19" s="15" t="n">
        <v>17</v>
      </c>
      <c r="M19" s="15">
        <f>IF(L19&lt;$D$16,$D$12,IF(L19&lt;$E$16,$E$12,$F$13))</f>
        <v/>
      </c>
      <c r="N19" s="15">
        <f>M19-V19</f>
        <v/>
      </c>
      <c r="O19" s="15" t="n">
        <v>0</v>
      </c>
      <c r="P19" s="15">
        <f>INT((2^$J$12-1)*O19/100)/(2^$J$12-1)*100</f>
        <v/>
      </c>
      <c r="Q19" s="15" t="n">
        <v>0</v>
      </c>
      <c r="R19" s="15">
        <f>P19+Q19</f>
        <v/>
      </c>
      <c r="S19" s="15">
        <f>$D$12</f>
        <v/>
      </c>
      <c r="T19" s="15" t="n">
        <v>0</v>
      </c>
      <c r="U19" s="15">
        <f>S19+T19</f>
        <v/>
      </c>
      <c r="V19" s="15">
        <f>INT((2^$J$12-1)*U19/100)/(2^$J$12-1)*100</f>
        <v/>
      </c>
      <c r="X19" s="15">
        <f>M19 * 1.05</f>
        <v/>
      </c>
      <c r="Y19" s="15">
        <f>M19 * 0.95</f>
        <v/>
      </c>
      <c r="Z19" s="15">
        <f>IF(AND(V19 &lt;= X19, V19 &gt;= Y19), 1, 0)</f>
        <v/>
      </c>
      <c r="AC19" s="15">
        <f>N19^2</f>
        <v/>
      </c>
      <c r="AD19" s="15">
        <f>ABS(N19)</f>
        <v/>
      </c>
      <c r="AE19" s="15">
        <f>IF(M19&gt;0, ABS(N19)*(L19-$D$16),0)</f>
        <v/>
      </c>
    </row>
    <row r="20">
      <c r="B20" s="15" t="inlineStr">
        <is>
          <t>n</t>
        </is>
      </c>
      <c r="C20" s="15" t="inlineStr">
        <is>
          <t>Δ</t>
        </is>
      </c>
      <c r="D20" s="15" t="inlineStr">
        <is>
          <t>tрег</t>
        </is>
      </c>
      <c r="E20" s="30" t="inlineStr">
        <is>
          <t>σ, %</t>
        </is>
      </c>
      <c r="F20" s="31">
        <f>AF1</f>
        <v/>
      </c>
      <c r="G20" s="31">
        <f>AG1</f>
        <v/>
      </c>
      <c r="H20" s="31">
        <f>AH1</f>
        <v/>
      </c>
      <c r="L20" s="15" t="n">
        <v>18</v>
      </c>
      <c r="M20" s="15">
        <f>IF(L20&lt;$D$16,$D$12,IF(L20&lt;$E$16,$E$12,$F$13))</f>
        <v/>
      </c>
      <c r="N20" s="15">
        <f>M20-V20</f>
        <v/>
      </c>
      <c r="O20" s="15" t="n">
        <v>0</v>
      </c>
      <c r="P20" s="15">
        <f>INT((2^$J$12-1)*O20/100)/(2^$J$12-1)*100</f>
        <v/>
      </c>
      <c r="Q20" s="15" t="n">
        <v>0</v>
      </c>
      <c r="R20" s="15">
        <f>P20+Q20</f>
        <v/>
      </c>
      <c r="S20" s="15">
        <f>$D$12</f>
        <v/>
      </c>
      <c r="T20" s="15" t="n">
        <v>0</v>
      </c>
      <c r="U20" s="15">
        <f>S20+T20</f>
        <v/>
      </c>
      <c r="V20" s="15">
        <f>INT((2^$J$12-1)*U20/100)/(2^$J$12-1)*100</f>
        <v/>
      </c>
      <c r="X20" s="15">
        <f>M20 * 1.05</f>
        <v/>
      </c>
      <c r="Y20" s="15">
        <f>M20 * 0.95</f>
        <v/>
      </c>
      <c r="Z20" s="15">
        <f>IF(AND(V20 &lt;= X20, V20 &gt;= Y20), 1, 0)</f>
        <v/>
      </c>
      <c r="AC20" s="15">
        <f>N20^2</f>
        <v/>
      </c>
      <c r="AD20" s="15">
        <f>ABS(N20)</f>
        <v/>
      </c>
      <c r="AE20" s="15">
        <f>IF(M20&gt;0, ABS(N20)*(L20-$D$16),0)</f>
        <v/>
      </c>
    </row>
    <row r="21">
      <c r="B21" s="15" t="n">
        <v>8</v>
      </c>
      <c r="D21" s="15" t="inlineStr">
        <is>
          <t>-</t>
        </is>
      </c>
      <c r="E21" s="15" t="n">
        <v>5.686</v>
      </c>
      <c r="F21" s="15" t="n">
        <v>195.879</v>
      </c>
      <c r="G21" s="15" t="n">
        <v>362.686</v>
      </c>
      <c r="H21" s="15" t="inlineStr">
        <is>
          <t>-</t>
        </is>
      </c>
      <c r="L21" s="15" t="n">
        <v>19</v>
      </c>
      <c r="M21" s="15">
        <f>IF(L21&lt;$D$16,$D$12,IF(L21&lt;$E$16,$E$12,$F$13))</f>
        <v/>
      </c>
      <c r="N21" s="15">
        <f>M21-V21</f>
        <v/>
      </c>
      <c r="O21" s="15" t="n">
        <v>0</v>
      </c>
      <c r="P21" s="15">
        <f>INT((2^$J$12-1)*O21/100)/(2^$J$12-1)*100</f>
        <v/>
      </c>
      <c r="Q21" s="15" t="n">
        <v>0</v>
      </c>
      <c r="R21" s="15">
        <f>P21+Q21</f>
        <v/>
      </c>
      <c r="S21" s="15">
        <f>$D$12</f>
        <v/>
      </c>
      <c r="T21" s="15" t="n">
        <v>0</v>
      </c>
      <c r="U21" s="15">
        <f>S21+T21</f>
        <v/>
      </c>
      <c r="V21" s="15">
        <f>INT((2^$J$12-1)*U21/100)/(2^$J$12-1)*100</f>
        <v/>
      </c>
      <c r="X21" s="15">
        <f>M21 * 1.05</f>
        <v/>
      </c>
      <c r="Y21" s="15">
        <f>M21 * 0.95</f>
        <v/>
      </c>
      <c r="Z21" s="15">
        <f>IF(AND(V21 &lt;= X21, V21 &gt;= Y21), 1, 0)</f>
        <v/>
      </c>
      <c r="AC21" s="15">
        <f>N21^2</f>
        <v/>
      </c>
      <c r="AD21" s="15">
        <f>ABS(N21)</f>
        <v/>
      </c>
      <c r="AE21" s="15">
        <f>IF(M21&gt;0, ABS(N21)*(L21-$D$16),0)</f>
        <v/>
      </c>
    </row>
    <row r="22">
      <c r="B22" s="15" t="n">
        <v>12</v>
      </c>
      <c r="D22" s="15" t="n">
        <v>130</v>
      </c>
      <c r="E22" s="15" t="n">
        <v>0.745</v>
      </c>
      <c r="F22" s="15" t="n">
        <v>34.036</v>
      </c>
      <c r="G22" s="15" t="n">
        <v>57.073</v>
      </c>
      <c r="H22" s="15" t="n">
        <v>9530.273999999999</v>
      </c>
      <c r="L22" s="15" t="n">
        <v>20</v>
      </c>
      <c r="M22" s="15">
        <f>IF(L22&lt;$D$16,$D$12,IF(L22&lt;$E$16,$E$12,$F$13))</f>
        <v/>
      </c>
      <c r="N22" s="15">
        <f>M22-V22</f>
        <v/>
      </c>
      <c r="O22" s="15" t="n">
        <v>0</v>
      </c>
      <c r="P22" s="15">
        <f>INT((2^$J$12-1)*O22/100)/(2^$J$12-1)*100</f>
        <v/>
      </c>
      <c r="Q22" s="15" t="n">
        <v>0</v>
      </c>
      <c r="R22" s="15">
        <f>P22+Q22</f>
        <v/>
      </c>
      <c r="S22" s="15">
        <f>$D$12</f>
        <v/>
      </c>
      <c r="T22" s="15" t="n">
        <v>0</v>
      </c>
      <c r="U22" s="15">
        <f>S22+T22</f>
        <v/>
      </c>
      <c r="V22" s="15">
        <f>INT((2^$J$12-1)*U22/100)/(2^$J$12-1)*100</f>
        <v/>
      </c>
      <c r="X22" s="15">
        <f>M22 * 1.05</f>
        <v/>
      </c>
      <c r="Y22" s="15">
        <f>M22 * 0.95</f>
        <v/>
      </c>
      <c r="Z22" s="15">
        <f>IF(AND(V22 &lt;= X22, V22 &gt;= Y22), 1, 0)</f>
        <v/>
      </c>
      <c r="AC22" s="15">
        <f>N22^2</f>
        <v/>
      </c>
      <c r="AD22" s="15">
        <f>ABS(N22)</f>
        <v/>
      </c>
      <c r="AE22" s="15">
        <f>IF(M22&gt;0, ABS(N22)*(L22-$D$16),0)</f>
        <v/>
      </c>
    </row>
    <row r="23">
      <c r="B23" s="15" t="n">
        <v>16</v>
      </c>
      <c r="D23" s="15" t="n">
        <v>133</v>
      </c>
      <c r="E23" s="15" t="n">
        <v>1.154</v>
      </c>
      <c r="F23" s="15" t="n">
        <v>33.227</v>
      </c>
      <c r="G23" s="15" t="n">
        <v>43.022</v>
      </c>
      <c r="H23" s="15" t="n">
        <v>1614.437</v>
      </c>
      <c r="L23" s="15" t="n">
        <v>21</v>
      </c>
      <c r="M23" s="15">
        <f>IF(L23&lt;$D$16,$D$12,IF(L23&lt;$E$16,$E$12,$F$13))</f>
        <v/>
      </c>
      <c r="N23" s="15">
        <f>M23-V23</f>
        <v/>
      </c>
      <c r="O23" s="15" t="n">
        <v>0</v>
      </c>
      <c r="P23" s="15">
        <f>INT((2^$J$12-1)*O23/100)/(2^$J$12-1)*100</f>
        <v/>
      </c>
      <c r="Q23" s="15" t="n">
        <v>0</v>
      </c>
      <c r="R23" s="15">
        <f>P23+Q23</f>
        <v/>
      </c>
      <c r="S23" s="15">
        <f>$D$12</f>
        <v/>
      </c>
      <c r="T23" s="15" t="n">
        <v>0</v>
      </c>
      <c r="U23" s="15">
        <f>S23+T23</f>
        <v/>
      </c>
      <c r="V23" s="15">
        <f>INT((2^$J$12-1)*U23/100)/(2^$J$12-1)*100</f>
        <v/>
      </c>
      <c r="X23" s="15">
        <f>M23 * 1.05</f>
        <v/>
      </c>
      <c r="Y23" s="15">
        <f>M23 * 0.95</f>
        <v/>
      </c>
      <c r="Z23" s="15">
        <f>IF(AND(V23 &lt;= X23, V23 &gt;= Y23), 1, 0)</f>
        <v/>
      </c>
      <c r="AC23" s="15">
        <f>N23^2</f>
        <v/>
      </c>
      <c r="AD23" s="15">
        <f>ABS(N23)</f>
        <v/>
      </c>
      <c r="AE23" s="15">
        <f>IF(M23&gt;0, ABS(N23)*(L23-$D$16),0)</f>
        <v/>
      </c>
    </row>
    <row r="24">
      <c r="B24" s="15" t="n">
        <v>32</v>
      </c>
      <c r="D24" s="15" t="n">
        <v>133</v>
      </c>
      <c r="E24" s="15" t="n">
        <v>1.175</v>
      </c>
      <c r="F24" s="15" t="n">
        <v>33.205</v>
      </c>
      <c r="G24" s="15" t="n">
        <v>42.182</v>
      </c>
      <c r="H24" s="15" t="n">
        <v>1112.166</v>
      </c>
      <c r="L24" s="15" t="n">
        <v>22</v>
      </c>
      <c r="M24" s="15">
        <f>IF(L24&lt;$D$16,$D$12,IF(L24&lt;$E$16,$E$12,$F$13))</f>
        <v/>
      </c>
      <c r="N24" s="15">
        <f>M24-V24</f>
        <v/>
      </c>
      <c r="O24" s="15" t="n">
        <v>0</v>
      </c>
      <c r="P24" s="15">
        <f>INT((2^$J$12-1)*O24/100)/(2^$J$12-1)*100</f>
        <v/>
      </c>
      <c r="Q24" s="15" t="n">
        <v>0</v>
      </c>
      <c r="R24" s="15">
        <f>P24+Q24</f>
        <v/>
      </c>
      <c r="S24" s="15">
        <f>$D$12</f>
        <v/>
      </c>
      <c r="T24" s="15" t="n">
        <v>0</v>
      </c>
      <c r="U24" s="15">
        <f>S24+T24</f>
        <v/>
      </c>
      <c r="V24" s="15">
        <f>INT((2^$J$12-1)*U24/100)/(2^$J$12-1)*100</f>
        <v/>
      </c>
      <c r="X24" s="15">
        <f>M24 * 1.05</f>
        <v/>
      </c>
      <c r="Y24" s="15">
        <f>M24 * 0.95</f>
        <v/>
      </c>
      <c r="Z24" s="15">
        <f>IF(AND(V24 &lt;= X24, V24 &gt;= Y24), 1, 0)</f>
        <v/>
      </c>
      <c r="AC24" s="15">
        <f>N24^2</f>
        <v/>
      </c>
      <c r="AD24" s="15">
        <f>ABS(N24)</f>
        <v/>
      </c>
      <c r="AE24" s="15">
        <f>IF(M24&gt;0, ABS(N24)*(L24-$D$16),0)</f>
        <v/>
      </c>
    </row>
    <row r="25">
      <c r="L25" s="15" t="n">
        <v>23</v>
      </c>
      <c r="M25" s="15">
        <f>IF(L25&lt;$D$16,$D$12,IF(L25&lt;$E$16,$E$12,$F$13))</f>
        <v/>
      </c>
      <c r="N25" s="15">
        <f>M25-V25</f>
        <v/>
      </c>
      <c r="O25" s="15" t="n">
        <v>0</v>
      </c>
      <c r="P25" s="15">
        <f>INT((2^$J$12-1)*O25/100)/(2^$J$12-1)*100</f>
        <v/>
      </c>
      <c r="Q25" s="15" t="n">
        <v>0</v>
      </c>
      <c r="R25" s="15">
        <f>P25+Q25</f>
        <v/>
      </c>
      <c r="S25" s="15">
        <f>$D$12</f>
        <v/>
      </c>
      <c r="T25" s="15" t="n">
        <v>0</v>
      </c>
      <c r="U25" s="15">
        <f>S25+T25</f>
        <v/>
      </c>
      <c r="V25" s="15">
        <f>INT((2^$J$12-1)*U25/100)/(2^$J$12-1)*100</f>
        <v/>
      </c>
      <c r="X25" s="15">
        <f>M25 * 1.05</f>
        <v/>
      </c>
      <c r="Y25" s="15">
        <f>M25 * 0.95</f>
        <v/>
      </c>
      <c r="Z25" s="15">
        <f>IF(AND(V25 &lt;= X25, V25 &gt;= Y25), 1, 0)</f>
        <v/>
      </c>
      <c r="AC25" s="15">
        <f>N25^2</f>
        <v/>
      </c>
      <c r="AD25" s="15">
        <f>ABS(N25)</f>
        <v/>
      </c>
      <c r="AE25" s="15">
        <f>IF(M25&gt;0, ABS(N25)*(L25-$D$16),0)</f>
        <v/>
      </c>
    </row>
    <row r="26">
      <c r="L26" s="15" t="n">
        <v>24</v>
      </c>
      <c r="M26" s="15">
        <f>IF(L26&lt;$D$16,$D$12,IF(L26&lt;$E$16,$E$12,$F$13))</f>
        <v/>
      </c>
      <c r="N26" s="15">
        <f>M26-V26</f>
        <v/>
      </c>
      <c r="O26" s="15" t="n">
        <v>0</v>
      </c>
      <c r="P26" s="15">
        <f>INT((2^$J$12-1)*O26/100)/(2^$J$12-1)*100</f>
        <v/>
      </c>
      <c r="Q26" s="15" t="n">
        <v>0</v>
      </c>
      <c r="R26" s="15">
        <f>P26+Q26</f>
        <v/>
      </c>
      <c r="S26" s="15">
        <f>$D$12</f>
        <v/>
      </c>
      <c r="T26" s="15" t="n">
        <v>0</v>
      </c>
      <c r="U26" s="15">
        <f>S26+T26</f>
        <v/>
      </c>
      <c r="V26" s="15">
        <f>INT((2^$J$12-1)*U26/100)/(2^$J$12-1)*100</f>
        <v/>
      </c>
      <c r="X26" s="15">
        <f>M26 * 1.05</f>
        <v/>
      </c>
      <c r="Y26" s="15">
        <f>M26 * 0.95</f>
        <v/>
      </c>
      <c r="Z26" s="15">
        <f>IF(AND(V26 &lt;= X26, V26 &gt;= Y26), 1, 0)</f>
        <v/>
      </c>
      <c r="AC26" s="15">
        <f>N26^2</f>
        <v/>
      </c>
      <c r="AD26" s="15">
        <f>ABS(N26)</f>
        <v/>
      </c>
      <c r="AE26" s="15">
        <f>IF(M26&gt;0, ABS(N26)*(L26-$D$16),0)</f>
        <v/>
      </c>
    </row>
    <row r="27" ht="18" customHeight="1">
      <c r="A27" s="32" t="inlineStr">
        <is>
          <t xml:space="preserve">Tц, с </t>
        </is>
      </c>
      <c r="B27" s="33" t="inlineStr">
        <is>
          <t xml:space="preserve">1 </t>
        </is>
      </c>
      <c r="C27" s="33" t="inlineStr">
        <is>
          <t xml:space="preserve">2 </t>
        </is>
      </c>
      <c r="D27" s="33" t="inlineStr">
        <is>
          <t xml:space="preserve">3 </t>
        </is>
      </c>
      <c r="E27" s="33" t="inlineStr">
        <is>
          <t xml:space="preserve">4 </t>
        </is>
      </c>
      <c r="F27" s="33" t="inlineStr">
        <is>
          <t xml:space="preserve">5 </t>
        </is>
      </c>
      <c r="G27" s="34" t="inlineStr">
        <is>
          <t xml:space="preserve">6 </t>
        </is>
      </c>
      <c r="H27" s="34" t="n">
        <v>7</v>
      </c>
      <c r="I27" s="34" t="n">
        <v>8</v>
      </c>
      <c r="J27" s="34" t="n">
        <v>9</v>
      </c>
      <c r="K27" s="34" t="n">
        <v>10</v>
      </c>
      <c r="L27" s="15" t="n">
        <v>25</v>
      </c>
      <c r="M27" s="15">
        <f>IF(L27&lt;$D$16,$D$12,IF(L27&lt;$E$16,$E$12,$F$13))</f>
        <v/>
      </c>
      <c r="N27" s="15">
        <f>M27-V27</f>
        <v/>
      </c>
      <c r="O27" s="15" t="n">
        <v>0</v>
      </c>
      <c r="P27" s="15">
        <f>INT((2^$J$12-1)*O27/100)/(2^$J$12-1)*100</f>
        <v/>
      </c>
      <c r="Q27" s="15" t="n">
        <v>0</v>
      </c>
      <c r="R27" s="15">
        <f>P27+Q27</f>
        <v/>
      </c>
      <c r="S27" s="15">
        <f>$D$12</f>
        <v/>
      </c>
      <c r="T27" s="15" t="n">
        <v>0</v>
      </c>
      <c r="U27" s="15">
        <f>S27+T27</f>
        <v/>
      </c>
      <c r="V27" s="15">
        <f>INT((2^$J$12-1)*U27/100)/(2^$J$12-1)*100</f>
        <v/>
      </c>
      <c r="X27" s="15">
        <f>M27 * 1.05</f>
        <v/>
      </c>
      <c r="Y27" s="15">
        <f>M27 * 0.95</f>
        <v/>
      </c>
      <c r="Z27" s="15">
        <f>IF(AND(V27 &lt;= X27, V27 &gt;= Y27), 1, 0)</f>
        <v/>
      </c>
      <c r="AC27" s="15">
        <f>N27^2</f>
        <v/>
      </c>
      <c r="AD27" s="15">
        <f>ABS(N27)</f>
        <v/>
      </c>
      <c r="AE27" s="15">
        <f>IF(M27&gt;0, ABS(N27)*(L27-$D$16),0)</f>
        <v/>
      </c>
    </row>
    <row r="28" ht="18.6" customHeight="1" thickBot="1">
      <c r="A28" s="35" t="inlineStr">
        <is>
          <t xml:space="preserve">Tрег, с </t>
        </is>
      </c>
      <c r="B28" s="15" t="n">
        <v>127</v>
      </c>
      <c r="C28" s="15" t="n">
        <v>129</v>
      </c>
      <c r="D28" s="15" t="n">
        <v>133</v>
      </c>
      <c r="E28" s="15" t="n">
        <v>132</v>
      </c>
      <c r="F28" s="15" t="n">
        <v>134</v>
      </c>
      <c r="G28" s="15" t="n">
        <v>137</v>
      </c>
      <c r="H28" s="15" t="n">
        <v>138</v>
      </c>
      <c r="I28" s="15" t="n">
        <v>168</v>
      </c>
      <c r="J28" s="15" t="n">
        <v>179</v>
      </c>
      <c r="K28" s="15" t="n">
        <v>178</v>
      </c>
      <c r="L28" s="15" t="n">
        <v>26</v>
      </c>
      <c r="M28" s="15">
        <f>IF(L28&lt;$D$16,$D$12,IF(L28&lt;$E$16,$E$12,$F$13))</f>
        <v/>
      </c>
      <c r="N28" s="15">
        <f>M28-V28</f>
        <v/>
      </c>
      <c r="O28" s="15" t="n">
        <v>0</v>
      </c>
      <c r="P28" s="15">
        <f>INT((2^$J$12-1)*O28/100)/(2^$J$12-1)*100</f>
        <v/>
      </c>
      <c r="Q28" s="15" t="n">
        <v>0</v>
      </c>
      <c r="R28" s="15">
        <f>P28+Q28</f>
        <v/>
      </c>
      <c r="S28" s="15">
        <f>$D$12</f>
        <v/>
      </c>
      <c r="T28" s="15" t="n">
        <v>0</v>
      </c>
      <c r="U28" s="15">
        <f>S28+T28</f>
        <v/>
      </c>
      <c r="V28" s="15">
        <f>INT((2^$J$12-1)*U28/100)/(2^$J$12-1)*100</f>
        <v/>
      </c>
      <c r="X28" s="15">
        <f>M28 * 1.05</f>
        <v/>
      </c>
      <c r="Y28" s="15">
        <f>M28 * 0.95</f>
        <v/>
      </c>
      <c r="Z28" s="15">
        <f>IF(AND(V28 &lt;= X28, V28 &gt;= Y28), 1, 0)</f>
        <v/>
      </c>
      <c r="AC28" s="15">
        <f>N28^2</f>
        <v/>
      </c>
      <c r="AD28" s="15">
        <f>ABS(N28)</f>
        <v/>
      </c>
      <c r="AE28" s="15">
        <f>IF(M28&gt;0, ABS(N28)*(L28-$D$16),0)</f>
        <v/>
      </c>
    </row>
    <row r="29" ht="18.6" customHeight="1" thickBot="1">
      <c r="A29" s="36" t="inlineStr">
        <is>
          <t xml:space="preserve">σ, % </t>
        </is>
      </c>
      <c r="B29" s="15" t="n">
        <v>0.727</v>
      </c>
      <c r="C29" s="15" t="n">
        <v>0.925</v>
      </c>
      <c r="D29" s="15">
        <f>E23</f>
        <v/>
      </c>
      <c r="E29" s="15" t="n">
        <v>1.383</v>
      </c>
      <c r="F29" s="15" t="n">
        <v>1.627</v>
      </c>
      <c r="G29" s="15" t="n">
        <v>1.856</v>
      </c>
      <c r="H29" s="15" t="n">
        <v>2.116</v>
      </c>
      <c r="I29" s="15" t="n">
        <v>2.345</v>
      </c>
      <c r="J29" s="15" t="n">
        <v>2.573</v>
      </c>
      <c r="K29" s="15" t="n">
        <v>2.833</v>
      </c>
      <c r="L29" s="15" t="n">
        <v>27</v>
      </c>
      <c r="M29" s="15">
        <f>IF(L29&lt;$D$16,$D$12,IF(L29&lt;$E$16,$E$12,$F$13))</f>
        <v/>
      </c>
      <c r="N29" s="15">
        <f>M29-V29</f>
        <v/>
      </c>
      <c r="O29" s="15" t="n">
        <v>0</v>
      </c>
      <c r="P29" s="15">
        <f>INT((2^$J$12-1)*O29/100)/(2^$J$12-1)*100</f>
        <v/>
      </c>
      <c r="Q29" s="15" t="n">
        <v>0</v>
      </c>
      <c r="R29" s="15">
        <f>P29+Q29</f>
        <v/>
      </c>
      <c r="S29" s="15">
        <f>$D$12</f>
        <v/>
      </c>
      <c r="T29" s="15" t="n">
        <v>0</v>
      </c>
      <c r="U29" s="15">
        <f>S29+T29</f>
        <v/>
      </c>
      <c r="V29" s="15">
        <f>INT((2^$J$12-1)*U29/100)/(2^$J$12-1)*100</f>
        <v/>
      </c>
      <c r="X29" s="15">
        <f>M29 * 1.05</f>
        <v/>
      </c>
      <c r="Y29" s="15">
        <f>M29 * 0.95</f>
        <v/>
      </c>
      <c r="Z29" s="15">
        <f>IF(AND(V29 &lt;= X29, V29 &gt;= Y29), 1, 0)</f>
        <v/>
      </c>
      <c r="AC29" s="15">
        <f>N29^2</f>
        <v/>
      </c>
      <c r="AD29" s="15">
        <f>ABS(N29)</f>
        <v/>
      </c>
      <c r="AE29" s="15">
        <f>IF(M29&gt;0, ABS(N29)*(L29-$D$16),0)</f>
        <v/>
      </c>
    </row>
    <row r="30" ht="18" customHeight="1">
      <c r="A30" s="37" t="inlineStr">
        <is>
          <t xml:space="preserve">I2 </t>
        </is>
      </c>
      <c r="B30" s="15" t="n">
        <v>30.717</v>
      </c>
      <c r="C30" s="15" t="n">
        <v>30.953</v>
      </c>
      <c r="D30" s="15">
        <f>F23</f>
        <v/>
      </c>
      <c r="E30" s="15" t="n">
        <v>31.542</v>
      </c>
      <c r="F30" s="15" t="n">
        <v>31.895</v>
      </c>
      <c r="G30" s="15" t="n">
        <v>34.302</v>
      </c>
      <c r="H30" s="15" t="n">
        <v>34.738</v>
      </c>
      <c r="I30" s="15" t="n">
        <v>33.239</v>
      </c>
      <c r="J30" s="15" t="n">
        <v>38.732</v>
      </c>
      <c r="K30" s="15" t="n">
        <v>34.326</v>
      </c>
      <c r="L30" s="15" t="n">
        <v>28</v>
      </c>
      <c r="M30" s="15">
        <f>IF(L30&lt;$D$16,$D$12,IF(L30&lt;$E$16,$E$12,$F$13))</f>
        <v/>
      </c>
      <c r="N30" s="15">
        <f>M30-V30</f>
        <v/>
      </c>
      <c r="O30" s="15" t="n">
        <v>0</v>
      </c>
      <c r="P30" s="15">
        <f>INT((2^$J$12-1)*O30/100)/(2^$J$12-1)*100</f>
        <v/>
      </c>
      <c r="Q30" s="15" t="n">
        <v>0</v>
      </c>
      <c r="R30" s="15">
        <f>P30+Q30</f>
        <v/>
      </c>
      <c r="S30" s="15">
        <f>$D$12</f>
        <v/>
      </c>
      <c r="T30" s="15" t="n">
        <v>0</v>
      </c>
      <c r="U30" s="15">
        <f>S30+T30</f>
        <v/>
      </c>
      <c r="V30" s="15">
        <f>INT((2^$J$12-1)*U30/100)/(2^$J$12-1)*100</f>
        <v/>
      </c>
      <c r="X30" s="15">
        <f>M30 * 1.05</f>
        <v/>
      </c>
      <c r="Y30" s="15">
        <f>M30 * 0.95</f>
        <v/>
      </c>
      <c r="Z30" s="15">
        <f>IF(AND(V30 &lt;= X30, V30 &gt;= Y30), 1, 0)</f>
        <v/>
      </c>
      <c r="AC30" s="15">
        <f>N30^2</f>
        <v/>
      </c>
      <c r="AD30" s="15">
        <f>ABS(N30)</f>
        <v/>
      </c>
      <c r="AE30" s="15">
        <f>IF(M30&gt;0, ABS(N30)*(L30-$D$16),0)</f>
        <v/>
      </c>
    </row>
    <row r="31" ht="18" customHeight="1">
      <c r="A31" s="37" t="inlineStr">
        <is>
          <t xml:space="preserve">I3 </t>
        </is>
      </c>
      <c r="B31" s="15" t="n">
        <v>39.961</v>
      </c>
      <c r="C31" s="15" t="n">
        <v>40.361</v>
      </c>
      <c r="D31" s="15">
        <f>G23</f>
        <v/>
      </c>
      <c r="E31" s="15" t="n">
        <v>41.907</v>
      </c>
      <c r="F31" s="15" t="n">
        <v>43.187</v>
      </c>
      <c r="G31" s="15" t="n">
        <v>46.472</v>
      </c>
      <c r="H31" s="15" t="n">
        <v>47.893</v>
      </c>
      <c r="I31" s="15" t="n">
        <v>47.675</v>
      </c>
      <c r="J31" s="15" t="n">
        <v>54.423</v>
      </c>
      <c r="K31" s="15" t="n">
        <v>51.269</v>
      </c>
      <c r="L31" s="15" t="n">
        <v>29</v>
      </c>
      <c r="M31" s="15">
        <f>IF(L31&lt;$D$16,$D$12,IF(L31&lt;$E$16,$E$12,$F$13))</f>
        <v/>
      </c>
      <c r="N31" s="15">
        <f>M31-V31</f>
        <v/>
      </c>
      <c r="O31" s="15" t="n">
        <v>0</v>
      </c>
      <c r="P31" s="15">
        <f>INT((2^$J$12-1)*O31/100)/(2^$J$12-1)*100</f>
        <v/>
      </c>
      <c r="Q31" s="15" t="n">
        <v>0</v>
      </c>
      <c r="R31" s="15">
        <f>P31+Q31</f>
        <v/>
      </c>
      <c r="S31" s="15">
        <f>$D$12</f>
        <v/>
      </c>
      <c r="T31" s="15" t="n">
        <v>0</v>
      </c>
      <c r="U31" s="15">
        <f>S31+T31</f>
        <v/>
      </c>
      <c r="V31" s="15">
        <f>INT((2^$J$12-1)*U31/100)/(2^$J$12-1)*100</f>
        <v/>
      </c>
      <c r="X31" s="15">
        <f>M31 * 1.05</f>
        <v/>
      </c>
      <c r="Y31" s="15">
        <f>M31 * 0.95</f>
        <v/>
      </c>
      <c r="Z31" s="15">
        <f>IF(AND(V31 &lt;= X31, V31 &gt;= Y31), 1, 0)</f>
        <v/>
      </c>
      <c r="AC31" s="15">
        <f>N31^2</f>
        <v/>
      </c>
      <c r="AD31" s="15">
        <f>ABS(N31)</f>
        <v/>
      </c>
      <c r="AE31" s="15">
        <f>IF(M31&gt;0, ABS(N31)*(L31-$D$16),0)</f>
        <v/>
      </c>
    </row>
    <row r="32" ht="18" customHeight="1">
      <c r="A32" s="37" t="inlineStr">
        <is>
          <t>I4</t>
        </is>
      </c>
      <c r="B32" s="15" t="n">
        <v>1442.344</v>
      </c>
      <c r="C32" s="15" t="n">
        <v>1463.629</v>
      </c>
      <c r="D32" s="15">
        <f>H23</f>
        <v/>
      </c>
      <c r="E32" s="15" t="n">
        <v>1597.102</v>
      </c>
      <c r="F32" s="15" t="n">
        <v>1743.987</v>
      </c>
      <c r="G32" s="15" t="n">
        <v>1931.309</v>
      </c>
      <c r="H32" s="15" t="n">
        <v>2047.454</v>
      </c>
      <c r="I32" s="15" t="n">
        <v>2174.085</v>
      </c>
      <c r="J32" s="15" t="n">
        <v>2662.408</v>
      </c>
      <c r="K32" s="15" t="n">
        <v>2586.51</v>
      </c>
      <c r="L32" s="15" t="n">
        <v>30</v>
      </c>
      <c r="M32" s="15">
        <f>IF(L32&lt;$D$16,$D$12,IF(L32&lt;$E$16,$E$12,$F$13))</f>
        <v/>
      </c>
      <c r="N32" s="15">
        <f>M32-V32</f>
        <v/>
      </c>
      <c r="O32" s="15" t="n">
        <v>0</v>
      </c>
      <c r="P32" s="15">
        <f>INT((2^$J$12-1)*O32/100)/(2^$J$12-1)*100</f>
        <v/>
      </c>
      <c r="Q32" s="15" t="n">
        <v>0</v>
      </c>
      <c r="R32" s="15">
        <f>P32+Q32</f>
        <v/>
      </c>
      <c r="S32" s="15">
        <f>$D$12</f>
        <v/>
      </c>
      <c r="T32" s="15" t="n">
        <v>0</v>
      </c>
      <c r="U32" s="15">
        <f>S32+T32</f>
        <v/>
      </c>
      <c r="V32" s="15">
        <f>INT((2^$J$12-1)*U32/100)/(2^$J$12-1)*100</f>
        <v/>
      </c>
      <c r="X32" s="15">
        <f>M32 * 1.05</f>
        <v/>
      </c>
      <c r="Y32" s="15">
        <f>M32 * 0.95</f>
        <v/>
      </c>
      <c r="Z32" s="15">
        <f>IF(AND(V32 &lt;= X32, V32 &gt;= Y32), 1, 0)</f>
        <v/>
      </c>
      <c r="AC32" s="15">
        <f>N32^2</f>
        <v/>
      </c>
      <c r="AD32" s="15">
        <f>ABS(N32)</f>
        <v/>
      </c>
      <c r="AE32" s="15">
        <f>IF(M32&gt;0, ABS(N32)*(L32-$D$16),0)</f>
        <v/>
      </c>
    </row>
    <row r="33">
      <c r="L33" s="15" t="n">
        <v>31</v>
      </c>
      <c r="M33" s="15">
        <f>IF(L33&lt;$D$16,$D$12,IF(L33&lt;$E$16,$E$12,$F$13))</f>
        <v/>
      </c>
      <c r="N33" s="15">
        <f>M33-V33</f>
        <v/>
      </c>
      <c r="O33" s="15" t="n">
        <v>0</v>
      </c>
      <c r="P33" s="15">
        <f>INT((2^$J$12-1)*O33/100)/(2^$J$12-1)*100</f>
        <v/>
      </c>
      <c r="Q33" s="15" t="n">
        <v>0</v>
      </c>
      <c r="R33" s="15">
        <f>P33+Q33</f>
        <v/>
      </c>
      <c r="S33" s="15">
        <f>$D$12</f>
        <v/>
      </c>
      <c r="T33" s="15" t="n">
        <v>0</v>
      </c>
      <c r="U33" s="15">
        <f>S33+T33</f>
        <v/>
      </c>
      <c r="V33" s="15">
        <f>INT((2^$J$12-1)*U33/100)/(2^$J$12-1)*100</f>
        <v/>
      </c>
      <c r="X33" s="15">
        <f>M33 * 1.05</f>
        <v/>
      </c>
      <c r="Y33" s="15">
        <f>M33 * 0.95</f>
        <v/>
      </c>
      <c r="Z33" s="15">
        <f>IF(AND(V33 &lt;= X33, V33 &gt;= Y33), 1, 0)</f>
        <v/>
      </c>
      <c r="AC33" s="15">
        <f>N33^2</f>
        <v/>
      </c>
      <c r="AD33" s="15">
        <f>ABS(N33)</f>
        <v/>
      </c>
      <c r="AE33" s="15">
        <f>IF(M33&gt;0, ABS(N33)*(L33-$D$16),0)</f>
        <v/>
      </c>
    </row>
    <row r="34">
      <c r="L34" s="15" t="n">
        <v>32</v>
      </c>
      <c r="M34" s="15">
        <f>IF(L34&lt;$D$16,$D$12,IF(L34&lt;$E$16,$E$12,$F$13))</f>
        <v/>
      </c>
      <c r="N34" s="15">
        <f>M34-V34</f>
        <v/>
      </c>
      <c r="O34" s="15" t="n">
        <v>0</v>
      </c>
      <c r="P34" s="15">
        <f>INT((2^$J$12-1)*O34/100)/(2^$J$12-1)*100</f>
        <v/>
      </c>
      <c r="Q34" s="15" t="n">
        <v>0</v>
      </c>
      <c r="R34" s="15">
        <f>P34+Q34</f>
        <v/>
      </c>
      <c r="S34" s="15">
        <f>$D$12</f>
        <v/>
      </c>
      <c r="T34" s="15" t="n">
        <v>0</v>
      </c>
      <c r="U34" s="15">
        <f>S34+T34</f>
        <v/>
      </c>
      <c r="V34" s="15">
        <f>INT((2^$J$12-1)*U34/100)/(2^$J$12-1)*100</f>
        <v/>
      </c>
      <c r="X34" s="15">
        <f>M34 * 1.05</f>
        <v/>
      </c>
      <c r="Y34" s="15">
        <f>M34 * 0.95</f>
        <v/>
      </c>
      <c r="Z34" s="15">
        <f>IF(AND(V34 &lt;= X34, V34 &gt;= Y34), 1, 0)</f>
        <v/>
      </c>
      <c r="AC34" s="15">
        <f>N34^2</f>
        <v/>
      </c>
      <c r="AD34" s="15">
        <f>ABS(N34)</f>
        <v/>
      </c>
      <c r="AE34" s="15">
        <f>IF(M34&gt;0, ABS(N34)*(L34-$D$16),0)</f>
        <v/>
      </c>
    </row>
    <row r="35">
      <c r="A35" s="15" t="inlineStr">
        <is>
          <t>%</t>
        </is>
      </c>
      <c r="B35">
        <f>-20</f>
        <v/>
      </c>
      <c r="C35" t="n">
        <v>0</v>
      </c>
      <c r="D35" t="n">
        <v>20</v>
      </c>
      <c r="L35" s="15" t="n">
        <v>33</v>
      </c>
      <c r="M35" s="15">
        <f>IF(L35&lt;$D$16,$D$12,IF(L35&lt;$E$16,$E$12,$F$13))</f>
        <v/>
      </c>
      <c r="N35" s="15">
        <f>M35-V35</f>
        <v/>
      </c>
      <c r="O35" s="15" t="n">
        <v>0</v>
      </c>
      <c r="P35" s="15">
        <f>INT((2^$J$12-1)*O35/100)/(2^$J$12-1)*100</f>
        <v/>
      </c>
      <c r="Q35" s="15" t="n">
        <v>0</v>
      </c>
      <c r="R35" s="15">
        <f>P35+Q35</f>
        <v/>
      </c>
      <c r="S35" s="15">
        <f>$D$12</f>
        <v/>
      </c>
      <c r="T35" s="15" t="n">
        <v>0</v>
      </c>
      <c r="U35" s="15">
        <f>S35+T35</f>
        <v/>
      </c>
      <c r="V35" s="15">
        <f>INT((2^$J$12-1)*U35/100)/(2^$J$12-1)*100</f>
        <v/>
      </c>
      <c r="X35" s="15">
        <f>M35 * 1.05</f>
        <v/>
      </c>
      <c r="Y35" s="15">
        <f>M35 * 0.95</f>
        <v/>
      </c>
      <c r="Z35" s="15">
        <f>IF(AND(V35 &lt;= X35, V35 &gt;= Y35), 1, 0)</f>
        <v/>
      </c>
      <c r="AC35" s="15">
        <f>N35^2</f>
        <v/>
      </c>
      <c r="AD35" s="15">
        <f>ABS(N35)</f>
        <v/>
      </c>
      <c r="AE35" s="15">
        <f>IF(M35&gt;0, ABS(N35)*(L35-$D$16),0)</f>
        <v/>
      </c>
    </row>
    <row r="36" ht="18.6" customHeight="1" thickBot="1">
      <c r="A36" s="35" t="inlineStr">
        <is>
          <t xml:space="preserve">Tрег, с </t>
        </is>
      </c>
      <c r="B36" s="15" t="n">
        <v>164</v>
      </c>
      <c r="C36" s="15">
        <f>D28</f>
        <v/>
      </c>
      <c r="D36" s="15" t="n">
        <v>133</v>
      </c>
      <c r="L36" s="15" t="n">
        <v>34</v>
      </c>
      <c r="M36" s="15">
        <f>IF(L36&lt;$D$16,$D$12,IF(L36&lt;$E$16,$E$12,$F$13))</f>
        <v/>
      </c>
      <c r="N36" s="15">
        <f>M36-V36</f>
        <v/>
      </c>
      <c r="O36" s="15" t="n">
        <v>0</v>
      </c>
      <c r="P36" s="15">
        <f>INT((2^$J$12-1)*O36/100)/(2^$J$12-1)*100</f>
        <v/>
      </c>
      <c r="Q36" s="15" t="n">
        <v>0</v>
      </c>
      <c r="R36" s="15">
        <f>P36+Q36</f>
        <v/>
      </c>
      <c r="S36" s="15">
        <f>$D$12</f>
        <v/>
      </c>
      <c r="T36" s="15" t="n">
        <v>0</v>
      </c>
      <c r="U36" s="15">
        <f>S36+T36</f>
        <v/>
      </c>
      <c r="V36" s="15">
        <f>INT((2^$J$12-1)*U36/100)/(2^$J$12-1)*100</f>
        <v/>
      </c>
      <c r="X36" s="15">
        <f>M36 * 1.05</f>
        <v/>
      </c>
      <c r="Y36" s="15">
        <f>M36 * 0.95</f>
        <v/>
      </c>
      <c r="Z36" s="15">
        <f>IF(AND(V36 &lt;= X36, V36 &gt;= Y36), 1, 0)</f>
        <v/>
      </c>
      <c r="AC36" s="15">
        <f>N36^2</f>
        <v/>
      </c>
      <c r="AD36" s="15">
        <f>ABS(N36)</f>
        <v/>
      </c>
      <c r="AE36" s="15">
        <f>IF(M36&gt;0, ABS(N36)*(L36-$D$16),0)</f>
        <v/>
      </c>
    </row>
    <row r="37" ht="18.6" customHeight="1" thickBot="1">
      <c r="A37" s="36" t="inlineStr">
        <is>
          <t xml:space="preserve">σ, % </t>
        </is>
      </c>
      <c r="B37" s="15" t="n">
        <v>0</v>
      </c>
      <c r="C37" s="15">
        <f>D29</f>
        <v/>
      </c>
      <c r="D37" s="15" t="n">
        <v>1.154</v>
      </c>
      <c r="L37" s="15" t="n">
        <v>35</v>
      </c>
      <c r="M37" s="15">
        <f>IF(L37&lt;$D$16,$D$12,IF(L37&lt;$E$16,$E$12,$F$13))</f>
        <v/>
      </c>
      <c r="N37" s="15">
        <f>M37-V37</f>
        <v/>
      </c>
      <c r="O37" s="15" t="n">
        <v>0</v>
      </c>
      <c r="P37" s="15">
        <f>INT((2^$J$12-1)*O37/100)/(2^$J$12-1)*100</f>
        <v/>
      </c>
      <c r="Q37" s="15" t="n">
        <v>0</v>
      </c>
      <c r="R37" s="15">
        <f>P37+Q37</f>
        <v/>
      </c>
      <c r="S37" s="15">
        <f>$D$12</f>
        <v/>
      </c>
      <c r="T37" s="15" t="n">
        <v>0</v>
      </c>
      <c r="U37" s="15">
        <f>S37+T37</f>
        <v/>
      </c>
      <c r="V37" s="15">
        <f>INT((2^$J$12-1)*U37/100)/(2^$J$12-1)*100</f>
        <v/>
      </c>
      <c r="X37" s="15">
        <f>M37 * 1.05</f>
        <v/>
      </c>
      <c r="Y37" s="15">
        <f>M37 * 0.95</f>
        <v/>
      </c>
      <c r="Z37" s="15">
        <f>IF(AND(V37 &lt;= X37, V37 &gt;= Y37), 1, 0)</f>
        <v/>
      </c>
      <c r="AC37" s="15">
        <f>N37^2</f>
        <v/>
      </c>
      <c r="AD37" s="15">
        <f>ABS(N37)</f>
        <v/>
      </c>
      <c r="AE37" s="15">
        <f>IF(M37&gt;0, ABS(N37)*(L37-$D$16),0)</f>
        <v/>
      </c>
    </row>
    <row r="38" ht="18" customHeight="1">
      <c r="A38" s="37" t="inlineStr">
        <is>
          <t xml:space="preserve">I2 </t>
        </is>
      </c>
      <c r="B38" s="15" t="n">
        <v>33.731</v>
      </c>
      <c r="C38" s="15">
        <f>D30</f>
        <v/>
      </c>
      <c r="D38" s="15" t="n">
        <v>33.227</v>
      </c>
      <c r="L38" s="15" t="n">
        <v>36</v>
      </c>
      <c r="M38" s="15">
        <f>IF(L38&lt;$D$16,$D$12,IF(L38&lt;$E$16,$E$12,$F$13))</f>
        <v/>
      </c>
      <c r="N38" s="15">
        <f>M38-V38</f>
        <v/>
      </c>
      <c r="O38" s="15" t="n">
        <v>0</v>
      </c>
      <c r="P38" s="15">
        <f>INT((2^$J$12-1)*O38/100)/(2^$J$12-1)*100</f>
        <v/>
      </c>
      <c r="Q38" s="15" t="n">
        <v>0</v>
      </c>
      <c r="R38" s="15">
        <f>P38+Q38</f>
        <v/>
      </c>
      <c r="S38" s="15">
        <f>$D$12</f>
        <v/>
      </c>
      <c r="T38" s="15" t="n">
        <v>0</v>
      </c>
      <c r="U38" s="15">
        <f>S38+T38</f>
        <v/>
      </c>
      <c r="V38" s="15">
        <f>INT((2^$J$12-1)*U38/100)/(2^$J$12-1)*100</f>
        <v/>
      </c>
      <c r="X38" s="15">
        <f>M38 * 1.05</f>
        <v/>
      </c>
      <c r="Y38" s="15">
        <f>M38 * 0.95</f>
        <v/>
      </c>
      <c r="Z38" s="15">
        <f>IF(AND(V38 &lt;= X38, V38 &gt;= Y38), 1, 0)</f>
        <v/>
      </c>
      <c r="AC38" s="15">
        <f>N38^2</f>
        <v/>
      </c>
      <c r="AD38" s="15">
        <f>ABS(N38)</f>
        <v/>
      </c>
      <c r="AE38" s="15">
        <f>IF(M38&gt;0, ABS(N38)*(L38-$D$16),0)</f>
        <v/>
      </c>
    </row>
    <row r="39" ht="18" customHeight="1">
      <c r="A39" s="37" t="inlineStr">
        <is>
          <t xml:space="preserve">I3 </t>
        </is>
      </c>
      <c r="B39" s="15" t="n">
        <v>51.231</v>
      </c>
      <c r="C39" s="15">
        <f>D31</f>
        <v/>
      </c>
      <c r="D39" s="15" t="n">
        <v>43.022</v>
      </c>
      <c r="L39" s="15" t="n">
        <v>37</v>
      </c>
      <c r="M39" s="15">
        <f>IF(L39&lt;$D$16,$D$12,IF(L39&lt;$E$16,$E$12,$F$13))</f>
        <v/>
      </c>
      <c r="N39" s="15">
        <f>M39-V39</f>
        <v/>
      </c>
      <c r="O39" s="15" t="n">
        <v>0</v>
      </c>
      <c r="P39" s="15">
        <f>INT((2^$J$12-1)*O39/100)/(2^$J$12-1)*100</f>
        <v/>
      </c>
      <c r="Q39" s="15" t="n">
        <v>0</v>
      </c>
      <c r="R39" s="15">
        <f>P39+Q39</f>
        <v/>
      </c>
      <c r="S39" s="15">
        <f>$D$12</f>
        <v/>
      </c>
      <c r="T39" s="15" t="n">
        <v>0</v>
      </c>
      <c r="U39" s="15">
        <f>S39+T39</f>
        <v/>
      </c>
      <c r="V39" s="15">
        <f>INT((2^$J$12-1)*U39/100)/(2^$J$12-1)*100</f>
        <v/>
      </c>
      <c r="X39" s="15">
        <f>M39 * 1.05</f>
        <v/>
      </c>
      <c r="Y39" s="15">
        <f>M39 * 0.95</f>
        <v/>
      </c>
      <c r="Z39" s="15">
        <f>IF(AND(V39 &lt;= X39, V39 &gt;= Y39), 1, 0)</f>
        <v/>
      </c>
      <c r="AC39" s="15">
        <f>N39^2</f>
        <v/>
      </c>
      <c r="AD39" s="15">
        <f>ABS(N39)</f>
        <v/>
      </c>
      <c r="AE39" s="15">
        <f>IF(M39&gt;0, ABS(N39)*(L39-$D$16),0)</f>
        <v/>
      </c>
    </row>
    <row r="40" ht="18.6" customHeight="1" thickBot="1">
      <c r="A40" s="37" t="inlineStr">
        <is>
          <t>I4</t>
        </is>
      </c>
      <c r="B40" s="15" t="n">
        <v>2357.889</v>
      </c>
      <c r="C40" s="15">
        <f>D32</f>
        <v/>
      </c>
      <c r="D40" s="15" t="n">
        <v>1614.437</v>
      </c>
      <c r="L40" s="15" t="n">
        <v>38</v>
      </c>
      <c r="M40" s="15">
        <f>IF(L40&lt;$D$16,$D$12,IF(L40&lt;$E$16,$E$12,$F$13))</f>
        <v/>
      </c>
      <c r="N40" s="15">
        <f>M40-V40</f>
        <v/>
      </c>
      <c r="O40" s="15" t="n">
        <v>0</v>
      </c>
      <c r="P40" s="15">
        <f>INT((2^$J$12-1)*O40/100)/(2^$J$12-1)*100</f>
        <v/>
      </c>
      <c r="Q40" s="15" t="n">
        <v>0</v>
      </c>
      <c r="R40" s="15">
        <f>P40+Q40</f>
        <v/>
      </c>
      <c r="S40" s="15">
        <f>$D$12</f>
        <v/>
      </c>
      <c r="T40" s="15" t="n">
        <v>0</v>
      </c>
      <c r="U40" s="15">
        <f>S40+T40</f>
        <v/>
      </c>
      <c r="V40" s="15">
        <f>INT((2^$J$12-1)*U40/100)/(2^$J$12-1)*100</f>
        <v/>
      </c>
      <c r="X40" s="15">
        <f>M40 * 1.05</f>
        <v/>
      </c>
      <c r="Y40" s="15">
        <f>M40 * 0.95</f>
        <v/>
      </c>
      <c r="Z40" s="15">
        <f>IF(AND(V40 &lt;= X40, V40 &gt;= Y40), 1, 0)</f>
        <v/>
      </c>
      <c r="AC40" s="15">
        <f>N40^2</f>
        <v/>
      </c>
      <c r="AD40" s="15">
        <f>ABS(N40)</f>
        <v/>
      </c>
      <c r="AE40" s="15">
        <f>IF(M40&gt;0, ABS(N40)*(L40-$D$16),0)</f>
        <v/>
      </c>
    </row>
    <row r="41">
      <c r="B41" s="38" t="n">
        <v>3.2</v>
      </c>
      <c r="C41" s="38" t="n">
        <v>4</v>
      </c>
      <c r="D41" s="38" t="n">
        <v>4.8</v>
      </c>
      <c r="L41" s="15" t="n">
        <v>39</v>
      </c>
      <c r="M41" s="15">
        <f>IF(L41&lt;$D$16,$D$12,IF(L41&lt;$E$16,$E$12,$F$13))</f>
        <v/>
      </c>
      <c r="N41" s="15">
        <f>M41-V41</f>
        <v/>
      </c>
      <c r="O41" s="15" t="n">
        <v>0</v>
      </c>
      <c r="P41" s="15">
        <f>INT((2^$J$12-1)*O41/100)/(2^$J$12-1)*100</f>
        <v/>
      </c>
      <c r="Q41" s="15" t="n">
        <v>0</v>
      </c>
      <c r="R41" s="15">
        <f>P41+Q41</f>
        <v/>
      </c>
      <c r="S41" s="15">
        <f>$D$12</f>
        <v/>
      </c>
      <c r="T41" s="15" t="n">
        <v>0</v>
      </c>
      <c r="U41" s="15">
        <f>S41+T41</f>
        <v/>
      </c>
      <c r="V41" s="15">
        <f>INT((2^$J$12-1)*U41/100)/(2^$J$12-1)*100</f>
        <v/>
      </c>
      <c r="X41" s="15">
        <f>M41 * 1.05</f>
        <v/>
      </c>
      <c r="Y41" s="15">
        <f>M41 * 0.95</f>
        <v/>
      </c>
      <c r="Z41" s="15">
        <f>IF(AND(V41 &lt;= X41, V41 &gt;= Y41), 1, 0)</f>
        <v/>
      </c>
      <c r="AC41" s="15">
        <f>N41^2</f>
        <v/>
      </c>
      <c r="AD41" s="15">
        <f>ABS(N41)</f>
        <v/>
      </c>
      <c r="AE41" s="15">
        <f>IF(M41&gt;0, ABS(N41)*(L41-$D$16),0)</f>
        <v/>
      </c>
    </row>
    <row r="42">
      <c r="B42" s="39" t="n">
        <v>32</v>
      </c>
      <c r="C42" s="39" t="n">
        <v>40</v>
      </c>
      <c r="D42" s="39" t="n">
        <v>48</v>
      </c>
      <c r="L42" s="15" t="n">
        <v>40</v>
      </c>
      <c r="M42" s="15">
        <f>IF(L42&lt;$D$16,$D$12,IF(L42&lt;$E$16,$E$12,$F$13))</f>
        <v/>
      </c>
      <c r="N42" s="15">
        <f>M42-V42</f>
        <v/>
      </c>
      <c r="O42" s="15">
        <f>IF(MOD(L42,$B$11)=0,OFFSET(O42,-$B$11,0)+ $E$2*N42+$E$3*OFFSET(N42,-$B$11,0)+ $E$4*OFFSET(N42,-2* $B$11,0), O41)</f>
        <v/>
      </c>
      <c r="P42" s="15">
        <f>INT((2^$J$12-1)*O42/100)/(2^$J$12-1)*100</f>
        <v/>
      </c>
      <c r="Q42" s="15" t="n">
        <v>0</v>
      </c>
      <c r="R42" s="15">
        <f>P42+Q42</f>
        <v/>
      </c>
      <c r="S42" s="15">
        <f>$D$12</f>
        <v/>
      </c>
      <c r="T42" s="15" t="n">
        <v>0</v>
      </c>
      <c r="U42" s="15">
        <f>S42+T42</f>
        <v/>
      </c>
      <c r="V42" s="15">
        <f>INT((2^$J$12-1)*U42/100)/(2^$J$12-1)*100</f>
        <v/>
      </c>
      <c r="X42" s="15">
        <f>M42 * 1.05</f>
        <v/>
      </c>
      <c r="Y42" s="15">
        <f>M42 * 0.95</f>
        <v/>
      </c>
      <c r="Z42" s="15">
        <f>IF(AND(V42 &lt;= X42, V42 &gt;= Y42), 1, 0)</f>
        <v/>
      </c>
      <c r="AC42" s="15">
        <f>N42^2</f>
        <v/>
      </c>
      <c r="AD42" s="15">
        <f>ABS(N42)</f>
        <v/>
      </c>
      <c r="AE42" s="15">
        <f>IF(M42&gt;0, ABS(N42)*(L42-$D$16),0)</f>
        <v/>
      </c>
    </row>
    <row r="43">
      <c r="B43" s="39" t="n">
        <v>13.6</v>
      </c>
      <c r="C43" s="39" t="n">
        <v>17</v>
      </c>
      <c r="D43" s="39" t="n">
        <v>20.4</v>
      </c>
      <c r="L43" s="15" t="n">
        <v>41</v>
      </c>
      <c r="M43" s="15">
        <f>IF(L43&lt;$D$16,$D$12,IF(L43&lt;$E$16,$E$12,$F$13))</f>
        <v/>
      </c>
      <c r="N43" s="15">
        <f>M43-V43</f>
        <v/>
      </c>
      <c r="O43" s="15">
        <f>IF(MOD(L43,$B$11)=0,OFFSET(O43,-$B$11,0)+ $E$2*N43+$E$3*OFFSET(N43,-$B$11,0)+ $E$4*OFFSET(N43,-2* $B$11,0), O42)</f>
        <v/>
      </c>
      <c r="P43" s="15">
        <f>INT((2^$J$12-1)*O43/100)/(2^$J$12-1)*100</f>
        <v/>
      </c>
      <c r="Q43" s="15" t="n">
        <v>0</v>
      </c>
      <c r="R43" s="15">
        <f>P43+Q43</f>
        <v/>
      </c>
      <c r="S43" s="15">
        <f>$D$12</f>
        <v/>
      </c>
      <c r="T43" s="15" t="n">
        <v>0</v>
      </c>
      <c r="U43" s="15">
        <f>S43+T43</f>
        <v/>
      </c>
      <c r="V43" s="15">
        <f>INT((2^$J$12-1)*U43/100)/(2^$J$12-1)*100</f>
        <v/>
      </c>
      <c r="X43" s="15">
        <f>M43 * 1.05</f>
        <v/>
      </c>
      <c r="Y43" s="15">
        <f>M43 * 0.95</f>
        <v/>
      </c>
      <c r="Z43" s="15">
        <f>IF(AND(V43 &lt;= X43, V43 &gt;= Y43), 1, 0)</f>
        <v/>
      </c>
      <c r="AC43" s="15">
        <f>N43^2</f>
        <v/>
      </c>
      <c r="AD43" s="15">
        <f>ABS(N43)</f>
        <v/>
      </c>
      <c r="AE43" s="15">
        <f>IF(M43&gt;0, ABS(N43)*(L43-$D$16),0)</f>
        <v/>
      </c>
    </row>
    <row r="44" ht="15" customHeight="1" thickBot="1">
      <c r="B44" s="40" t="n">
        <v>10.4</v>
      </c>
      <c r="C44" s="40" t="n">
        <v>13</v>
      </c>
      <c r="D44" s="40" t="n">
        <v>15.6</v>
      </c>
      <c r="L44" s="15" t="n">
        <v>42</v>
      </c>
      <c r="M44" s="15">
        <f>IF(L44&lt;$D$16,$D$12,IF(L44&lt;$E$16,$E$12,$F$13))</f>
        <v/>
      </c>
      <c r="N44" s="15">
        <f>M44-V44</f>
        <v/>
      </c>
      <c r="O44" s="15">
        <f>IF(MOD(L44,$B$11)=0,OFFSET(O44,-$B$11,0)+ $E$2*N44+$E$3*OFFSET(N44,-$B$11,0)+ $E$4*OFFSET(N44,-2* $B$11,0), O43)</f>
        <v/>
      </c>
      <c r="P44" s="15">
        <f>INT((2^$J$12-1)*O44/100)/(2^$J$12-1)*100</f>
        <v/>
      </c>
      <c r="Q44" s="15" t="n">
        <v>0</v>
      </c>
      <c r="R44" s="15">
        <f>P44+Q44</f>
        <v/>
      </c>
      <c r="S44" s="15">
        <f>$I$1*S43-$I$2*S42+$I$3*R3+$I$4*R2</f>
        <v/>
      </c>
      <c r="T44" s="15" t="n">
        <v>0</v>
      </c>
      <c r="U44" s="15">
        <f>S44+T44</f>
        <v/>
      </c>
      <c r="V44" s="15">
        <f>INT((2^$J$12-1)*U44/100)/(2^$J$12-1)*100</f>
        <v/>
      </c>
      <c r="X44" s="15">
        <f>M44 * 1.05</f>
        <v/>
      </c>
      <c r="Y44" s="15">
        <f>M44 * 0.95</f>
        <v/>
      </c>
      <c r="Z44" s="15">
        <f>IF(AND(V44 &lt;= X44, V44 &gt;= Y44), 1, 0)</f>
        <v/>
      </c>
      <c r="AC44" s="15">
        <f>N44^2</f>
        <v/>
      </c>
      <c r="AD44" s="15">
        <f>ABS(N44)</f>
        <v/>
      </c>
      <c r="AE44" s="15">
        <f>IF(M44&gt;0, ABS(N44)*(L44-$D$16),0)</f>
        <v/>
      </c>
    </row>
    <row r="45">
      <c r="L45" s="15" t="n">
        <v>43</v>
      </c>
      <c r="M45" s="15">
        <f>IF(L45&lt;$D$16,$D$12,IF(L45&lt;$E$16,$E$12,$F$13))</f>
        <v/>
      </c>
      <c r="N45" s="15">
        <f>M45-V45</f>
        <v/>
      </c>
      <c r="O45" s="15">
        <f>IF(MOD(L45,$B$11)=0,OFFSET(O45,-$B$11,0)+ $E$2*N45+$E$3*OFFSET(N45,-$B$11,0)+ $E$4*OFFSET(N45,-2* $B$11,0), O44)</f>
        <v/>
      </c>
      <c r="P45" s="15">
        <f>INT((2^$J$12-1)*O45/100)/(2^$J$12-1)*100</f>
        <v/>
      </c>
      <c r="Q45" s="15" t="n">
        <v>0</v>
      </c>
      <c r="R45" s="15">
        <f>P45+Q45</f>
        <v/>
      </c>
      <c r="S45" s="15">
        <f>$I$1*S44-$I$2*S43+$I$3*R24+$I$4*R23</f>
        <v/>
      </c>
      <c r="T45" s="15" t="n">
        <v>0</v>
      </c>
      <c r="U45" s="15">
        <f>S45+T45</f>
        <v/>
      </c>
      <c r="V45" s="15">
        <f>INT((2^$J$12-1)*U45/100)/(2^$J$12-1)*100</f>
        <v/>
      </c>
      <c r="X45" s="15">
        <f>M45 * 1.05</f>
        <v/>
      </c>
      <c r="Y45" s="15">
        <f>M45 * 0.95</f>
        <v/>
      </c>
      <c r="Z45" s="15">
        <f>IF(AND(V45 &lt;= X45, V45 &gt;= Y45), 1, 0)</f>
        <v/>
      </c>
      <c r="AC45" s="15">
        <f>N45^2</f>
        <v/>
      </c>
      <c r="AD45" s="15">
        <f>ABS(N45)</f>
        <v/>
      </c>
      <c r="AE45" s="15">
        <f>IF(M45&gt;0, ABS(N45)*(L45-$D$16),0)</f>
        <v/>
      </c>
    </row>
    <row r="46">
      <c r="L46" s="15" t="n">
        <v>44</v>
      </c>
      <c r="M46" s="15">
        <f>IF(L46&lt;$D$16,$D$12,IF(L46&lt;$E$16,$E$12,$F$13))</f>
        <v/>
      </c>
      <c r="N46" s="15">
        <f>M46-V46</f>
        <v/>
      </c>
      <c r="O46" s="15">
        <f>IF(MOD(L46,$B$11)=0,OFFSET(O46,-$B$11,0)+ $E$2*N46+$E$3*OFFSET(N46,-$B$11,0)+ $E$4*OFFSET(N46,-2* $B$11,0), O45)</f>
        <v/>
      </c>
      <c r="P46" s="15">
        <f>INT((2^$J$12-1)*O46/100)/(2^$J$12-1)*100</f>
        <v/>
      </c>
      <c r="Q46" s="15" t="n">
        <v>0</v>
      </c>
      <c r="R46" s="15">
        <f>P46+Q46</f>
        <v/>
      </c>
      <c r="S46" s="15">
        <f>$I$1*S45-$I$2*S44+$I$3*R25+$I$4*R24</f>
        <v/>
      </c>
      <c r="T46" s="15" t="n">
        <v>0</v>
      </c>
      <c r="U46" s="15">
        <f>S46+T46</f>
        <v/>
      </c>
      <c r="V46" s="15">
        <f>INT((2^$J$12-1)*U46/100)/(2^$J$12-1)*100</f>
        <v/>
      </c>
      <c r="X46" s="15">
        <f>M46 * 1.05</f>
        <v/>
      </c>
      <c r="Y46" s="15">
        <f>M46 * 0.95</f>
        <v/>
      </c>
      <c r="Z46" s="15">
        <f>IF(AND(V46 &lt;= X46, V46 &gt;= Y46), 1, 0)</f>
        <v/>
      </c>
      <c r="AC46" s="15">
        <f>N46^2</f>
        <v/>
      </c>
      <c r="AD46" s="15">
        <f>ABS(N46)</f>
        <v/>
      </c>
      <c r="AE46" s="15">
        <f>IF(M46&gt;0, ABS(N46)*(L46-$D$16),0)</f>
        <v/>
      </c>
    </row>
    <row r="47">
      <c r="L47" s="15" t="n">
        <v>45</v>
      </c>
      <c r="M47" s="15">
        <f>IF(L47&lt;$D$16,$D$12,IF(L47&lt;$E$16,$E$12,$F$13))</f>
        <v/>
      </c>
      <c r="N47" s="15">
        <f>M47-V47</f>
        <v/>
      </c>
      <c r="O47" s="15">
        <f>IF(MOD(L47,$B$11)=0,OFFSET(O47,-$B$11,0)+ $E$2*N47+$E$3*OFFSET(N47,-$B$11,0)+ $E$4*OFFSET(N47,-2* $B$11,0), O46)</f>
        <v/>
      </c>
      <c r="P47" s="15">
        <f>INT((2^$J$12-1)*O47/100)/(2^$J$12-1)*100</f>
        <v/>
      </c>
      <c r="Q47" s="15" t="n">
        <v>0</v>
      </c>
      <c r="R47" s="15">
        <f>P47+Q47</f>
        <v/>
      </c>
      <c r="S47" s="15">
        <f>$I$1*S46-$I$2*S45+$I$3*R26+$I$4*R25</f>
        <v/>
      </c>
      <c r="T47" s="15" t="n">
        <v>0</v>
      </c>
      <c r="U47" s="15">
        <f>S47+T47</f>
        <v/>
      </c>
      <c r="V47" s="15">
        <f>INT((2^$J$12-1)*U47/100)/(2^$J$12-1)*100</f>
        <v/>
      </c>
      <c r="X47" s="15">
        <f>M47 * 1.05</f>
        <v/>
      </c>
      <c r="Y47" s="15">
        <f>M47 * 0.95</f>
        <v/>
      </c>
      <c r="Z47" s="15">
        <f>IF(AND(V47 &lt;= X47, V47 &gt;= Y47), 1, 0)</f>
        <v/>
      </c>
      <c r="AC47" s="15">
        <f>N47^2</f>
        <v/>
      </c>
      <c r="AD47" s="15">
        <f>ABS(N47)</f>
        <v/>
      </c>
      <c r="AE47" s="15">
        <f>IF(M47&gt;0, ABS(N47)*(L47-$D$16),0)</f>
        <v/>
      </c>
    </row>
    <row r="48">
      <c r="L48" s="15" t="n">
        <v>46</v>
      </c>
      <c r="M48" s="15">
        <f>IF(L48&lt;$D$16,$D$12,IF(L48&lt;$E$16,$E$12,$F$13))</f>
        <v/>
      </c>
      <c r="N48" s="15">
        <f>M48-V48</f>
        <v/>
      </c>
      <c r="O48" s="15">
        <f>IF(MOD(L48,$B$11)=0,OFFSET(O48,-$B$11,0)+ $E$2*N48+$E$3*OFFSET(N48,-$B$11,0)+ $E$4*OFFSET(N48,-2* $B$11,0), O47)</f>
        <v/>
      </c>
      <c r="P48" s="15">
        <f>INT((2^$J$12-1)*O48/100)/(2^$J$12-1)*100</f>
        <v/>
      </c>
      <c r="Q48" s="15" t="n">
        <v>0</v>
      </c>
      <c r="R48" s="15">
        <f>P48+Q48</f>
        <v/>
      </c>
      <c r="S48" s="15">
        <f>$I$1*S47-$I$2*S46+$I$3*R27+$I$4*R26</f>
        <v/>
      </c>
      <c r="T48" s="15" t="n">
        <v>0</v>
      </c>
      <c r="U48" s="15">
        <f>S48+T48</f>
        <v/>
      </c>
      <c r="V48" s="15">
        <f>INT((2^$J$12-1)*U48/100)/(2^$J$12-1)*100</f>
        <v/>
      </c>
      <c r="X48" s="15">
        <f>M48 * 1.05</f>
        <v/>
      </c>
      <c r="Y48" s="15">
        <f>M48 * 0.95</f>
        <v/>
      </c>
      <c r="Z48" s="15">
        <f>IF(AND(V48 &lt;= X48, V48 &gt;= Y48), 1, 0)</f>
        <v/>
      </c>
      <c r="AC48" s="15">
        <f>N48^2</f>
        <v/>
      </c>
      <c r="AD48" s="15">
        <f>ABS(N48)</f>
        <v/>
      </c>
      <c r="AE48" s="15">
        <f>IF(M48&gt;0, ABS(N48)*(L48-$D$16),0)</f>
        <v/>
      </c>
    </row>
    <row r="49">
      <c r="L49" s="15" t="n">
        <v>47</v>
      </c>
      <c r="M49" s="15">
        <f>IF(L49&lt;$D$16,$D$12,IF(L49&lt;$E$16,$E$12,$F$13))</f>
        <v/>
      </c>
      <c r="N49" s="15">
        <f>M49-V49</f>
        <v/>
      </c>
      <c r="O49" s="15">
        <f>IF(MOD(L49,$B$11)=0,OFFSET(O49,-$B$11,0)+ $E$2*N49+$E$3*OFFSET(N49,-$B$11,0)+ $E$4*OFFSET(N49,-2* $B$11,0), O48)</f>
        <v/>
      </c>
      <c r="P49" s="15">
        <f>INT((2^$J$12-1)*O49/100)/(2^$J$12-1)*100</f>
        <v/>
      </c>
      <c r="Q49" s="15" t="n">
        <v>0</v>
      </c>
      <c r="R49" s="15">
        <f>P49+Q49</f>
        <v/>
      </c>
      <c r="S49" s="15">
        <f>$I$1*S48-$I$2*S47+$I$3*R28+$I$4*R27</f>
        <v/>
      </c>
      <c r="T49" s="15" t="n">
        <v>0</v>
      </c>
      <c r="U49" s="15">
        <f>S49+T49</f>
        <v/>
      </c>
      <c r="V49" s="15">
        <f>INT((2^$J$12-1)*U49/100)/(2^$J$12-1)*100</f>
        <v/>
      </c>
      <c r="X49" s="15">
        <f>M49 * 1.05</f>
        <v/>
      </c>
      <c r="Y49" s="15">
        <f>M49 * 0.95</f>
        <v/>
      </c>
      <c r="Z49" s="15">
        <f>IF(AND(V49 &lt;= X49, V49 &gt;= Y49), 1, 0)</f>
        <v/>
      </c>
      <c r="AC49" s="15">
        <f>N49^2</f>
        <v/>
      </c>
      <c r="AD49" s="15">
        <f>ABS(N49)</f>
        <v/>
      </c>
      <c r="AE49" s="15">
        <f>IF(M49&gt;0, ABS(N49)*(L49-$D$16),0)</f>
        <v/>
      </c>
    </row>
    <row r="50">
      <c r="L50" s="15" t="n">
        <v>48</v>
      </c>
      <c r="M50" s="15">
        <f>IF(L50&lt;$D$16,$D$12,IF(L50&lt;$E$16,$E$12,$F$13))</f>
        <v/>
      </c>
      <c r="N50" s="15">
        <f>M50-V50</f>
        <v/>
      </c>
      <c r="O50" s="15">
        <f>IF(MOD(L50,$B$11)=0,OFFSET(O50,-$B$11,0)+ $E$2*N50+$E$3*OFFSET(N50,-$B$11,0)+ $E$4*OFFSET(N50,-2* $B$11,0), O49)</f>
        <v/>
      </c>
      <c r="P50" s="15">
        <f>INT((2^$J$12-1)*O50/100)/(2^$J$12-1)*100</f>
        <v/>
      </c>
      <c r="Q50" s="15" t="n">
        <v>0</v>
      </c>
      <c r="R50" s="15">
        <f>P50+Q50</f>
        <v/>
      </c>
      <c r="S50" s="15">
        <f>$I$1*S49-$I$2*S48+$I$3*R29+$I$4*R28</f>
        <v/>
      </c>
      <c r="T50" s="15" t="n">
        <v>0</v>
      </c>
      <c r="U50" s="15">
        <f>S50+T50</f>
        <v/>
      </c>
      <c r="V50" s="15">
        <f>INT((2^$J$12-1)*U50/100)/(2^$J$12-1)*100</f>
        <v/>
      </c>
      <c r="X50" s="15">
        <f>M50 * 1.05</f>
        <v/>
      </c>
      <c r="Y50" s="15">
        <f>M50 * 0.95</f>
        <v/>
      </c>
      <c r="Z50" s="15">
        <f>IF(AND(V50 &lt;= X50, V50 &gt;= Y50), 1, 0)</f>
        <v/>
      </c>
      <c r="AC50" s="15">
        <f>N50^2</f>
        <v/>
      </c>
      <c r="AD50" s="15">
        <f>ABS(N50)</f>
        <v/>
      </c>
      <c r="AE50" s="15">
        <f>IF(M50&gt;0, ABS(N50)*(L50-$D$16),0)</f>
        <v/>
      </c>
    </row>
    <row r="51">
      <c r="L51" s="15" t="n">
        <v>49</v>
      </c>
      <c r="M51" s="15">
        <f>IF(L51&lt;$D$16,$D$12,IF(L51&lt;$E$16,$E$12,$F$13))</f>
        <v/>
      </c>
      <c r="N51" s="15">
        <f>M51-V51</f>
        <v/>
      </c>
      <c r="O51" s="15">
        <f>IF(MOD(L51,$B$11)=0,OFFSET(O51,-$B$11,0)+ $E$2*N51+$E$3*OFFSET(N51,-$B$11,0)+ $E$4*OFFSET(N51,-2* $B$11,0), O50)</f>
        <v/>
      </c>
      <c r="P51" s="15">
        <f>INT((2^$J$12-1)*O51/100)/(2^$J$12-1)*100</f>
        <v/>
      </c>
      <c r="Q51" s="15" t="n">
        <v>0</v>
      </c>
      <c r="R51" s="15">
        <f>P51+Q51</f>
        <v/>
      </c>
      <c r="S51" s="15">
        <f>$I$1*S50-$I$2*S49+$I$3*R30+$I$4*R29</f>
        <v/>
      </c>
      <c r="T51" s="15" t="n">
        <v>0</v>
      </c>
      <c r="U51" s="15">
        <f>S51+T51</f>
        <v/>
      </c>
      <c r="V51" s="15">
        <f>INT((2^$J$12-1)*U51/100)/(2^$J$12-1)*100</f>
        <v/>
      </c>
      <c r="X51" s="15">
        <f>M51 * 1.05</f>
        <v/>
      </c>
      <c r="Y51" s="15">
        <f>M51 * 0.95</f>
        <v/>
      </c>
      <c r="Z51" s="15">
        <f>IF(AND(V51 &lt;= X51, V51 &gt;= Y51), 1, 0)</f>
        <v/>
      </c>
      <c r="AC51" s="15">
        <f>N51^2</f>
        <v/>
      </c>
      <c r="AD51" s="15">
        <f>ABS(N51)</f>
        <v/>
      </c>
      <c r="AE51" s="15">
        <f>IF(M51&gt;0, ABS(N51)*(L51-$D$16),0)</f>
        <v/>
      </c>
    </row>
    <row r="52">
      <c r="L52" s="15" t="n">
        <v>50</v>
      </c>
      <c r="M52" s="15">
        <f>IF(L52&lt;$D$16,$D$12,IF(L52&lt;$E$16,$E$12,$F$13))</f>
        <v/>
      </c>
      <c r="N52" s="15">
        <f>M52-V52</f>
        <v/>
      </c>
      <c r="O52" s="15">
        <f>IF(MOD(L52,$B$11)=0,OFFSET(O52,-$B$11,0)+ $E$2*N52+$E$3*OFFSET(N52,-$B$11,0)+ $E$4*OFFSET(N52,-2* $B$11,0), O51)</f>
        <v/>
      </c>
      <c r="P52" s="15">
        <f>INT((2^$J$12-1)*O52/100)/(2^$J$12-1)*100</f>
        <v/>
      </c>
      <c r="Q52" s="15" t="n">
        <v>0</v>
      </c>
      <c r="R52" s="15">
        <f>P52+Q52</f>
        <v/>
      </c>
      <c r="S52" s="15">
        <f>$I$1*S51-$I$2*S50+$I$3*R31+$I$4*R30</f>
        <v/>
      </c>
      <c r="T52" s="15" t="n">
        <v>0</v>
      </c>
      <c r="U52" s="15">
        <f>S52+T52</f>
        <v/>
      </c>
      <c r="V52" s="15">
        <f>INT((2^$J$12-1)*U52/100)/(2^$J$12-1)*100</f>
        <v/>
      </c>
      <c r="X52" s="15">
        <f>M52 * 1.05</f>
        <v/>
      </c>
      <c r="Y52" s="15">
        <f>M52 * 0.95</f>
        <v/>
      </c>
      <c r="Z52" s="15">
        <f>IF(AND(V52 &lt;= X52, V52 &gt;= Y52), 1, 0)</f>
        <v/>
      </c>
      <c r="AC52" s="15">
        <f>N52^2</f>
        <v/>
      </c>
      <c r="AD52" s="15">
        <f>ABS(N52)</f>
        <v/>
      </c>
      <c r="AE52" s="15">
        <f>IF(M52&gt;0, ABS(N52)*(L52-$D$16),0)</f>
        <v/>
      </c>
    </row>
    <row r="53">
      <c r="L53" s="15" t="n">
        <v>51</v>
      </c>
      <c r="M53" s="15">
        <f>IF(L53&lt;$D$16,$D$12,IF(L53&lt;$E$16,$E$12,$F$13))</f>
        <v/>
      </c>
      <c r="N53" s="15">
        <f>M53-V53</f>
        <v/>
      </c>
      <c r="O53" s="15">
        <f>IF(MOD(L53,$B$11)=0,OFFSET(O53,-$B$11,0)+ $E$2*N53+$E$3*OFFSET(N53,-$B$11,0)+ $E$4*OFFSET(N53,-2* $B$11,0), O52)</f>
        <v/>
      </c>
      <c r="P53" s="15">
        <f>INT((2^$J$12-1)*O53/100)/(2^$J$12-1)*100</f>
        <v/>
      </c>
      <c r="Q53" s="15" t="n">
        <v>0</v>
      </c>
      <c r="R53" s="15">
        <f>P53+Q53</f>
        <v/>
      </c>
      <c r="S53" s="15">
        <f>$I$1*S52-$I$2*S51+$I$3*R32+$I$4*R31</f>
        <v/>
      </c>
      <c r="T53" s="15" t="n">
        <v>0</v>
      </c>
      <c r="U53" s="15">
        <f>S53+T53</f>
        <v/>
      </c>
      <c r="V53" s="15">
        <f>INT((2^$J$12-1)*U53/100)/(2^$J$12-1)*100</f>
        <v/>
      </c>
      <c r="X53" s="15">
        <f>M53 * 1.05</f>
        <v/>
      </c>
      <c r="Y53" s="15">
        <f>M53 * 0.95</f>
        <v/>
      </c>
      <c r="Z53" s="15">
        <f>IF(AND(V53 &lt;= X53, V53 &gt;= Y53), 1, 0)</f>
        <v/>
      </c>
      <c r="AC53" s="15">
        <f>N53^2</f>
        <v/>
      </c>
      <c r="AD53" s="15">
        <f>ABS(N53)</f>
        <v/>
      </c>
      <c r="AE53" s="15">
        <f>IF(M53&gt;0, ABS(N53)*(L53-$D$16),0)</f>
        <v/>
      </c>
    </row>
    <row r="54">
      <c r="L54" s="15" t="n">
        <v>52</v>
      </c>
      <c r="M54" s="15">
        <f>IF(L54&lt;$D$16,$D$12,IF(L54&lt;$E$16,$E$12,$F$13))</f>
        <v/>
      </c>
      <c r="N54" s="15">
        <f>M54-V54</f>
        <v/>
      </c>
      <c r="O54" s="15">
        <f>IF(MOD(L54,$B$11)=0,OFFSET(O54,-$B$11,0)+ $E$2*N54+$E$3*OFFSET(N54,-$B$11,0)+ $E$4*OFFSET(N54,-2* $B$11,0), O53)</f>
        <v/>
      </c>
      <c r="P54" s="15">
        <f>INT((2^$J$12-1)*O54/100)/(2^$J$12-1)*100</f>
        <v/>
      </c>
      <c r="Q54" s="15" t="n">
        <v>0</v>
      </c>
      <c r="R54" s="15">
        <f>P54+Q54</f>
        <v/>
      </c>
      <c r="S54" s="15">
        <f>$I$1*S53-$I$2*S52+$I$3*R33+$I$4*R32</f>
        <v/>
      </c>
      <c r="T54" s="15" t="n">
        <v>0</v>
      </c>
      <c r="U54" s="15">
        <f>S54+T54</f>
        <v/>
      </c>
      <c r="V54" s="15">
        <f>INT((2^$J$12-1)*U54/100)/(2^$J$12-1)*100</f>
        <v/>
      </c>
      <c r="X54" s="15">
        <f>M54 * 1.05</f>
        <v/>
      </c>
      <c r="Y54" s="15">
        <f>M54 * 0.95</f>
        <v/>
      </c>
      <c r="Z54" s="15">
        <f>IF(AND(V54 &lt;= X54, V54 &gt;= Y54), 1, 0)</f>
        <v/>
      </c>
      <c r="AC54" s="15">
        <f>N54^2</f>
        <v/>
      </c>
      <c r="AD54" s="15">
        <f>ABS(N54)</f>
        <v/>
      </c>
      <c r="AE54" s="15">
        <f>IF(M54&gt;0, ABS(N54)*(L54-$D$16),0)</f>
        <v/>
      </c>
    </row>
    <row r="55">
      <c r="L55" s="15" t="n">
        <v>53</v>
      </c>
      <c r="M55" s="15">
        <f>IF(L55&lt;$D$16,$D$12,IF(L55&lt;$E$16,$E$12,$F$13))</f>
        <v/>
      </c>
      <c r="N55" s="15">
        <f>M55-V55</f>
        <v/>
      </c>
      <c r="O55" s="15">
        <f>IF(MOD(L55,$B$11)=0,OFFSET(O55,-$B$11,0)+ $E$2*N55+$E$3*OFFSET(N55,-$B$11,0)+ $E$4*OFFSET(N55,-2* $B$11,0), O54)</f>
        <v/>
      </c>
      <c r="P55" s="15">
        <f>INT((2^$J$12-1)*O55/100)/(2^$J$12-1)*100</f>
        <v/>
      </c>
      <c r="Q55" s="15" t="n">
        <v>0</v>
      </c>
      <c r="R55" s="15">
        <f>P55+Q55</f>
        <v/>
      </c>
      <c r="S55" s="15">
        <f>$I$1*S54-$I$2*S53+$I$3*R34+$I$4*R33</f>
        <v/>
      </c>
      <c r="T55" s="15" t="n">
        <v>0</v>
      </c>
      <c r="U55" s="15">
        <f>S55+T55</f>
        <v/>
      </c>
      <c r="V55" s="15">
        <f>INT((2^$J$12-1)*U55/100)/(2^$J$12-1)*100</f>
        <v/>
      </c>
      <c r="X55" s="15">
        <f>M55 * 1.05</f>
        <v/>
      </c>
      <c r="Y55" s="15">
        <f>M55 * 0.95</f>
        <v/>
      </c>
      <c r="Z55" s="15">
        <f>IF(AND(V55 &lt;= X55, V55 &gt;= Y55), 1, 0)</f>
        <v/>
      </c>
      <c r="AC55" s="15">
        <f>N55^2</f>
        <v/>
      </c>
      <c r="AD55" s="15">
        <f>ABS(N55)</f>
        <v/>
      </c>
      <c r="AE55" s="15">
        <f>IF(M55&gt;0, ABS(N55)*(L55-$D$16),0)</f>
        <v/>
      </c>
    </row>
    <row r="56">
      <c r="L56" s="15" t="n">
        <v>54</v>
      </c>
      <c r="M56" s="15">
        <f>IF(L56&lt;$D$16,$D$12,IF(L56&lt;$E$16,$E$12,$F$13))</f>
        <v/>
      </c>
      <c r="N56" s="15">
        <f>M56-V56</f>
        <v/>
      </c>
      <c r="O56" s="15">
        <f>IF(MOD(L56,$B$11)=0,OFFSET(O56,-$B$11,0)+ $E$2*N56+$E$3*OFFSET(N56,-$B$11,0)+ $E$4*OFFSET(N56,-2* $B$11,0), O55)</f>
        <v/>
      </c>
      <c r="P56" s="15">
        <f>INT((2^$J$12-1)*O56/100)/(2^$J$12-1)*100</f>
        <v/>
      </c>
      <c r="Q56" s="15" t="n">
        <v>0</v>
      </c>
      <c r="R56" s="15">
        <f>P56+Q56</f>
        <v/>
      </c>
      <c r="S56" s="15">
        <f>$I$1*S55-$I$2*S54+$I$3*R35+$I$4*R34</f>
        <v/>
      </c>
      <c r="T56" s="15" t="n">
        <v>0</v>
      </c>
      <c r="U56" s="15">
        <f>S56+T56</f>
        <v/>
      </c>
      <c r="V56" s="15">
        <f>INT((2^$J$12-1)*U56/100)/(2^$J$12-1)*100</f>
        <v/>
      </c>
      <c r="X56" s="15">
        <f>M56 * 1.05</f>
        <v/>
      </c>
      <c r="Y56" s="15">
        <f>M56 * 0.95</f>
        <v/>
      </c>
      <c r="Z56" s="15">
        <f>IF(AND(V56 &lt;= X56, V56 &gt;= Y56), 1, 0)</f>
        <v/>
      </c>
      <c r="AC56" s="15">
        <f>N56^2</f>
        <v/>
      </c>
      <c r="AD56" s="15">
        <f>ABS(N56)</f>
        <v/>
      </c>
      <c r="AE56" s="15">
        <f>IF(M56&gt;0, ABS(N56)*(L56-$D$16),0)</f>
        <v/>
      </c>
    </row>
    <row r="57">
      <c r="L57" s="15" t="n">
        <v>55</v>
      </c>
      <c r="M57" s="15">
        <f>IF(L57&lt;$D$16,$D$12,IF(L57&lt;$E$16,$E$12,$F$13))</f>
        <v/>
      </c>
      <c r="N57" s="15">
        <f>M57-V57</f>
        <v/>
      </c>
      <c r="O57" s="15">
        <f>IF(MOD(L57,$B$11)=0,OFFSET(O57,-$B$11,0)+ $E$2*N57+$E$3*OFFSET(N57,-$B$11,0)+ $E$4*OFFSET(N57,-2* $B$11,0), O56)</f>
        <v/>
      </c>
      <c r="P57" s="15">
        <f>INT((2^$J$12-1)*O57/100)/(2^$J$12-1)*100</f>
        <v/>
      </c>
      <c r="Q57" s="15" t="n">
        <v>0</v>
      </c>
      <c r="R57" s="15">
        <f>P57+Q57</f>
        <v/>
      </c>
      <c r="S57" s="15">
        <f>$I$1*S56-$I$2*S55+$I$3*R36+$I$4*R35</f>
        <v/>
      </c>
      <c r="T57" s="15" t="n">
        <v>0</v>
      </c>
      <c r="U57" s="15">
        <f>S57+T57</f>
        <v/>
      </c>
      <c r="V57" s="15">
        <f>INT((2^$J$12-1)*U57/100)/(2^$J$12-1)*100</f>
        <v/>
      </c>
      <c r="X57" s="15">
        <f>M57 * 1.05</f>
        <v/>
      </c>
      <c r="Y57" s="15">
        <f>M57 * 0.95</f>
        <v/>
      </c>
      <c r="Z57" s="15">
        <f>IF(AND(V57 &lt;= X57, V57 &gt;= Y57), 1, 0)</f>
        <v/>
      </c>
      <c r="AC57" s="15">
        <f>N57^2</f>
        <v/>
      </c>
      <c r="AD57" s="15">
        <f>ABS(N57)</f>
        <v/>
      </c>
      <c r="AE57" s="15">
        <f>IF(M57&gt;0, ABS(N57)*(L57-$D$16),0)</f>
        <v/>
      </c>
    </row>
    <row r="58">
      <c r="L58" s="15" t="n">
        <v>56</v>
      </c>
      <c r="M58" s="15">
        <f>IF(L58&lt;$D$16,$D$12,IF(L58&lt;$E$16,$E$12,$F$13))</f>
        <v/>
      </c>
      <c r="N58" s="15">
        <f>M58-V58</f>
        <v/>
      </c>
      <c r="O58" s="15">
        <f>IF(MOD(L58,$B$11)=0,OFFSET(O58,-$B$11,0)+ $E$2*N58+$E$3*OFFSET(N58,-$B$11,0)+ $E$4*OFFSET(N58,-2* $B$11,0), O57)</f>
        <v/>
      </c>
      <c r="P58" s="15">
        <f>INT((2^$J$12-1)*O58/100)/(2^$J$12-1)*100</f>
        <v/>
      </c>
      <c r="Q58" s="15" t="n">
        <v>0</v>
      </c>
      <c r="R58" s="15">
        <f>P58+Q58</f>
        <v/>
      </c>
      <c r="S58" s="15">
        <f>$I$1*S57-$I$2*S56+$I$3*R37+$I$4*R36</f>
        <v/>
      </c>
      <c r="T58" s="15" t="n">
        <v>0</v>
      </c>
      <c r="U58" s="15">
        <f>S58+T58</f>
        <v/>
      </c>
      <c r="V58" s="15">
        <f>INT((2^$J$12-1)*U58/100)/(2^$J$12-1)*100</f>
        <v/>
      </c>
      <c r="X58" s="15">
        <f>M58 * 1.05</f>
        <v/>
      </c>
      <c r="Y58" s="15">
        <f>M58 * 0.95</f>
        <v/>
      </c>
      <c r="Z58" s="15">
        <f>IF(AND(V58 &lt;= X58, V58 &gt;= Y58), 1, 0)</f>
        <v/>
      </c>
      <c r="AC58" s="15">
        <f>N58^2</f>
        <v/>
      </c>
      <c r="AD58" s="15">
        <f>ABS(N58)</f>
        <v/>
      </c>
      <c r="AE58" s="15">
        <f>IF(M58&gt;0, ABS(N58)*(L58-$D$16),0)</f>
        <v/>
      </c>
    </row>
    <row r="59">
      <c r="L59" s="15" t="n">
        <v>57</v>
      </c>
      <c r="M59" s="15">
        <f>IF(L59&lt;$D$16,$D$12,IF(L59&lt;$E$16,$E$12,$F$13))</f>
        <v/>
      </c>
      <c r="N59" s="15">
        <f>M59-V59</f>
        <v/>
      </c>
      <c r="O59" s="15">
        <f>IF(MOD(L59,$B$11)=0,OFFSET(O59,-$B$11,0)+ $E$2*N59+$E$3*OFFSET(N59,-$B$11,0)+ $E$4*OFFSET(N59,-2* $B$11,0), O58)</f>
        <v/>
      </c>
      <c r="P59" s="15">
        <f>INT((2^$J$12-1)*O59/100)/(2^$J$12-1)*100</f>
        <v/>
      </c>
      <c r="Q59" s="15" t="n">
        <v>0</v>
      </c>
      <c r="R59" s="15">
        <f>P59+Q59</f>
        <v/>
      </c>
      <c r="S59" s="15">
        <f>$I$1*S58-$I$2*S57+$I$3*R38+$I$4*R37</f>
        <v/>
      </c>
      <c r="T59" s="15" t="n">
        <v>0</v>
      </c>
      <c r="U59" s="15">
        <f>S59+T59</f>
        <v/>
      </c>
      <c r="V59" s="15">
        <f>INT((2^$J$12-1)*U59/100)/(2^$J$12-1)*100</f>
        <v/>
      </c>
      <c r="X59" s="15">
        <f>M59 * 1.05</f>
        <v/>
      </c>
      <c r="Y59" s="15">
        <f>M59 * 0.95</f>
        <v/>
      </c>
      <c r="Z59" s="15">
        <f>IF(AND(V59 &lt;= X59, V59 &gt;= Y59), 1, 0)</f>
        <v/>
      </c>
      <c r="AC59" s="15">
        <f>N59^2</f>
        <v/>
      </c>
      <c r="AD59" s="15">
        <f>ABS(N59)</f>
        <v/>
      </c>
      <c r="AE59" s="15">
        <f>IF(M59&gt;0, ABS(N59)*(L59-$D$16),0)</f>
        <v/>
      </c>
    </row>
    <row r="60">
      <c r="L60" s="15" t="n">
        <v>58</v>
      </c>
      <c r="M60" s="15">
        <f>IF(L60&lt;$D$16,$D$12,IF(L60&lt;$E$16,$E$12,$F$13))</f>
        <v/>
      </c>
      <c r="N60" s="15">
        <f>M60-V60</f>
        <v/>
      </c>
      <c r="O60" s="15">
        <f>IF(MOD(L60,$B$11)=0,OFFSET(O60,-$B$11,0)+ $E$2*N60+$E$3*OFFSET(N60,-$B$11,0)+ $E$4*OFFSET(N60,-2* $B$11,0), O59)</f>
        <v/>
      </c>
      <c r="P60" s="15">
        <f>INT((2^$J$12-1)*O60/100)/(2^$J$12-1)*100</f>
        <v/>
      </c>
      <c r="Q60" s="15" t="n">
        <v>0</v>
      </c>
      <c r="R60" s="15">
        <f>P60+Q60</f>
        <v/>
      </c>
      <c r="S60" s="15">
        <f>$I$1*S59-$I$2*S58+$I$3*R39+$I$4*R38</f>
        <v/>
      </c>
      <c r="T60" s="15" t="n">
        <v>0</v>
      </c>
      <c r="U60" s="15">
        <f>S60+T60</f>
        <v/>
      </c>
      <c r="V60" s="15">
        <f>INT((2^$J$12-1)*U60/100)/(2^$J$12-1)*100</f>
        <v/>
      </c>
      <c r="X60" s="15">
        <f>M60 * 1.05</f>
        <v/>
      </c>
      <c r="Y60" s="15">
        <f>M60 * 0.95</f>
        <v/>
      </c>
      <c r="Z60" s="15">
        <f>IF(AND(V60 &lt;= X60, V60 &gt;= Y60), 1, 0)</f>
        <v/>
      </c>
      <c r="AC60" s="15">
        <f>N60^2</f>
        <v/>
      </c>
      <c r="AD60" s="15">
        <f>ABS(N60)</f>
        <v/>
      </c>
      <c r="AE60" s="15">
        <f>IF(M60&gt;0, ABS(N60)*(L60-$D$16),0)</f>
        <v/>
      </c>
    </row>
    <row r="61">
      <c r="L61" s="15" t="n">
        <v>59</v>
      </c>
      <c r="M61" s="15">
        <f>IF(L61&lt;$D$16,$D$12,IF(L61&lt;$E$16,$E$12,$F$13))</f>
        <v/>
      </c>
      <c r="N61" s="15">
        <f>M61-V61</f>
        <v/>
      </c>
      <c r="O61" s="15">
        <f>IF(MOD(L61,$B$11)=0,OFFSET(O61,-$B$11,0)+ $E$2*N61+$E$3*OFFSET(N61,-$B$11,0)+ $E$4*OFFSET(N61,-2* $B$11,0), O60)</f>
        <v/>
      </c>
      <c r="P61" s="15">
        <f>INT((2^$J$12-1)*O61/100)/(2^$J$12-1)*100</f>
        <v/>
      </c>
      <c r="Q61" s="15" t="n">
        <v>0</v>
      </c>
      <c r="R61" s="15">
        <f>P61+Q61</f>
        <v/>
      </c>
      <c r="S61" s="15">
        <f>$I$1*S60-$I$2*S59+$I$3*R40+$I$4*R39</f>
        <v/>
      </c>
      <c r="T61" s="15" t="n">
        <v>0</v>
      </c>
      <c r="U61" s="15">
        <f>S61+T61</f>
        <v/>
      </c>
      <c r="V61" s="15">
        <f>INT((2^$J$12-1)*U61/100)/(2^$J$12-1)*100</f>
        <v/>
      </c>
      <c r="X61" s="15">
        <f>M61 * 1.05</f>
        <v/>
      </c>
      <c r="Y61" s="15">
        <f>M61 * 0.95</f>
        <v/>
      </c>
      <c r="Z61" s="15">
        <f>IF(AND(V61 &lt;= X61, V61 &gt;= Y61), 1, 0)</f>
        <v/>
      </c>
      <c r="AC61" s="15">
        <f>N61^2</f>
        <v/>
      </c>
      <c r="AD61" s="15">
        <f>ABS(N61)</f>
        <v/>
      </c>
      <c r="AE61" s="15">
        <f>IF(M61&gt;0, ABS(N61)*(L61-$D$16),0)</f>
        <v/>
      </c>
    </row>
    <row r="62">
      <c r="L62" s="15" t="n">
        <v>60</v>
      </c>
      <c r="M62" s="15">
        <f>IF(L62&lt;$D$16,$D$12,IF(L62&lt;$E$16,$E$12,$F$13))</f>
        <v/>
      </c>
      <c r="N62" s="15">
        <f>M62-V62</f>
        <v/>
      </c>
      <c r="O62" s="15">
        <f>IF(MOD(L62,$B$11)=0,OFFSET(O62,-$B$11,0)+ $E$2*N62+$E$3*OFFSET(N62,-$B$11,0)+ $E$4*OFFSET(N62,-2* $B$11,0), O61)</f>
        <v/>
      </c>
      <c r="P62" s="15">
        <f>INT((2^$J$12-1)*O62/100)/(2^$J$12-1)*100</f>
        <v/>
      </c>
      <c r="Q62" s="15" t="n">
        <v>0</v>
      </c>
      <c r="R62" s="15">
        <f>P62+Q62</f>
        <v/>
      </c>
      <c r="S62" s="15">
        <f>$I$1*S61-$I$2*S60+$I$3*R41+$I$4*R40</f>
        <v/>
      </c>
      <c r="T62" s="15" t="n">
        <v>0</v>
      </c>
      <c r="U62" s="15">
        <f>S62+T62</f>
        <v/>
      </c>
      <c r="V62" s="15">
        <f>INT((2^$J$12-1)*U62/100)/(2^$J$12-1)*100</f>
        <v/>
      </c>
      <c r="X62" s="15">
        <f>M62 * 1.05</f>
        <v/>
      </c>
      <c r="Y62" s="15">
        <f>M62 * 0.95</f>
        <v/>
      </c>
      <c r="Z62" s="15">
        <f>IF(AND(V62 &lt;= X62, V62 &gt;= Y62), 1, 0)</f>
        <v/>
      </c>
      <c r="AC62" s="15">
        <f>N62^2</f>
        <v/>
      </c>
      <c r="AD62" s="15">
        <f>ABS(N62)</f>
        <v/>
      </c>
      <c r="AE62" s="15">
        <f>IF(M62&gt;0, ABS(N62)*(L62-$D$16),0)</f>
        <v/>
      </c>
    </row>
    <row r="63">
      <c r="L63" s="15" t="n">
        <v>61</v>
      </c>
      <c r="M63" s="15">
        <f>IF(L63&lt;$D$16,$D$12,IF(L63&lt;$E$16,$E$12,$F$13))</f>
        <v/>
      </c>
      <c r="N63" s="15">
        <f>M63-V63</f>
        <v/>
      </c>
      <c r="O63" s="15">
        <f>IF(MOD(L63,$B$11)=0,OFFSET(O63,-$B$11,0)+ $E$2*N63+$E$3*OFFSET(N63,-$B$11,0)+ $E$4*OFFSET(N63,-2* $B$11,0), O62)</f>
        <v/>
      </c>
      <c r="P63" s="15">
        <f>INT((2^$J$12-1)*O63/100)/(2^$J$12-1)*100</f>
        <v/>
      </c>
      <c r="Q63" s="15" t="n">
        <v>0</v>
      </c>
      <c r="R63" s="15">
        <f>P63+Q63</f>
        <v/>
      </c>
      <c r="S63" s="15">
        <f>$I$1*S62-$I$2*S61+$I$3*R42+$I$4*R41</f>
        <v/>
      </c>
      <c r="T63" s="15" t="n">
        <v>0</v>
      </c>
      <c r="U63" s="15">
        <f>S63+T63</f>
        <v/>
      </c>
      <c r="V63" s="15">
        <f>INT((2^$J$12-1)*U63/100)/(2^$J$12-1)*100</f>
        <v/>
      </c>
      <c r="X63" s="15">
        <f>M63 * 1.05</f>
        <v/>
      </c>
      <c r="Y63" s="15">
        <f>M63 * 0.95</f>
        <v/>
      </c>
      <c r="Z63" s="15">
        <f>IF(AND(V63 &lt;= X63, V63 &gt;= Y63), 1, 0)</f>
        <v/>
      </c>
      <c r="AC63" s="15">
        <f>N63^2</f>
        <v/>
      </c>
      <c r="AD63" s="15">
        <f>ABS(N63)</f>
        <v/>
      </c>
      <c r="AE63" s="15">
        <f>IF(M63&gt;0, ABS(N63)*(L63-$D$16),0)</f>
        <v/>
      </c>
    </row>
    <row r="64">
      <c r="L64" s="15" t="n">
        <v>62</v>
      </c>
      <c r="M64" s="15">
        <f>IF(L64&lt;$D$16,$D$12,IF(L64&lt;$E$16,$E$12,$F$13))</f>
        <v/>
      </c>
      <c r="N64" s="15">
        <f>M64-V64</f>
        <v/>
      </c>
      <c r="O64" s="15">
        <f>IF(MOD(L64,$B$11)=0,OFFSET(O64,-$B$11,0)+ $E$2*N64+$E$3*OFFSET(N64,-$B$11,0)+ $E$4*OFFSET(N64,-2* $B$11,0), O63)</f>
        <v/>
      </c>
      <c r="P64" s="15">
        <f>INT((2^$J$12-1)*O64/100)/(2^$J$12-1)*100</f>
        <v/>
      </c>
      <c r="Q64" s="15" t="n">
        <v>0</v>
      </c>
      <c r="R64" s="15">
        <f>P64+Q64</f>
        <v/>
      </c>
      <c r="S64" s="15">
        <f>$I$1*S63-$I$2*S62+$I$3*R43+$I$4*R42</f>
        <v/>
      </c>
      <c r="T64" s="15" t="n">
        <v>0</v>
      </c>
      <c r="U64" s="15">
        <f>S64+T64</f>
        <v/>
      </c>
      <c r="V64" s="15">
        <f>INT((2^$J$12-1)*U64/100)/(2^$J$12-1)*100</f>
        <v/>
      </c>
      <c r="X64" s="15">
        <f>M64 * 1.05</f>
        <v/>
      </c>
      <c r="Y64" s="15">
        <f>M64 * 0.95</f>
        <v/>
      </c>
      <c r="Z64" s="15">
        <f>IF(AND(V64 &lt;= X64, V64 &gt;= Y64), 1, 0)</f>
        <v/>
      </c>
      <c r="AC64" s="15">
        <f>N64^2</f>
        <v/>
      </c>
      <c r="AD64" s="15">
        <f>ABS(N64)</f>
        <v/>
      </c>
      <c r="AE64" s="15">
        <f>IF(M64&gt;0, ABS(N64)*(L64-$D$16),0)</f>
        <v/>
      </c>
    </row>
    <row r="65">
      <c r="L65" s="15" t="n">
        <v>63</v>
      </c>
      <c r="M65" s="15">
        <f>IF(L65&lt;$D$16,$D$12,IF(L65&lt;$E$16,$E$12,$F$13))</f>
        <v/>
      </c>
      <c r="N65" s="15">
        <f>M65-V65</f>
        <v/>
      </c>
      <c r="O65" s="15">
        <f>IF(MOD(L65,$B$11)=0,OFFSET(O65,-$B$11,0)+ $E$2*N65+$E$3*OFFSET(N65,-$B$11,0)+ $E$4*OFFSET(N65,-2* $B$11,0), O64)</f>
        <v/>
      </c>
      <c r="P65" s="15">
        <f>INT((2^$J$12-1)*O65/100)/(2^$J$12-1)*100</f>
        <v/>
      </c>
      <c r="Q65" s="15" t="n">
        <v>0</v>
      </c>
      <c r="R65" s="15">
        <f>P65+Q65</f>
        <v/>
      </c>
      <c r="S65" s="15">
        <f>$I$1*S64-$I$2*S63+$I$3*R44+$I$4*R43</f>
        <v/>
      </c>
      <c r="T65" s="15" t="n">
        <v>0</v>
      </c>
      <c r="U65" s="15">
        <f>S65+T65</f>
        <v/>
      </c>
      <c r="V65" s="15">
        <f>INT((2^$J$12-1)*U65/100)/(2^$J$12-1)*100</f>
        <v/>
      </c>
      <c r="X65" s="15">
        <f>M65 * 1.05</f>
        <v/>
      </c>
      <c r="Y65" s="15">
        <f>M65 * 0.95</f>
        <v/>
      </c>
      <c r="Z65" s="15">
        <f>IF(AND(V65 &lt;= X65, V65 &gt;= Y65), 1, 0)</f>
        <v/>
      </c>
      <c r="AC65" s="15">
        <f>N65^2</f>
        <v/>
      </c>
      <c r="AD65" s="15">
        <f>ABS(N65)</f>
        <v/>
      </c>
      <c r="AE65" s="15">
        <f>IF(M65&gt;0, ABS(N65)*(L65-$D$16),0)</f>
        <v/>
      </c>
    </row>
    <row r="66">
      <c r="L66" s="15" t="n">
        <v>64</v>
      </c>
      <c r="M66" s="15">
        <f>IF(L66&lt;$D$16,$D$12,IF(L66&lt;$E$16,$E$12,$F$13))</f>
        <v/>
      </c>
      <c r="N66" s="15">
        <f>M66-V66</f>
        <v/>
      </c>
      <c r="O66" s="15">
        <f>IF(MOD(L66,$B$11)=0,OFFSET(O66,-$B$11,0)+ $E$2*N66+$E$3*OFFSET(N66,-$B$11,0)+ $E$4*OFFSET(N66,-2* $B$11,0), O65)</f>
        <v/>
      </c>
      <c r="P66" s="15">
        <f>INT((2^$J$12-1)*O66/100)/(2^$J$12-1)*100</f>
        <v/>
      </c>
      <c r="Q66" s="15" t="n">
        <v>0</v>
      </c>
      <c r="R66" s="15">
        <f>P66+Q66</f>
        <v/>
      </c>
      <c r="S66" s="15">
        <f>$I$1*S65-$I$2*S64+$I$3*R45+$I$4*R44</f>
        <v/>
      </c>
      <c r="T66" s="15" t="n">
        <v>0</v>
      </c>
      <c r="U66" s="15">
        <f>S66+T66</f>
        <v/>
      </c>
      <c r="V66" s="15">
        <f>INT((2^$J$12-1)*U66/100)/(2^$J$12-1)*100</f>
        <v/>
      </c>
      <c r="X66" s="15">
        <f>M66 * 1.05</f>
        <v/>
      </c>
      <c r="Y66" s="15">
        <f>M66 * 0.95</f>
        <v/>
      </c>
      <c r="Z66" s="15">
        <f>IF(AND(V66 &lt;= X66, V66 &gt;= Y66), 1, 0)</f>
        <v/>
      </c>
      <c r="AC66" s="15">
        <f>N66^2</f>
        <v/>
      </c>
      <c r="AD66" s="15">
        <f>ABS(N66)</f>
        <v/>
      </c>
      <c r="AE66" s="15">
        <f>IF(M66&gt;0, ABS(N66)*(L66-$D$16),0)</f>
        <v/>
      </c>
    </row>
    <row r="67">
      <c r="L67" s="15" t="n">
        <v>65</v>
      </c>
      <c r="M67" s="15">
        <f>IF(L67&lt;$D$16,$D$12,IF(L67&lt;$E$16,$E$12,$F$13))</f>
        <v/>
      </c>
      <c r="N67" s="15">
        <f>M67-V67</f>
        <v/>
      </c>
      <c r="O67" s="15">
        <f>IF(MOD(L67,$B$11)=0,OFFSET(O67,-$B$11,0)+ $E$2*N67+$E$3*OFFSET(N67,-$B$11,0)+ $E$4*OFFSET(N67,-2* $B$11,0), O66)</f>
        <v/>
      </c>
      <c r="P67" s="15">
        <f>INT((2^$J$12-1)*O67/100)/(2^$J$12-1)*100</f>
        <v/>
      </c>
      <c r="Q67" s="15" t="n">
        <v>0</v>
      </c>
      <c r="R67" s="15">
        <f>P67+Q67</f>
        <v/>
      </c>
      <c r="S67" s="15">
        <f>$I$1*S66-$I$2*S65+$I$3*R46+$I$4*R45</f>
        <v/>
      </c>
      <c r="T67" s="15" t="n">
        <v>0</v>
      </c>
      <c r="U67" s="15">
        <f>S67+T67</f>
        <v/>
      </c>
      <c r="V67" s="15">
        <f>INT((2^$J$12-1)*U67/100)/(2^$J$12-1)*100</f>
        <v/>
      </c>
      <c r="X67" s="15">
        <f>M67 * 1.05</f>
        <v/>
      </c>
      <c r="Y67" s="15">
        <f>M67 * 0.95</f>
        <v/>
      </c>
      <c r="Z67" s="15">
        <f>IF(AND(V67 &lt;= X67, V67 &gt;= Y67), 1, 0)</f>
        <v/>
      </c>
      <c r="AC67" s="15">
        <f>N67^2</f>
        <v/>
      </c>
      <c r="AD67" s="15">
        <f>ABS(N67)</f>
        <v/>
      </c>
      <c r="AE67" s="15">
        <f>IF(M67&gt;0, ABS(N67)*(L67-$D$16),0)</f>
        <v/>
      </c>
    </row>
    <row r="68">
      <c r="L68" s="15" t="n">
        <v>66</v>
      </c>
      <c r="M68" s="15">
        <f>IF(L68&lt;$D$16,$D$12,IF(L68&lt;$E$16,$E$12,$F$13))</f>
        <v/>
      </c>
      <c r="N68" s="15">
        <f>M68-V68</f>
        <v/>
      </c>
      <c r="O68" s="15">
        <f>IF(MOD(L68,$B$11)=0,OFFSET(O68,-$B$11,0)+ $E$2*N68+$E$3*OFFSET(N68,-$B$11,0)+ $E$4*OFFSET(N68,-2* $B$11,0), O67)</f>
        <v/>
      </c>
      <c r="P68" s="15">
        <f>INT((2^$J$12-1)*O68/100)/(2^$J$12-1)*100</f>
        <v/>
      </c>
      <c r="Q68" s="15" t="n">
        <v>0</v>
      </c>
      <c r="R68" s="15">
        <f>P68+Q68</f>
        <v/>
      </c>
      <c r="S68" s="15">
        <f>$I$1*S67-$I$2*S66+$I$3*R47+$I$4*R46</f>
        <v/>
      </c>
      <c r="T68" s="15" t="n">
        <v>0</v>
      </c>
      <c r="U68" s="15">
        <f>S68+T68</f>
        <v/>
      </c>
      <c r="V68" s="15">
        <f>INT((2^$J$12-1)*U68/100)/(2^$J$12-1)*100</f>
        <v/>
      </c>
      <c r="X68" s="15">
        <f>M68 * 1.05</f>
        <v/>
      </c>
      <c r="Y68" s="15">
        <f>M68 * 0.95</f>
        <v/>
      </c>
      <c r="Z68" s="15">
        <f>IF(AND(V68 &lt;= X68, V68 &gt;= Y68), 1, 0)</f>
        <v/>
      </c>
      <c r="AC68" s="15">
        <f>N68^2</f>
        <v/>
      </c>
      <c r="AD68" s="15">
        <f>ABS(N68)</f>
        <v/>
      </c>
      <c r="AE68" s="15">
        <f>IF(M68&gt;0, ABS(N68)*(L68-$D$16),0)</f>
        <v/>
      </c>
    </row>
    <row r="69">
      <c r="L69" s="15" t="n">
        <v>67</v>
      </c>
      <c r="M69" s="15">
        <f>IF(L69&lt;$D$16,$D$12,IF(L69&lt;$E$16,$E$12,$F$13))</f>
        <v/>
      </c>
      <c r="N69" s="15">
        <f>M69-V69</f>
        <v/>
      </c>
      <c r="O69" s="15">
        <f>IF(MOD(L69,$B$11)=0,OFFSET(O69,-$B$11,0)+ $E$2*N69+$E$3*OFFSET(N69,-$B$11,0)+ $E$4*OFFSET(N69,-2* $B$11,0), O68)</f>
        <v/>
      </c>
      <c r="P69" s="15">
        <f>INT((2^$J$12-1)*O69/100)/(2^$J$12-1)*100</f>
        <v/>
      </c>
      <c r="Q69" s="15" t="n">
        <v>0</v>
      </c>
      <c r="R69" s="15">
        <f>P69+Q69</f>
        <v/>
      </c>
      <c r="S69" s="15">
        <f>$I$1*S68-$I$2*S67+$I$3*R48+$I$4*R47</f>
        <v/>
      </c>
      <c r="T69" s="15" t="n">
        <v>0</v>
      </c>
      <c r="U69" s="15">
        <f>S69+T69</f>
        <v/>
      </c>
      <c r="V69" s="15">
        <f>INT((2^$J$12-1)*U69/100)/(2^$J$12-1)*100</f>
        <v/>
      </c>
      <c r="X69" s="15">
        <f>M69 * 1.05</f>
        <v/>
      </c>
      <c r="Y69" s="15">
        <f>M69 * 0.95</f>
        <v/>
      </c>
      <c r="Z69" s="15">
        <f>IF(AND(V69 &lt;= X69, V69 &gt;= Y69), 1, 0)</f>
        <v/>
      </c>
      <c r="AC69" s="15">
        <f>N69^2</f>
        <v/>
      </c>
      <c r="AD69" s="15">
        <f>ABS(N69)</f>
        <v/>
      </c>
      <c r="AE69" s="15">
        <f>IF(M69&gt;0, ABS(N69)*(L69-$D$16),0)</f>
        <v/>
      </c>
    </row>
    <row r="70">
      <c r="L70" s="15" t="n">
        <v>68</v>
      </c>
      <c r="M70" s="15">
        <f>IF(L70&lt;$D$16,$D$12,IF(L70&lt;$E$16,$E$12,$F$13))</f>
        <v/>
      </c>
      <c r="N70" s="15">
        <f>M70-V70</f>
        <v/>
      </c>
      <c r="O70" s="15">
        <f>IF(MOD(L70,$B$11)=0,OFFSET(O70,-$B$11,0)+ $E$2*N70+$E$3*OFFSET(N70,-$B$11,0)+ $E$4*OFFSET(N70,-2* $B$11,0), O69)</f>
        <v/>
      </c>
      <c r="P70" s="15">
        <f>INT((2^$J$12-1)*O70/100)/(2^$J$12-1)*100</f>
        <v/>
      </c>
      <c r="Q70" s="15" t="n">
        <v>0</v>
      </c>
      <c r="R70" s="15">
        <f>P70+Q70</f>
        <v/>
      </c>
      <c r="S70" s="15">
        <f>$I$1*S69-$I$2*S68+$I$3*R49+$I$4*R48</f>
        <v/>
      </c>
      <c r="T70" s="15" t="n">
        <v>0</v>
      </c>
      <c r="U70" s="15">
        <f>S70+T70</f>
        <v/>
      </c>
      <c r="V70" s="15">
        <f>INT((2^$J$12-1)*U70/100)/(2^$J$12-1)*100</f>
        <v/>
      </c>
      <c r="X70" s="15">
        <f>M70 * 1.05</f>
        <v/>
      </c>
      <c r="Y70" s="15">
        <f>M70 * 0.95</f>
        <v/>
      </c>
      <c r="Z70" s="15">
        <f>IF(AND(V70 &lt;= X70, V70 &gt;= Y70), 1, 0)</f>
        <v/>
      </c>
      <c r="AC70" s="15">
        <f>N70^2</f>
        <v/>
      </c>
      <c r="AD70" s="15">
        <f>ABS(N70)</f>
        <v/>
      </c>
      <c r="AE70" s="15">
        <f>IF(M70&gt;0, ABS(N70)*(L70-$D$16),0)</f>
        <v/>
      </c>
    </row>
    <row r="71">
      <c r="L71" s="15" t="n">
        <v>69</v>
      </c>
      <c r="M71" s="15">
        <f>IF(L71&lt;$D$16,$D$12,IF(L71&lt;$E$16,$E$12,$F$13))</f>
        <v/>
      </c>
      <c r="N71" s="15">
        <f>M71-V71</f>
        <v/>
      </c>
      <c r="O71" s="15">
        <f>IF(MOD(L71,$B$11)=0,OFFSET(O71,-$B$11,0)+ $E$2*N71+$E$3*OFFSET(N71,-$B$11,0)+ $E$4*OFFSET(N71,-2* $B$11,0), O70)</f>
        <v/>
      </c>
      <c r="P71" s="15">
        <f>INT((2^$J$12-1)*O71/100)/(2^$J$12-1)*100</f>
        <v/>
      </c>
      <c r="Q71" s="15" t="n">
        <v>0</v>
      </c>
      <c r="R71" s="15">
        <f>P71+Q71</f>
        <v/>
      </c>
      <c r="S71" s="15">
        <f>$I$1*S70-$I$2*S69+$I$3*R50+$I$4*R49</f>
        <v/>
      </c>
      <c r="T71" s="15" t="n">
        <v>0</v>
      </c>
      <c r="U71" s="15">
        <f>S71+T71</f>
        <v/>
      </c>
      <c r="V71" s="15">
        <f>INT((2^$J$12-1)*U71/100)/(2^$J$12-1)*100</f>
        <v/>
      </c>
      <c r="X71" s="15">
        <f>M71 * 1.05</f>
        <v/>
      </c>
      <c r="Y71" s="15">
        <f>M71 * 0.95</f>
        <v/>
      </c>
      <c r="Z71" s="15">
        <f>IF(AND(V71 &lt;= X71, V71 &gt;= Y71), 1, 0)</f>
        <v/>
      </c>
      <c r="AC71" s="15">
        <f>N71^2</f>
        <v/>
      </c>
      <c r="AD71" s="15">
        <f>ABS(N71)</f>
        <v/>
      </c>
      <c r="AE71" s="15">
        <f>IF(M71&gt;0, ABS(N71)*(L71-$D$16),0)</f>
        <v/>
      </c>
    </row>
    <row r="72">
      <c r="L72" s="15" t="n">
        <v>70</v>
      </c>
      <c r="M72" s="15">
        <f>IF(L72&lt;$D$16,$D$12,IF(L72&lt;$E$16,$E$12,$F$13))</f>
        <v/>
      </c>
      <c r="N72" s="15">
        <f>M72-V72</f>
        <v/>
      </c>
      <c r="O72" s="15">
        <f>IF(MOD(L72,$B$11)=0,OFFSET(O72,-$B$11,0)+ $E$2*N72+$E$3*OFFSET(N72,-$B$11,0)+ $E$4*OFFSET(N72,-2* $B$11,0), O71)</f>
        <v/>
      </c>
      <c r="P72" s="15">
        <f>INT((2^$J$12-1)*O72/100)/(2^$J$12-1)*100</f>
        <v/>
      </c>
      <c r="Q72" s="15" t="n">
        <v>0</v>
      </c>
      <c r="R72" s="15">
        <f>P72+Q72</f>
        <v/>
      </c>
      <c r="S72" s="15">
        <f>$I$1*S71-$I$2*S70+$I$3*R51+$I$4*R50</f>
        <v/>
      </c>
      <c r="T72" s="15" t="n">
        <v>0</v>
      </c>
      <c r="U72" s="15">
        <f>S72+T72</f>
        <v/>
      </c>
      <c r="V72" s="15">
        <f>INT((2^$J$12-1)*U72/100)/(2^$J$12-1)*100</f>
        <v/>
      </c>
      <c r="X72" s="15">
        <f>M72 * 1.05</f>
        <v/>
      </c>
      <c r="Y72" s="15">
        <f>M72 * 0.95</f>
        <v/>
      </c>
      <c r="Z72" s="15">
        <f>IF(AND(V72 &lt;= X72, V72 &gt;= Y72), 1, 0)</f>
        <v/>
      </c>
      <c r="AC72" s="15">
        <f>N72^2</f>
        <v/>
      </c>
      <c r="AD72" s="15">
        <f>ABS(N72)</f>
        <v/>
      </c>
      <c r="AE72" s="15">
        <f>IF(M72&gt;0, ABS(N72)*(L72-$D$16),0)</f>
        <v/>
      </c>
    </row>
    <row r="73">
      <c r="L73" s="15" t="n">
        <v>71</v>
      </c>
      <c r="M73" s="15">
        <f>IF(L73&lt;$D$16,$D$12,IF(L73&lt;$E$16,$E$12,$F$13))</f>
        <v/>
      </c>
      <c r="N73" s="15">
        <f>M73-V73</f>
        <v/>
      </c>
      <c r="O73" s="15">
        <f>IF(MOD(L73,$B$11)=0,OFFSET(O73,-$B$11,0)+ $E$2*N73+$E$3*OFFSET(N73,-$B$11,0)+ $E$4*OFFSET(N73,-2* $B$11,0), O72)</f>
        <v/>
      </c>
      <c r="P73" s="15">
        <f>INT((2^$J$12-1)*O73/100)/(2^$J$12-1)*100</f>
        <v/>
      </c>
      <c r="Q73" s="15" t="n">
        <v>0</v>
      </c>
      <c r="R73" s="15">
        <f>P73+Q73</f>
        <v/>
      </c>
      <c r="S73" s="15">
        <f>$I$1*S72-$I$2*S71+$I$3*R52+$I$4*R51</f>
        <v/>
      </c>
      <c r="T73" s="15" t="n">
        <v>0</v>
      </c>
      <c r="U73" s="15">
        <f>S73+T73</f>
        <v/>
      </c>
      <c r="V73" s="15">
        <f>INT((2^$J$12-1)*U73/100)/(2^$J$12-1)*100</f>
        <v/>
      </c>
      <c r="X73" s="15">
        <f>M73 * 1.05</f>
        <v/>
      </c>
      <c r="Y73" s="15">
        <f>M73 * 0.95</f>
        <v/>
      </c>
      <c r="Z73" s="15">
        <f>IF(AND(V73 &lt;= X73, V73 &gt;= Y73), 1, 0)</f>
        <v/>
      </c>
      <c r="AC73" s="15">
        <f>N73^2</f>
        <v/>
      </c>
      <c r="AD73" s="15">
        <f>ABS(N73)</f>
        <v/>
      </c>
      <c r="AE73" s="15">
        <f>IF(M73&gt;0, ABS(N73)*(L73-$D$16),0)</f>
        <v/>
      </c>
    </row>
    <row r="74">
      <c r="L74" s="15" t="n">
        <v>72</v>
      </c>
      <c r="M74" s="15">
        <f>IF(L74&lt;$D$16,$D$12,IF(L74&lt;$E$16,$E$12,$F$13))</f>
        <v/>
      </c>
      <c r="N74" s="15">
        <f>M74-V74</f>
        <v/>
      </c>
      <c r="O74" s="15">
        <f>IF(MOD(L74,$B$11)=0,OFFSET(O74,-$B$11,0)+ $E$2*N74+$E$3*OFFSET(N74,-$B$11,0)+ $E$4*OFFSET(N74,-2* $B$11,0), O73)</f>
        <v/>
      </c>
      <c r="P74" s="15">
        <f>INT((2^$J$12-1)*O74/100)/(2^$J$12-1)*100</f>
        <v/>
      </c>
      <c r="Q74" s="15" t="n">
        <v>0</v>
      </c>
      <c r="R74" s="15">
        <f>P74+Q74</f>
        <v/>
      </c>
      <c r="S74" s="15">
        <f>$I$1*S73-$I$2*S72+$I$3*R53+$I$4*R52</f>
        <v/>
      </c>
      <c r="T74" s="15" t="n">
        <v>0</v>
      </c>
      <c r="U74" s="15">
        <f>S74+T74</f>
        <v/>
      </c>
      <c r="V74" s="15">
        <f>INT((2^$J$12-1)*U74/100)/(2^$J$12-1)*100</f>
        <v/>
      </c>
      <c r="X74" s="15">
        <f>M74 * 1.05</f>
        <v/>
      </c>
      <c r="Y74" s="15">
        <f>M74 * 0.95</f>
        <v/>
      </c>
      <c r="Z74" s="15">
        <f>IF(AND(V74 &lt;= X74, V74 &gt;= Y74), 1, 0)</f>
        <v/>
      </c>
      <c r="AC74" s="15">
        <f>N74^2</f>
        <v/>
      </c>
      <c r="AD74" s="15">
        <f>ABS(N74)</f>
        <v/>
      </c>
      <c r="AE74" s="15">
        <f>IF(M74&gt;0, ABS(N74)*(L74-$D$16),0)</f>
        <v/>
      </c>
    </row>
    <row r="75">
      <c r="L75" s="15" t="n">
        <v>73</v>
      </c>
      <c r="M75" s="15">
        <f>IF(L75&lt;$D$16,$D$12,IF(L75&lt;$E$16,$E$12,$F$13))</f>
        <v/>
      </c>
      <c r="N75" s="15">
        <f>M75-V75</f>
        <v/>
      </c>
      <c r="O75" s="15">
        <f>IF(MOD(L75,$B$11)=0,OFFSET(O75,-$B$11,0)+ $E$2*N75+$E$3*OFFSET(N75,-$B$11,0)+ $E$4*OFFSET(N75,-2* $B$11,0), O74)</f>
        <v/>
      </c>
      <c r="P75" s="15">
        <f>INT((2^$J$12-1)*O75/100)/(2^$J$12-1)*100</f>
        <v/>
      </c>
      <c r="Q75" s="15" t="n">
        <v>0</v>
      </c>
      <c r="R75" s="15">
        <f>P75+Q75</f>
        <v/>
      </c>
      <c r="S75" s="15">
        <f>$I$1*S74-$I$2*S73+$I$3*R54+$I$4*R53</f>
        <v/>
      </c>
      <c r="T75" s="15" t="n">
        <v>0</v>
      </c>
      <c r="U75" s="15">
        <f>S75+T75</f>
        <v/>
      </c>
      <c r="V75" s="15">
        <f>INT((2^$J$12-1)*U75/100)/(2^$J$12-1)*100</f>
        <v/>
      </c>
      <c r="X75" s="15">
        <f>M75 * 1.05</f>
        <v/>
      </c>
      <c r="Y75" s="15">
        <f>M75 * 0.95</f>
        <v/>
      </c>
      <c r="Z75" s="15">
        <f>IF(AND(V75 &lt;= X75, V75 &gt;= Y75), 1, 0)</f>
        <v/>
      </c>
      <c r="AC75" s="15">
        <f>N75^2</f>
        <v/>
      </c>
      <c r="AD75" s="15">
        <f>ABS(N75)</f>
        <v/>
      </c>
      <c r="AE75" s="15">
        <f>IF(M75&gt;0, ABS(N75)*(L75-$D$16),0)</f>
        <v/>
      </c>
    </row>
    <row r="76">
      <c r="L76" s="15" t="n">
        <v>74</v>
      </c>
      <c r="M76" s="15">
        <f>IF(L76&lt;$D$16,$D$12,IF(L76&lt;$E$16,$E$12,$F$13))</f>
        <v/>
      </c>
      <c r="N76" s="15">
        <f>M76-V76</f>
        <v/>
      </c>
      <c r="O76" s="15">
        <f>IF(MOD(L76,$B$11)=0,OFFSET(O76,-$B$11,0)+ $E$2*N76+$E$3*OFFSET(N76,-$B$11,0)+ $E$4*OFFSET(N76,-2* $B$11,0), O75)</f>
        <v/>
      </c>
      <c r="P76" s="15">
        <f>INT((2^$J$12-1)*O76/100)/(2^$J$12-1)*100</f>
        <v/>
      </c>
      <c r="Q76" s="15" t="n">
        <v>0</v>
      </c>
      <c r="R76" s="15">
        <f>P76+Q76</f>
        <v/>
      </c>
      <c r="S76" s="15">
        <f>$I$1*S75-$I$2*S74+$I$3*R55+$I$4*R54</f>
        <v/>
      </c>
      <c r="T76" s="15" t="n">
        <v>0</v>
      </c>
      <c r="U76" s="15">
        <f>S76+T76</f>
        <v/>
      </c>
      <c r="V76" s="15">
        <f>INT((2^$J$12-1)*U76/100)/(2^$J$12-1)*100</f>
        <v/>
      </c>
      <c r="X76" s="15">
        <f>M76 * 1.05</f>
        <v/>
      </c>
      <c r="Y76" s="15">
        <f>M76 * 0.95</f>
        <v/>
      </c>
      <c r="Z76" s="15">
        <f>IF(AND(V76 &lt;= X76, V76 &gt;= Y76), 1, 0)</f>
        <v/>
      </c>
      <c r="AC76" s="15">
        <f>N76^2</f>
        <v/>
      </c>
      <c r="AD76" s="15">
        <f>ABS(N76)</f>
        <v/>
      </c>
      <c r="AE76" s="15">
        <f>IF(M76&gt;0, ABS(N76)*(L76-$D$16),0)</f>
        <v/>
      </c>
    </row>
    <row r="77">
      <c r="L77" s="15" t="n">
        <v>75</v>
      </c>
      <c r="M77" s="15">
        <f>IF(L77&lt;$D$16,$D$12,IF(L77&lt;$E$16,$E$12,$F$13))</f>
        <v/>
      </c>
      <c r="N77" s="15">
        <f>M77-V77</f>
        <v/>
      </c>
      <c r="O77" s="15">
        <f>IF(MOD(L77,$B$11)=0,OFFSET(O77,-$B$11,0)+ $E$2*N77+$E$3*OFFSET(N77,-$B$11,0)+ $E$4*OFFSET(N77,-2* $B$11,0), O76)</f>
        <v/>
      </c>
      <c r="P77" s="15">
        <f>INT((2^$J$12-1)*O77/100)/(2^$J$12-1)*100</f>
        <v/>
      </c>
      <c r="Q77" s="15" t="n">
        <v>0</v>
      </c>
      <c r="R77" s="15">
        <f>P77+Q77</f>
        <v/>
      </c>
      <c r="S77" s="15">
        <f>$I$1*S76-$I$2*S75+$I$3*R56+$I$4*R55</f>
        <v/>
      </c>
      <c r="T77" s="15" t="n">
        <v>0</v>
      </c>
      <c r="U77" s="15">
        <f>S77+T77</f>
        <v/>
      </c>
      <c r="V77" s="15">
        <f>INT((2^$J$12-1)*U77/100)/(2^$J$12-1)*100</f>
        <v/>
      </c>
      <c r="X77" s="15">
        <f>M77 * 1.05</f>
        <v/>
      </c>
      <c r="Y77" s="15">
        <f>M77 * 0.95</f>
        <v/>
      </c>
      <c r="Z77" s="15">
        <f>IF(AND(V77 &lt;= X77, V77 &gt;= Y77), 1, 0)</f>
        <v/>
      </c>
      <c r="AC77" s="15">
        <f>N77^2</f>
        <v/>
      </c>
      <c r="AD77" s="15">
        <f>ABS(N77)</f>
        <v/>
      </c>
      <c r="AE77" s="15">
        <f>IF(M77&gt;0, ABS(N77)*(L77-$D$16),0)</f>
        <v/>
      </c>
    </row>
    <row r="78">
      <c r="L78" s="15" t="n">
        <v>76</v>
      </c>
      <c r="M78" s="15">
        <f>IF(L78&lt;$D$16,$D$12,IF(L78&lt;$E$16,$E$12,$F$13))</f>
        <v/>
      </c>
      <c r="N78" s="15">
        <f>M78-V78</f>
        <v/>
      </c>
      <c r="O78" s="15">
        <f>IF(MOD(L78,$B$11)=0,OFFSET(O78,-$B$11,0)+ $E$2*N78+$E$3*OFFSET(N78,-$B$11,0)+ $E$4*OFFSET(N78,-2* $B$11,0), O77)</f>
        <v/>
      </c>
      <c r="P78" s="15">
        <f>INT((2^$J$12-1)*O78/100)/(2^$J$12-1)*100</f>
        <v/>
      </c>
      <c r="Q78" s="15" t="n">
        <v>0</v>
      </c>
      <c r="R78" s="15">
        <f>P78+Q78</f>
        <v/>
      </c>
      <c r="S78" s="15">
        <f>$I$1*S77-$I$2*S76+$I$3*R57+$I$4*R56</f>
        <v/>
      </c>
      <c r="T78" s="15" t="n">
        <v>0</v>
      </c>
      <c r="U78" s="15">
        <f>S78+T78</f>
        <v/>
      </c>
      <c r="V78" s="15">
        <f>INT((2^$J$12-1)*U78/100)/(2^$J$12-1)*100</f>
        <v/>
      </c>
      <c r="X78" s="15">
        <f>M78 * 1.05</f>
        <v/>
      </c>
      <c r="Y78" s="15">
        <f>M78 * 0.95</f>
        <v/>
      </c>
      <c r="Z78" s="15">
        <f>IF(AND(V78 &lt;= X78, V78 &gt;= Y78), 1, 0)</f>
        <v/>
      </c>
      <c r="AC78" s="15">
        <f>N78^2</f>
        <v/>
      </c>
      <c r="AD78" s="15">
        <f>ABS(N78)</f>
        <v/>
      </c>
      <c r="AE78" s="15">
        <f>IF(M78&gt;0, ABS(N78)*(L78-$D$16),0)</f>
        <v/>
      </c>
    </row>
    <row r="79">
      <c r="L79" s="15" t="n">
        <v>77</v>
      </c>
      <c r="M79" s="15">
        <f>IF(L79&lt;$D$16,$D$12,IF(L79&lt;$E$16,$E$12,$F$13))</f>
        <v/>
      </c>
      <c r="N79" s="15">
        <f>M79-V79</f>
        <v/>
      </c>
      <c r="O79" s="15">
        <f>IF(MOD(L79,$B$11)=0,OFFSET(O79,-$B$11,0)+ $E$2*N79+$E$3*OFFSET(N79,-$B$11,0)+ $E$4*OFFSET(N79,-2* $B$11,0), O78)</f>
        <v/>
      </c>
      <c r="P79" s="15">
        <f>INT((2^$J$12-1)*O79/100)/(2^$J$12-1)*100</f>
        <v/>
      </c>
      <c r="Q79" s="15" t="n">
        <v>0</v>
      </c>
      <c r="R79" s="15">
        <f>P79+Q79</f>
        <v/>
      </c>
      <c r="S79" s="15">
        <f>$I$1*S78-$I$2*S77+$I$3*R58+$I$4*R57</f>
        <v/>
      </c>
      <c r="T79" s="15" t="n">
        <v>0</v>
      </c>
      <c r="U79" s="15">
        <f>S79+T79</f>
        <v/>
      </c>
      <c r="V79" s="15">
        <f>INT((2^$J$12-1)*U79/100)/(2^$J$12-1)*100</f>
        <v/>
      </c>
      <c r="X79" s="15">
        <f>M79 * 1.05</f>
        <v/>
      </c>
      <c r="Y79" s="15">
        <f>M79 * 0.95</f>
        <v/>
      </c>
      <c r="Z79" s="15">
        <f>IF(AND(V79 &lt;= X79, V79 &gt;= Y79), 1, 0)</f>
        <v/>
      </c>
      <c r="AC79" s="15">
        <f>N79^2</f>
        <v/>
      </c>
      <c r="AD79" s="15">
        <f>ABS(N79)</f>
        <v/>
      </c>
      <c r="AE79" s="15">
        <f>IF(M79&gt;0, ABS(N79)*(L79-$D$16),0)</f>
        <v/>
      </c>
    </row>
    <row r="80">
      <c r="L80" s="15" t="n">
        <v>78</v>
      </c>
      <c r="M80" s="15">
        <f>IF(L80&lt;$D$16,$D$12,IF(L80&lt;$E$16,$E$12,$F$13))</f>
        <v/>
      </c>
      <c r="N80" s="15">
        <f>M80-V80</f>
        <v/>
      </c>
      <c r="O80" s="15">
        <f>IF(MOD(L80,$B$11)=0,OFFSET(O80,-$B$11,0)+ $E$2*N80+$E$3*OFFSET(N80,-$B$11,0)+ $E$4*OFFSET(N80,-2* $B$11,0), O79)</f>
        <v/>
      </c>
      <c r="P80" s="15">
        <f>INT((2^$J$12-1)*O80/100)/(2^$J$12-1)*100</f>
        <v/>
      </c>
      <c r="Q80" s="15" t="n">
        <v>0</v>
      </c>
      <c r="R80" s="15">
        <f>P80+Q80</f>
        <v/>
      </c>
      <c r="S80" s="15">
        <f>$I$1*S79-$I$2*S78+$I$3*R59+$I$4*R58</f>
        <v/>
      </c>
      <c r="T80" s="15" t="n">
        <v>0</v>
      </c>
      <c r="U80" s="15">
        <f>S80+T80</f>
        <v/>
      </c>
      <c r="V80" s="15">
        <f>INT((2^$J$12-1)*U80/100)/(2^$J$12-1)*100</f>
        <v/>
      </c>
      <c r="X80" s="15">
        <f>M80 * 1.05</f>
        <v/>
      </c>
      <c r="Y80" s="15">
        <f>M80 * 0.95</f>
        <v/>
      </c>
      <c r="Z80" s="15">
        <f>IF(AND(V80 &lt;= X80, V80 &gt;= Y80), 1, 0)</f>
        <v/>
      </c>
      <c r="AC80" s="15">
        <f>N80^2</f>
        <v/>
      </c>
      <c r="AD80" s="15">
        <f>ABS(N80)</f>
        <v/>
      </c>
      <c r="AE80" s="15">
        <f>IF(M80&gt;0, ABS(N80)*(L80-$D$16),0)</f>
        <v/>
      </c>
    </row>
    <row r="81">
      <c r="L81" s="15" t="n">
        <v>79</v>
      </c>
      <c r="M81" s="15">
        <f>IF(L81&lt;$D$16,$D$12,IF(L81&lt;$E$16,$E$12,$F$13))</f>
        <v/>
      </c>
      <c r="N81" s="15">
        <f>M81-V81</f>
        <v/>
      </c>
      <c r="O81" s="15">
        <f>IF(MOD(L81,$B$11)=0,OFFSET(O81,-$B$11,0)+ $E$2*N81+$E$3*OFFSET(N81,-$B$11,0)+ $E$4*OFFSET(N81,-2* $B$11,0), O80)</f>
        <v/>
      </c>
      <c r="P81" s="15">
        <f>INT((2^$J$12-1)*O81/100)/(2^$J$12-1)*100</f>
        <v/>
      </c>
      <c r="Q81" s="15" t="n">
        <v>0</v>
      </c>
      <c r="R81" s="15">
        <f>P81+Q81</f>
        <v/>
      </c>
      <c r="S81" s="15">
        <f>$I$1*S80-$I$2*S79+$I$3*R60+$I$4*R59</f>
        <v/>
      </c>
      <c r="T81" s="15" t="n">
        <v>0</v>
      </c>
      <c r="U81" s="15">
        <f>S81+T81</f>
        <v/>
      </c>
      <c r="V81" s="15">
        <f>INT((2^$J$12-1)*U81/100)/(2^$J$12-1)*100</f>
        <v/>
      </c>
      <c r="X81" s="15">
        <f>M81 * 1.05</f>
        <v/>
      </c>
      <c r="Y81" s="15">
        <f>M81 * 0.95</f>
        <v/>
      </c>
      <c r="Z81" s="15">
        <f>IF(AND(V81 &lt;= X81, V81 &gt;= Y81), 1, 0)</f>
        <v/>
      </c>
      <c r="AC81" s="15">
        <f>N81^2</f>
        <v/>
      </c>
      <c r="AD81" s="15">
        <f>ABS(N81)</f>
        <v/>
      </c>
      <c r="AE81" s="15">
        <f>IF(M81&gt;0, ABS(N81)*(L81-$D$16),0)</f>
        <v/>
      </c>
    </row>
    <row r="82">
      <c r="L82" s="15" t="n">
        <v>80</v>
      </c>
      <c r="M82" s="15">
        <f>IF(L82&lt;$D$16,$D$12,IF(L82&lt;$E$16,$E$12,$F$13))</f>
        <v/>
      </c>
      <c r="N82" s="15">
        <f>M82-V82</f>
        <v/>
      </c>
      <c r="O82" s="15">
        <f>IF(MOD(L82,$B$11)=0,OFFSET(O82,-$B$11,0)+ $E$2*N82+$E$3*OFFSET(N82,-$B$11,0)+ $E$4*OFFSET(N82,-2* $B$11,0), O81)</f>
        <v/>
      </c>
      <c r="P82" s="15">
        <f>INT((2^$J$12-1)*O82/100)/(2^$J$12-1)*100</f>
        <v/>
      </c>
      <c r="Q82" s="15" t="n">
        <v>0</v>
      </c>
      <c r="R82" s="15">
        <f>P82+Q82</f>
        <v/>
      </c>
      <c r="S82" s="15">
        <f>$I$1*S81-$I$2*S80+$I$3*R61+$I$4*R60</f>
        <v/>
      </c>
      <c r="T82" s="15" t="n">
        <v>0</v>
      </c>
      <c r="U82" s="15">
        <f>S82+T82</f>
        <v/>
      </c>
      <c r="V82" s="15">
        <f>INT((2^$J$12-1)*U82/100)/(2^$J$12-1)*100</f>
        <v/>
      </c>
      <c r="X82" s="15">
        <f>M82 * 1.05</f>
        <v/>
      </c>
      <c r="Y82" s="15">
        <f>M82 * 0.95</f>
        <v/>
      </c>
      <c r="Z82" s="15">
        <f>IF(AND(V82 &lt;= X82, V82 &gt;= Y82), 1, 0)</f>
        <v/>
      </c>
      <c r="AC82" s="15">
        <f>N82^2</f>
        <v/>
      </c>
      <c r="AD82" s="15">
        <f>ABS(N82)</f>
        <v/>
      </c>
      <c r="AE82" s="15">
        <f>IF(M82&gt;0, ABS(N82)*(L82-$D$16),0)</f>
        <v/>
      </c>
    </row>
    <row r="83">
      <c r="L83" s="15" t="n">
        <v>81</v>
      </c>
      <c r="M83" s="15">
        <f>IF(L83&lt;$D$16,$D$12,IF(L83&lt;$E$16,$E$12,$F$13))</f>
        <v/>
      </c>
      <c r="N83" s="15">
        <f>M83-V83</f>
        <v/>
      </c>
      <c r="O83" s="15">
        <f>IF(MOD(L83,$B$11)=0,OFFSET(O83,-$B$11,0)+ $E$2*N83+$E$3*OFFSET(N83,-$B$11,0)+ $E$4*OFFSET(N83,-2* $B$11,0), O82)</f>
        <v/>
      </c>
      <c r="P83" s="15">
        <f>INT((2^$J$12-1)*O83/100)/(2^$J$12-1)*100</f>
        <v/>
      </c>
      <c r="Q83" s="15" t="n">
        <v>0</v>
      </c>
      <c r="R83" s="15">
        <f>P83+Q83</f>
        <v/>
      </c>
      <c r="S83" s="15">
        <f>$I$1*S82-$I$2*S81+$I$3*R62+$I$4*R61</f>
        <v/>
      </c>
      <c r="T83" s="15" t="n">
        <v>0</v>
      </c>
      <c r="U83" s="15">
        <f>S83+T83</f>
        <v/>
      </c>
      <c r="V83" s="15">
        <f>INT((2^$J$12-1)*U83/100)/(2^$J$12-1)*100</f>
        <v/>
      </c>
      <c r="X83" s="15">
        <f>M83 * 1.05</f>
        <v/>
      </c>
      <c r="Y83" s="15">
        <f>M83 * 0.95</f>
        <v/>
      </c>
      <c r="Z83" s="15">
        <f>IF(AND(V83 &lt;= X83, V83 &gt;= Y83), 1, 0)</f>
        <v/>
      </c>
      <c r="AC83" s="15">
        <f>N83^2</f>
        <v/>
      </c>
      <c r="AD83" s="15">
        <f>ABS(N83)</f>
        <v/>
      </c>
      <c r="AE83" s="15">
        <f>IF(M83&gt;0, ABS(N83)*(L83-$D$16),0)</f>
        <v/>
      </c>
    </row>
    <row r="84">
      <c r="L84" s="15" t="n">
        <v>82</v>
      </c>
      <c r="M84" s="15">
        <f>IF(L84&lt;$D$16,$D$12,IF(L84&lt;$E$16,$E$12,$F$13))</f>
        <v/>
      </c>
      <c r="N84" s="15">
        <f>M84-V84</f>
        <v/>
      </c>
      <c r="O84" s="15">
        <f>IF(MOD(L84,$B$11)=0,OFFSET(O84,-$B$11,0)+ $E$2*N84+$E$3*OFFSET(N84,-$B$11,0)+ $E$4*OFFSET(N84,-2* $B$11,0), O83)</f>
        <v/>
      </c>
      <c r="P84" s="15">
        <f>INT((2^$J$12-1)*O84/100)/(2^$J$12-1)*100</f>
        <v/>
      </c>
      <c r="Q84" s="15" t="n">
        <v>0</v>
      </c>
      <c r="R84" s="15">
        <f>P84+Q84</f>
        <v/>
      </c>
      <c r="S84" s="15">
        <f>$I$1*S83-$I$2*S82+$I$3*R63+$I$4*R62</f>
        <v/>
      </c>
      <c r="T84" s="15" t="n">
        <v>0</v>
      </c>
      <c r="U84" s="15">
        <f>S84+T84</f>
        <v/>
      </c>
      <c r="V84" s="15">
        <f>INT((2^$J$12-1)*U84/100)/(2^$J$12-1)*100</f>
        <v/>
      </c>
      <c r="X84" s="15">
        <f>M84 * 1.05</f>
        <v/>
      </c>
      <c r="Y84" s="15">
        <f>M84 * 0.95</f>
        <v/>
      </c>
      <c r="Z84" s="15">
        <f>IF(AND(V84 &lt;= X84, V84 &gt;= Y84), 1, 0)</f>
        <v/>
      </c>
      <c r="AC84" s="15">
        <f>N84^2</f>
        <v/>
      </c>
      <c r="AD84" s="15">
        <f>ABS(N84)</f>
        <v/>
      </c>
      <c r="AE84" s="15">
        <f>IF(M84&gt;0, ABS(N84)*(L84-$D$16),0)</f>
        <v/>
      </c>
    </row>
    <row r="85">
      <c r="L85" s="15" t="n">
        <v>83</v>
      </c>
      <c r="M85" s="15">
        <f>IF(L85&lt;$D$16,$D$12,IF(L85&lt;$E$16,$E$12,$F$13))</f>
        <v/>
      </c>
      <c r="N85" s="15">
        <f>M85-V85</f>
        <v/>
      </c>
      <c r="O85" s="15">
        <f>IF(MOD(L85,$B$11)=0,OFFSET(O85,-$B$11,0)+ $E$2*N85+$E$3*OFFSET(N85,-$B$11,0)+ $E$4*OFFSET(N85,-2* $B$11,0), O84)</f>
        <v/>
      </c>
      <c r="P85" s="15">
        <f>INT((2^$J$12-1)*O85/100)/(2^$J$12-1)*100</f>
        <v/>
      </c>
      <c r="Q85" s="15" t="n">
        <v>0</v>
      </c>
      <c r="R85" s="15">
        <f>P85+Q85</f>
        <v/>
      </c>
      <c r="S85" s="15">
        <f>$I$1*S84-$I$2*S83+$I$3*R64+$I$4*R63</f>
        <v/>
      </c>
      <c r="T85" s="15" t="n">
        <v>0</v>
      </c>
      <c r="U85" s="15">
        <f>S85+T85</f>
        <v/>
      </c>
      <c r="V85" s="15">
        <f>INT((2^$J$12-1)*U85/100)/(2^$J$12-1)*100</f>
        <v/>
      </c>
      <c r="X85" s="15">
        <f>M85 * 1.05</f>
        <v/>
      </c>
      <c r="Y85" s="15">
        <f>M85 * 0.95</f>
        <v/>
      </c>
      <c r="Z85" s="15">
        <f>IF(AND(V85 &lt;= X85, V85 &gt;= Y85), 1, 0)</f>
        <v/>
      </c>
      <c r="AC85" s="15">
        <f>N85^2</f>
        <v/>
      </c>
      <c r="AD85" s="15">
        <f>ABS(N85)</f>
        <v/>
      </c>
      <c r="AE85" s="15">
        <f>IF(M85&gt;0, ABS(N85)*(L85-$D$16),0)</f>
        <v/>
      </c>
    </row>
    <row r="86">
      <c r="L86" s="15" t="n">
        <v>84</v>
      </c>
      <c r="M86" s="15">
        <f>IF(L86&lt;$D$16,$D$12,IF(L86&lt;$E$16,$E$12,$F$13))</f>
        <v/>
      </c>
      <c r="N86" s="15">
        <f>M86-V86</f>
        <v/>
      </c>
      <c r="O86" s="15">
        <f>IF(MOD(L86,$B$11)=0,OFFSET(O86,-$B$11,0)+ $E$2*N86+$E$3*OFFSET(N86,-$B$11,0)+ $E$4*OFFSET(N86,-2* $B$11,0), O85)</f>
        <v/>
      </c>
      <c r="P86" s="15">
        <f>INT((2^$J$12-1)*O86/100)/(2^$J$12-1)*100</f>
        <v/>
      </c>
      <c r="Q86" s="15" t="n">
        <v>0</v>
      </c>
      <c r="R86" s="15">
        <f>P86+Q86</f>
        <v/>
      </c>
      <c r="S86" s="15">
        <f>$I$1*S85-$I$2*S84+$I$3*R65+$I$4*R64</f>
        <v/>
      </c>
      <c r="T86" s="15" t="n">
        <v>0</v>
      </c>
      <c r="U86" s="15">
        <f>S86+T86</f>
        <v/>
      </c>
      <c r="V86" s="15">
        <f>INT((2^$J$12-1)*U86/100)/(2^$J$12-1)*100</f>
        <v/>
      </c>
      <c r="X86" s="15">
        <f>M86 * 1.05</f>
        <v/>
      </c>
      <c r="Y86" s="15">
        <f>M86 * 0.95</f>
        <v/>
      </c>
      <c r="Z86" s="15">
        <f>IF(AND(V86 &lt;= X86, V86 &gt;= Y86), 1, 0)</f>
        <v/>
      </c>
      <c r="AC86" s="15">
        <f>N86^2</f>
        <v/>
      </c>
      <c r="AD86" s="15">
        <f>ABS(N86)</f>
        <v/>
      </c>
      <c r="AE86" s="15">
        <f>IF(M86&gt;0, ABS(N86)*(L86-$D$16),0)</f>
        <v/>
      </c>
    </row>
    <row r="87">
      <c r="L87" s="15" t="n">
        <v>85</v>
      </c>
      <c r="M87" s="15">
        <f>IF(L87&lt;$D$16,$D$12,IF(L87&lt;$E$16,$E$12,$F$13))</f>
        <v/>
      </c>
      <c r="N87" s="15">
        <f>M87-V87</f>
        <v/>
      </c>
      <c r="O87" s="15">
        <f>IF(MOD(L87,$B$11)=0,OFFSET(O87,-$B$11,0)+ $E$2*N87+$E$3*OFFSET(N87,-$B$11,0)+ $E$4*OFFSET(N87,-2* $B$11,0), O86)</f>
        <v/>
      </c>
      <c r="P87" s="15">
        <f>INT((2^$J$12-1)*O87/100)/(2^$J$12-1)*100</f>
        <v/>
      </c>
      <c r="Q87" s="15" t="n">
        <v>0</v>
      </c>
      <c r="R87" s="15">
        <f>P87+Q87</f>
        <v/>
      </c>
      <c r="S87" s="15">
        <f>$I$1*S86-$I$2*S85+$I$3*R66+$I$4*R65</f>
        <v/>
      </c>
      <c r="T87" s="15" t="n">
        <v>0</v>
      </c>
      <c r="U87" s="15">
        <f>S87+T87</f>
        <v/>
      </c>
      <c r="V87" s="15">
        <f>INT((2^$J$12-1)*U87/100)/(2^$J$12-1)*100</f>
        <v/>
      </c>
      <c r="X87" s="15">
        <f>M87 * 1.05</f>
        <v/>
      </c>
      <c r="Y87" s="15">
        <f>M87 * 0.95</f>
        <v/>
      </c>
      <c r="Z87" s="15">
        <f>IF(AND(V87 &lt;= X87, V87 &gt;= Y87), 1, 0)</f>
        <v/>
      </c>
      <c r="AC87" s="15">
        <f>N87^2</f>
        <v/>
      </c>
      <c r="AD87" s="15">
        <f>ABS(N87)</f>
        <v/>
      </c>
      <c r="AE87" s="15">
        <f>IF(M87&gt;0, ABS(N87)*(L87-$D$16),0)</f>
        <v/>
      </c>
    </row>
    <row r="88">
      <c r="L88" s="15" t="n">
        <v>86</v>
      </c>
      <c r="M88" s="15">
        <f>IF(L88&lt;$D$16,$D$12,IF(L88&lt;$E$16,$E$12,$F$13))</f>
        <v/>
      </c>
      <c r="N88" s="15">
        <f>M88-V88</f>
        <v/>
      </c>
      <c r="O88" s="15">
        <f>IF(MOD(L88,$B$11)=0,OFFSET(O88,-$B$11,0)+ $E$2*N88+$E$3*OFFSET(N88,-$B$11,0)+ $E$4*OFFSET(N88,-2* $B$11,0), O87)</f>
        <v/>
      </c>
      <c r="P88" s="15">
        <f>INT((2^$J$12-1)*O88/100)/(2^$J$12-1)*100</f>
        <v/>
      </c>
      <c r="Q88" s="15" t="n">
        <v>0</v>
      </c>
      <c r="R88" s="15">
        <f>P88+Q88</f>
        <v/>
      </c>
      <c r="S88" s="15">
        <f>$I$1*S87-$I$2*S86+$I$3*R67+$I$4*R66</f>
        <v/>
      </c>
      <c r="T88" s="15" t="n">
        <v>0</v>
      </c>
      <c r="U88" s="15">
        <f>S88+T88</f>
        <v/>
      </c>
      <c r="V88" s="15">
        <f>INT((2^$J$12-1)*U88/100)/(2^$J$12-1)*100</f>
        <v/>
      </c>
      <c r="X88" s="15">
        <f>M88 * 1.05</f>
        <v/>
      </c>
      <c r="Y88" s="15">
        <f>M88 * 0.95</f>
        <v/>
      </c>
      <c r="Z88" s="15">
        <f>IF(AND(V88 &lt;= X88, V88 &gt;= Y88), 1, 0)</f>
        <v/>
      </c>
      <c r="AC88" s="15">
        <f>N88^2</f>
        <v/>
      </c>
      <c r="AD88" s="15">
        <f>ABS(N88)</f>
        <v/>
      </c>
      <c r="AE88" s="15">
        <f>IF(M88&gt;0, ABS(N88)*(L88-$D$16),0)</f>
        <v/>
      </c>
    </row>
    <row r="89">
      <c r="L89" s="15" t="n">
        <v>87</v>
      </c>
      <c r="M89" s="15">
        <f>IF(L89&lt;$D$16,$D$12,IF(L89&lt;$E$16,$E$12,$F$13))</f>
        <v/>
      </c>
      <c r="N89" s="15">
        <f>M89-V89</f>
        <v/>
      </c>
      <c r="O89" s="15">
        <f>IF(MOD(L89,$B$11)=0,OFFSET(O89,-$B$11,0)+ $E$2*N89+$E$3*OFFSET(N89,-$B$11,0)+ $E$4*OFFSET(N89,-2* $B$11,0), O88)</f>
        <v/>
      </c>
      <c r="P89" s="15">
        <f>INT((2^$J$12-1)*O89/100)/(2^$J$12-1)*100</f>
        <v/>
      </c>
      <c r="Q89" s="15" t="n">
        <v>0</v>
      </c>
      <c r="R89" s="15">
        <f>P89+Q89</f>
        <v/>
      </c>
      <c r="S89" s="15">
        <f>$I$1*S88-$I$2*S87+$I$3*R68+$I$4*R67</f>
        <v/>
      </c>
      <c r="T89" s="15" t="n">
        <v>0</v>
      </c>
      <c r="U89" s="15">
        <f>S89+T89</f>
        <v/>
      </c>
      <c r="V89" s="15">
        <f>INT((2^$J$12-1)*U89/100)/(2^$J$12-1)*100</f>
        <v/>
      </c>
      <c r="X89" s="15">
        <f>M89 * 1.05</f>
        <v/>
      </c>
      <c r="Y89" s="15">
        <f>M89 * 0.95</f>
        <v/>
      </c>
      <c r="Z89" s="15">
        <f>IF(AND(V89 &lt;= X89, V89 &gt;= Y89), 1, 0)</f>
        <v/>
      </c>
      <c r="AC89" s="15">
        <f>N89^2</f>
        <v/>
      </c>
      <c r="AD89" s="15">
        <f>ABS(N89)</f>
        <v/>
      </c>
      <c r="AE89" s="15">
        <f>IF(M89&gt;0, ABS(N89)*(L89-$D$16),0)</f>
        <v/>
      </c>
    </row>
    <row r="90">
      <c r="L90" s="15" t="n">
        <v>88</v>
      </c>
      <c r="M90" s="15">
        <f>IF(L90&lt;$D$16,$D$12,IF(L90&lt;$E$16,$E$12,$F$13))</f>
        <v/>
      </c>
      <c r="N90" s="15">
        <f>M90-V90</f>
        <v/>
      </c>
      <c r="O90" s="15">
        <f>IF(MOD(L90,$B$11)=0,OFFSET(O90,-$B$11,0)+ $E$2*N90+$E$3*OFFSET(N90,-$B$11,0)+ $E$4*OFFSET(N90,-2* $B$11,0), O89)</f>
        <v/>
      </c>
      <c r="P90" s="15">
        <f>INT((2^$J$12-1)*O90/100)/(2^$J$12-1)*100</f>
        <v/>
      </c>
      <c r="Q90" s="15" t="n">
        <v>0</v>
      </c>
      <c r="R90" s="15">
        <f>P90+Q90</f>
        <v/>
      </c>
      <c r="S90" s="15">
        <f>$I$1*S89-$I$2*S88+$I$3*R69+$I$4*R68</f>
        <v/>
      </c>
      <c r="T90" s="15" t="n">
        <v>0</v>
      </c>
      <c r="U90" s="15">
        <f>S90+T90</f>
        <v/>
      </c>
      <c r="V90" s="15">
        <f>INT((2^$J$12-1)*U90/100)/(2^$J$12-1)*100</f>
        <v/>
      </c>
      <c r="X90" s="15">
        <f>M90 * 1.05</f>
        <v/>
      </c>
      <c r="Y90" s="15">
        <f>M90 * 0.95</f>
        <v/>
      </c>
      <c r="Z90" s="15">
        <f>IF(AND(V90 &lt;= X90, V90 &gt;= Y90), 1, 0)</f>
        <v/>
      </c>
      <c r="AC90" s="15">
        <f>N90^2</f>
        <v/>
      </c>
      <c r="AD90" s="15">
        <f>ABS(N90)</f>
        <v/>
      </c>
      <c r="AE90" s="15">
        <f>IF(M90&gt;0, ABS(N90)*(L90-$D$16),0)</f>
        <v/>
      </c>
    </row>
    <row r="91">
      <c r="L91" s="27" t="n">
        <v>89</v>
      </c>
      <c r="M91" s="15">
        <f>IF(L91&lt;$D$16,$D$12,IF(L91&lt;$E$16,$E$12,$F$13))</f>
        <v/>
      </c>
      <c r="N91" s="15">
        <f>M91-V91</f>
        <v/>
      </c>
      <c r="O91" s="15">
        <f>IF(MOD(L91,$B$11)=0,OFFSET(O91,-$B$11,0)+ $E$2*N91+$E$3*OFFSET(N91,-$B$11,0)+ $E$4*OFFSET(N91,-2* $B$11,0), O90)</f>
        <v/>
      </c>
      <c r="P91" s="15">
        <f>INT((2^$J$12-1)*O91/100)/(2^$J$12-1)*100</f>
        <v/>
      </c>
      <c r="Q91" s="15" t="n">
        <v>0</v>
      </c>
      <c r="R91" s="15">
        <f>P91+Q91</f>
        <v/>
      </c>
      <c r="S91" s="15">
        <f>$I$1*S90-$I$2*S89+$I$3*R70+$I$4*R69</f>
        <v/>
      </c>
      <c r="T91" s="15" t="n">
        <v>0</v>
      </c>
      <c r="U91" s="15">
        <f>S91+T91</f>
        <v/>
      </c>
      <c r="V91" s="15">
        <f>INT((2^$J$12-1)*U91/100)/(2^$J$12-1)*100</f>
        <v/>
      </c>
      <c r="X91" s="15">
        <f>M91 * 1.05</f>
        <v/>
      </c>
      <c r="Y91" s="15">
        <f>M91 * 0.95</f>
        <v/>
      </c>
      <c r="Z91" s="15">
        <f>IF(AND(V91 &lt;= X91, V91 &gt;= Y91), 1, 0)</f>
        <v/>
      </c>
      <c r="AC91" s="15">
        <f>N91^2</f>
        <v/>
      </c>
      <c r="AD91" s="15">
        <f>ABS(N91)</f>
        <v/>
      </c>
      <c r="AE91" s="15">
        <f>IF(M91&gt;0, ABS(N91)*(L91-$D$16),0)</f>
        <v/>
      </c>
    </row>
    <row r="92">
      <c r="L92" s="15" t="n">
        <v>90</v>
      </c>
      <c r="M92" s="15">
        <f>IF(L92&lt;$D$16,$D$12,IF(L92&lt;$E$16,$E$12,$F$13))</f>
        <v/>
      </c>
      <c r="N92" s="15">
        <f>M92-V92</f>
        <v/>
      </c>
      <c r="O92" s="15">
        <f>IF(MOD(L92,$B$11)=0,OFFSET(O92,-$B$11,0)+ $E$2*N92+$E$3*OFFSET(N92,-$B$11,0)+ $E$4*OFFSET(N92,-2* $B$11,0), O91)</f>
        <v/>
      </c>
      <c r="P92" s="15">
        <f>INT((2^$J$12-1)*O92/100)/(2^$J$12-1)*100</f>
        <v/>
      </c>
      <c r="Q92" s="15" t="n">
        <v>0</v>
      </c>
      <c r="R92" s="15">
        <f>P92+Q92</f>
        <v/>
      </c>
      <c r="S92" s="15">
        <f>$I$1*S91-$I$2*S90+$I$3*R71+$I$4*R70</f>
        <v/>
      </c>
      <c r="T92" s="15" t="n">
        <v>0</v>
      </c>
      <c r="U92" s="15">
        <f>S92+T92</f>
        <v/>
      </c>
      <c r="V92" s="15">
        <f>INT((2^$J$12-1)*U92/100)/(2^$J$12-1)*100</f>
        <v/>
      </c>
      <c r="X92" s="15">
        <f>M92 * 1.05</f>
        <v/>
      </c>
      <c r="Y92" s="15">
        <f>M92 * 0.95</f>
        <v/>
      </c>
      <c r="Z92" s="15">
        <f>IF(AND(V92 &lt;= X92, V92 &gt;= Y92), 1, 0)</f>
        <v/>
      </c>
      <c r="AC92" s="15">
        <f>N92^2</f>
        <v/>
      </c>
      <c r="AD92" s="15">
        <f>ABS(N92)</f>
        <v/>
      </c>
      <c r="AE92" s="15">
        <f>IF(M92&gt;0, ABS(N92)*(L92-$D$16),0)</f>
        <v/>
      </c>
    </row>
    <row r="93">
      <c r="L93" s="15" t="n">
        <v>91</v>
      </c>
      <c r="M93" s="15">
        <f>IF(L93&lt;$D$16,$D$12,IF(L93&lt;$E$16,$E$12,$F$13))</f>
        <v/>
      </c>
      <c r="N93" s="15">
        <f>M93-V93</f>
        <v/>
      </c>
      <c r="O93" s="15">
        <f>IF(MOD(L93,$B$11)=0,OFFSET(O93,-$B$11,0)+ $E$2*N93+$E$3*OFFSET(N93,-$B$11,0)+ $E$4*OFFSET(N93,-2* $B$11,0), O92)</f>
        <v/>
      </c>
      <c r="P93" s="15">
        <f>INT((2^$J$12-1)*O93/100)/(2^$J$12-1)*100</f>
        <v/>
      </c>
      <c r="Q93" s="15" t="n">
        <v>0</v>
      </c>
      <c r="R93" s="15">
        <f>P93+Q93</f>
        <v/>
      </c>
      <c r="S93" s="15">
        <f>$I$1*S92-$I$2*S91+$I$3*R72+$I$4*R71</f>
        <v/>
      </c>
      <c r="T93" s="15" t="n">
        <v>0</v>
      </c>
      <c r="U93" s="15">
        <f>S93+T93</f>
        <v/>
      </c>
      <c r="V93" s="15">
        <f>INT((2^$J$12-1)*U93/100)/(2^$J$12-1)*100</f>
        <v/>
      </c>
      <c r="X93" s="15">
        <f>M93 * 1.05</f>
        <v/>
      </c>
      <c r="Y93" s="15">
        <f>M93 * 0.95</f>
        <v/>
      </c>
      <c r="Z93" s="15">
        <f>IF(AND(V93 &lt;= X93, V93 &gt;= Y93), 1, 0)</f>
        <v/>
      </c>
      <c r="AC93" s="15">
        <f>N93^2</f>
        <v/>
      </c>
      <c r="AD93" s="15">
        <f>ABS(N93)</f>
        <v/>
      </c>
      <c r="AE93" s="15">
        <f>IF(M93&gt;0, ABS(N93)*(L93-$D$16),0)</f>
        <v/>
      </c>
    </row>
    <row r="94">
      <c r="L94" s="15" t="n">
        <v>92</v>
      </c>
      <c r="M94" s="15">
        <f>IF(L94&lt;$D$16,$D$12,IF(L94&lt;$E$16,$E$12,$F$13))</f>
        <v/>
      </c>
      <c r="N94" s="15">
        <f>M94-V94</f>
        <v/>
      </c>
      <c r="O94" s="15">
        <f>IF(MOD(L94,$B$11)=0,OFFSET(O94,-$B$11,0)+ $E$2*N94+$E$3*OFFSET(N94,-$B$11,0)+ $E$4*OFFSET(N94,-2* $B$11,0), O93)</f>
        <v/>
      </c>
      <c r="P94" s="15">
        <f>INT((2^$J$12-1)*O94/100)/(2^$J$12-1)*100</f>
        <v/>
      </c>
      <c r="Q94" s="15" t="n">
        <v>0</v>
      </c>
      <c r="R94" s="15">
        <f>P94+Q94</f>
        <v/>
      </c>
      <c r="S94" s="15">
        <f>$I$1*S93-$I$2*S92+$I$3*R73+$I$4*R72</f>
        <v/>
      </c>
      <c r="T94" s="15" t="n">
        <v>0</v>
      </c>
      <c r="U94" s="15">
        <f>S94+T94</f>
        <v/>
      </c>
      <c r="V94" s="15">
        <f>INT((2^$J$12-1)*U94/100)/(2^$J$12-1)*100</f>
        <v/>
      </c>
      <c r="X94" s="15">
        <f>M94 * 1.05</f>
        <v/>
      </c>
      <c r="Y94" s="15">
        <f>M94 * 0.95</f>
        <v/>
      </c>
      <c r="Z94" s="15">
        <f>IF(AND(V94 &lt;= X94, V94 &gt;= Y94), 1, 0)</f>
        <v/>
      </c>
      <c r="AC94" s="15">
        <f>N94^2</f>
        <v/>
      </c>
      <c r="AD94" s="15">
        <f>ABS(N94)</f>
        <v/>
      </c>
      <c r="AE94" s="15">
        <f>IF(M94&gt;0, ABS(N94)*(L94-$D$16),0)</f>
        <v/>
      </c>
    </row>
    <row r="95">
      <c r="L95" s="15" t="n">
        <v>93</v>
      </c>
      <c r="M95" s="15">
        <f>IF(L95&lt;$D$16,$D$12,IF(L95&lt;$E$16,$E$12,$F$13))</f>
        <v/>
      </c>
      <c r="N95" s="15">
        <f>M95-V95</f>
        <v/>
      </c>
      <c r="O95" s="15">
        <f>IF(MOD(L95,$B$11)=0,OFFSET(O95,-$B$11,0)+ $E$2*N95+$E$3*OFFSET(N95,-$B$11,0)+ $E$4*OFFSET(N95,-2* $B$11,0), O94)</f>
        <v/>
      </c>
      <c r="P95" s="15">
        <f>INT((2^$J$12-1)*O95/100)/(2^$J$12-1)*100</f>
        <v/>
      </c>
      <c r="Q95" s="15" t="n">
        <v>0</v>
      </c>
      <c r="R95" s="15">
        <f>P95+Q95</f>
        <v/>
      </c>
      <c r="S95" s="15">
        <f>$I$1*S94-$I$2*S93+$I$3*R74+$I$4*R73</f>
        <v/>
      </c>
      <c r="T95" s="15" t="n">
        <v>0</v>
      </c>
      <c r="U95" s="15">
        <f>S95+T95</f>
        <v/>
      </c>
      <c r="V95" s="15">
        <f>INT((2^$J$12-1)*U95/100)/(2^$J$12-1)*100</f>
        <v/>
      </c>
      <c r="X95" s="15">
        <f>M95 * 1.05</f>
        <v/>
      </c>
      <c r="Y95" s="15">
        <f>M95 * 0.95</f>
        <v/>
      </c>
      <c r="Z95" s="15">
        <f>IF(AND(V95 &lt;= X95, V95 &gt;= Y95), 1, 0)</f>
        <v/>
      </c>
      <c r="AC95" s="15">
        <f>N95^2</f>
        <v/>
      </c>
      <c r="AD95" s="15">
        <f>ABS(N95)</f>
        <v/>
      </c>
      <c r="AE95" s="15">
        <f>IF(M95&gt;0, ABS(N95)*(L95-$D$16),0)</f>
        <v/>
      </c>
    </row>
    <row r="96">
      <c r="L96" s="15" t="n">
        <v>94</v>
      </c>
      <c r="M96" s="15">
        <f>IF(L96&lt;$D$16,$D$12,IF(L96&lt;$E$16,$E$12,$F$13))</f>
        <v/>
      </c>
      <c r="N96" s="15">
        <f>M96-V96</f>
        <v/>
      </c>
      <c r="O96" s="15">
        <f>IF(MOD(L96,$B$11)=0,OFFSET(O96,-$B$11,0)+ $E$2*N96+$E$3*OFFSET(N96,-$B$11,0)+ $E$4*OFFSET(N96,-2* $B$11,0), O95)</f>
        <v/>
      </c>
      <c r="P96" s="15">
        <f>INT((2^$J$12-1)*O96/100)/(2^$J$12-1)*100</f>
        <v/>
      </c>
      <c r="Q96" s="15" t="n">
        <v>0</v>
      </c>
      <c r="R96" s="15">
        <f>P96+Q96</f>
        <v/>
      </c>
      <c r="S96" s="15">
        <f>$I$1*S95-$I$2*S94+$I$3*R75+$I$4*R74</f>
        <v/>
      </c>
      <c r="T96" s="15" t="n">
        <v>0</v>
      </c>
      <c r="U96" s="15">
        <f>S96+T96</f>
        <v/>
      </c>
      <c r="V96" s="15">
        <f>INT((2^$J$12-1)*U96/100)/(2^$J$12-1)*100</f>
        <v/>
      </c>
      <c r="X96" s="15">
        <f>M96 * 1.05</f>
        <v/>
      </c>
      <c r="Y96" s="15">
        <f>M96 * 0.95</f>
        <v/>
      </c>
      <c r="Z96" s="15">
        <f>IF(AND(V96 &lt;= X96, V96 &gt;= Y96), 1, 0)</f>
        <v/>
      </c>
      <c r="AC96" s="15">
        <f>N96^2</f>
        <v/>
      </c>
      <c r="AD96" s="15">
        <f>ABS(N96)</f>
        <v/>
      </c>
      <c r="AE96" s="15">
        <f>IF(M96&gt;0, ABS(N96)*(L96-$D$16),0)</f>
        <v/>
      </c>
    </row>
    <row r="97">
      <c r="L97" s="15" t="n">
        <v>95</v>
      </c>
      <c r="M97" s="15">
        <f>IF(L97&lt;$D$16,$D$12,IF(L97&lt;$E$16,$E$12,$F$13))</f>
        <v/>
      </c>
      <c r="N97" s="15">
        <f>M97-V97</f>
        <v/>
      </c>
      <c r="O97" s="15">
        <f>IF(MOD(L97,$B$11)=0,OFFSET(O97,-$B$11,0)+ $E$2*N97+$E$3*OFFSET(N97,-$B$11,0)+ $E$4*OFFSET(N97,-2* $B$11,0), O96)</f>
        <v/>
      </c>
      <c r="P97" s="15">
        <f>INT((2^$J$12-1)*O97/100)/(2^$J$12-1)*100</f>
        <v/>
      </c>
      <c r="Q97" s="15" t="n">
        <v>0</v>
      </c>
      <c r="R97" s="15">
        <f>P97+Q97</f>
        <v/>
      </c>
      <c r="S97" s="15">
        <f>$I$1*S96-$I$2*S95+$I$3*R76+$I$4*R75</f>
        <v/>
      </c>
      <c r="T97" s="15" t="n">
        <v>0</v>
      </c>
      <c r="U97" s="15">
        <f>S97+T97</f>
        <v/>
      </c>
      <c r="V97" s="15">
        <f>INT((2^$J$12-1)*U97/100)/(2^$J$12-1)*100</f>
        <v/>
      </c>
      <c r="X97" s="15">
        <f>M97 * 1.05</f>
        <v/>
      </c>
      <c r="Y97" s="15">
        <f>M97 * 0.95</f>
        <v/>
      </c>
      <c r="Z97" s="15">
        <f>IF(AND(V97 &lt;= X97, V97 &gt;= Y97), 1, 0)</f>
        <v/>
      </c>
      <c r="AC97" s="15">
        <f>N97^2</f>
        <v/>
      </c>
      <c r="AD97" s="15">
        <f>ABS(N97)</f>
        <v/>
      </c>
      <c r="AE97" s="15">
        <f>IF(M97&gt;0, ABS(N97)*(L97-$D$16),0)</f>
        <v/>
      </c>
    </row>
    <row r="98">
      <c r="L98" s="15" t="n">
        <v>96</v>
      </c>
      <c r="M98" s="15">
        <f>IF(L98&lt;$D$16,$D$12,IF(L98&lt;$E$16,$E$12,$F$13))</f>
        <v/>
      </c>
      <c r="N98" s="15">
        <f>M98-V98</f>
        <v/>
      </c>
      <c r="O98" s="15">
        <f>IF(MOD(L98,$B$11)=0,OFFSET(O98,-$B$11,0)+ $E$2*N98+$E$3*OFFSET(N98,-$B$11,0)+ $E$4*OFFSET(N98,-2* $B$11,0), O97)</f>
        <v/>
      </c>
      <c r="P98" s="15">
        <f>INT((2^$J$12-1)*O98/100)/(2^$J$12-1)*100</f>
        <v/>
      </c>
      <c r="Q98" s="15" t="n">
        <v>0</v>
      </c>
      <c r="R98" s="15">
        <f>P98+Q98</f>
        <v/>
      </c>
      <c r="S98" s="15">
        <f>$I$1*S97-$I$2*S96+$I$3*R77+$I$4*R76</f>
        <v/>
      </c>
      <c r="T98" s="15" t="n">
        <v>0</v>
      </c>
      <c r="U98" s="15">
        <f>S98+T98</f>
        <v/>
      </c>
      <c r="V98" s="15">
        <f>INT((2^$J$12-1)*U98/100)/(2^$J$12-1)*100</f>
        <v/>
      </c>
      <c r="X98" s="15">
        <f>M98 * 1.05</f>
        <v/>
      </c>
      <c r="Y98" s="15">
        <f>M98 * 0.95</f>
        <v/>
      </c>
      <c r="Z98" s="15">
        <f>IF(AND(V98 &lt;= X98, V98 &gt;= Y98), 1, 0)</f>
        <v/>
      </c>
      <c r="AC98" s="15">
        <f>N98^2</f>
        <v/>
      </c>
      <c r="AD98" s="15">
        <f>ABS(N98)</f>
        <v/>
      </c>
      <c r="AE98" s="15">
        <f>IF(M98&gt;0, ABS(N98)*(L98-$D$16),0)</f>
        <v/>
      </c>
    </row>
    <row r="99">
      <c r="L99" s="15" t="n">
        <v>97</v>
      </c>
      <c r="M99" s="15">
        <f>IF(L99&lt;$D$16,$D$12,IF(L99&lt;$E$16,$E$12,$F$13))</f>
        <v/>
      </c>
      <c r="N99" s="15">
        <f>M99-V99</f>
        <v/>
      </c>
      <c r="O99" s="15">
        <f>IF(MOD(L99,$B$11)=0,OFFSET(O99,-$B$11,0)+ $E$2*N99+$E$3*OFFSET(N99,-$B$11,0)+ $E$4*OFFSET(N99,-2* $B$11,0), O98)</f>
        <v/>
      </c>
      <c r="P99" s="15">
        <f>INT((2^$J$12-1)*O99/100)/(2^$J$12-1)*100</f>
        <v/>
      </c>
      <c r="Q99" s="15" t="n">
        <v>0</v>
      </c>
      <c r="R99" s="15">
        <f>P99+Q99</f>
        <v/>
      </c>
      <c r="S99" s="15">
        <f>$I$1*S98-$I$2*S97+$I$3*R78+$I$4*R77</f>
        <v/>
      </c>
      <c r="T99" s="15" t="n">
        <v>0</v>
      </c>
      <c r="U99" s="15">
        <f>S99+T99</f>
        <v/>
      </c>
      <c r="V99" s="15">
        <f>INT((2^$J$12-1)*U99/100)/(2^$J$12-1)*100</f>
        <v/>
      </c>
      <c r="X99" s="15">
        <f>M99 * 1.05</f>
        <v/>
      </c>
      <c r="Y99" s="15">
        <f>M99 * 0.95</f>
        <v/>
      </c>
      <c r="Z99" s="15">
        <f>IF(AND(V99 &lt;= X99, V99 &gt;= Y99), 1, 0)</f>
        <v/>
      </c>
      <c r="AC99" s="15">
        <f>N99^2</f>
        <v/>
      </c>
      <c r="AD99" s="15">
        <f>ABS(N99)</f>
        <v/>
      </c>
      <c r="AE99" s="15">
        <f>IF(M99&gt;0, ABS(N99)*(L99-$D$16),0)</f>
        <v/>
      </c>
    </row>
    <row r="100">
      <c r="L100" s="15" t="n">
        <v>98</v>
      </c>
      <c r="M100" s="15">
        <f>IF(L100&lt;$D$16,$D$12,IF(L100&lt;$E$16,$E$12,$F$13))</f>
        <v/>
      </c>
      <c r="N100" s="15">
        <f>M100-V100</f>
        <v/>
      </c>
      <c r="O100" s="15">
        <f>IF(MOD(L100,$B$11)=0,OFFSET(O100,-$B$11,0)+ $E$2*N100+$E$3*OFFSET(N100,-$B$11,0)+ $E$4*OFFSET(N100,-2* $B$11,0), O99)</f>
        <v/>
      </c>
      <c r="P100" s="15">
        <f>INT((2^$J$12-1)*O100/100)/(2^$J$12-1)*100</f>
        <v/>
      </c>
      <c r="Q100" s="15" t="n">
        <v>0</v>
      </c>
      <c r="R100" s="15">
        <f>P100+Q100</f>
        <v/>
      </c>
      <c r="S100" s="15">
        <f>$I$1*S99-$I$2*S98+$I$3*R79+$I$4*R78</f>
        <v/>
      </c>
      <c r="T100" s="15" t="n">
        <v>0</v>
      </c>
      <c r="U100" s="15">
        <f>S100+T100</f>
        <v/>
      </c>
      <c r="V100" s="15">
        <f>INT((2^$J$12-1)*U100/100)/(2^$J$12-1)*100</f>
        <v/>
      </c>
      <c r="X100" s="15">
        <f>M100 * 1.05</f>
        <v/>
      </c>
      <c r="Y100" s="15">
        <f>M100 * 0.95</f>
        <v/>
      </c>
      <c r="Z100" s="15">
        <f>IF(AND(V100 &lt;= X100, V100 &gt;= Y100), 1, 0)</f>
        <v/>
      </c>
      <c r="AC100" s="15">
        <f>N100^2</f>
        <v/>
      </c>
      <c r="AD100" s="15">
        <f>ABS(N100)</f>
        <v/>
      </c>
      <c r="AE100" s="15">
        <f>IF(M100&gt;0, ABS(N100)*(L100-$D$16),0)</f>
        <v/>
      </c>
    </row>
    <row r="101">
      <c r="L101" s="15" t="n">
        <v>99</v>
      </c>
      <c r="M101" s="15">
        <f>IF(L101&lt;$D$16,$D$12,IF(L101&lt;$E$16,$E$12,$F$13))</f>
        <v/>
      </c>
      <c r="N101" s="15">
        <f>M101-V101</f>
        <v/>
      </c>
      <c r="O101" s="15">
        <f>IF(MOD(L101,$B$11)=0,OFFSET(O101,-$B$11,0)+ $E$2*N101+$E$3*OFFSET(N101,-$B$11,0)+ $E$4*OFFSET(N101,-2* $B$11,0), O100)</f>
        <v/>
      </c>
      <c r="P101" s="15">
        <f>INT((2^$J$12-1)*O101/100)/(2^$J$12-1)*100</f>
        <v/>
      </c>
      <c r="Q101" s="15" t="n">
        <v>0</v>
      </c>
      <c r="R101" s="15">
        <f>P101+Q101</f>
        <v/>
      </c>
      <c r="S101" s="15">
        <f>$I$1*S100-$I$2*S99+$I$3*R80+$I$4*R79</f>
        <v/>
      </c>
      <c r="T101" s="15" t="n">
        <v>0</v>
      </c>
      <c r="U101" s="15">
        <f>S101+T101</f>
        <v/>
      </c>
      <c r="V101" s="15">
        <f>INT((2^$J$12-1)*U101/100)/(2^$J$12-1)*100</f>
        <v/>
      </c>
      <c r="X101" s="15">
        <f>M101 * 1.05</f>
        <v/>
      </c>
      <c r="Y101" s="15">
        <f>M101 * 0.95</f>
        <v/>
      </c>
      <c r="Z101" s="15">
        <f>IF(AND(V101 &lt;= X101, V101 &gt;= Y101), 1, 0)</f>
        <v/>
      </c>
      <c r="AC101" s="15">
        <f>N101^2</f>
        <v/>
      </c>
      <c r="AD101" s="15">
        <f>ABS(N101)</f>
        <v/>
      </c>
      <c r="AE101" s="15">
        <f>IF(M101&gt;0, ABS(N101)*(L101-$D$16),0)</f>
        <v/>
      </c>
    </row>
    <row r="102">
      <c r="L102" s="15" t="n">
        <v>100</v>
      </c>
      <c r="M102" s="15">
        <f>IF(L102&lt;$D$16,$D$12,IF(L102&lt;$E$16,$E$12,$F$13))</f>
        <v/>
      </c>
      <c r="N102" s="15">
        <f>M102-V102</f>
        <v/>
      </c>
      <c r="O102" s="15">
        <f>IF(MOD(L102,$B$11)=0,OFFSET(O102,-$B$11,0)+ $E$2*N102+$E$3*OFFSET(N102,-$B$11,0)+ $E$4*OFFSET(N102,-2* $B$11,0), O101)</f>
        <v/>
      </c>
      <c r="P102" s="15">
        <f>INT((2^$J$12-1)*O102/100)/(2^$J$12-1)*100</f>
        <v/>
      </c>
      <c r="Q102" s="15" t="n">
        <v>0</v>
      </c>
      <c r="R102" s="15">
        <f>P102+Q102</f>
        <v/>
      </c>
      <c r="S102" s="15">
        <f>$I$1*S101-$I$2*S100+$I$3*R81+$I$4*R80</f>
        <v/>
      </c>
      <c r="T102" s="15" t="n">
        <v>0</v>
      </c>
      <c r="U102" s="15">
        <f>S102+T102</f>
        <v/>
      </c>
      <c r="V102" s="15">
        <f>INT((2^$J$12-1)*U102/100)/(2^$J$12-1)*100</f>
        <v/>
      </c>
      <c r="X102" s="15">
        <f>M102 * 1.05</f>
        <v/>
      </c>
      <c r="Y102" s="15">
        <f>M102 * 0.95</f>
        <v/>
      </c>
      <c r="Z102" s="15">
        <f>IF(AND(V102 &lt;= X102, V102 &gt;= Y102), 1, 0)</f>
        <v/>
      </c>
      <c r="AC102" s="15">
        <f>N102^2</f>
        <v/>
      </c>
      <c r="AD102" s="15">
        <f>ABS(N102)</f>
        <v/>
      </c>
      <c r="AE102" s="15">
        <f>IF(M102&gt;0, ABS(N102)*(L102-$D$16),0)</f>
        <v/>
      </c>
    </row>
    <row r="103">
      <c r="L103" s="15" t="n">
        <v>101</v>
      </c>
      <c r="M103" s="15">
        <f>IF(L103&lt;$D$16,$D$12,IF(L103&lt;$E$16,$E$12,$F$13))</f>
        <v/>
      </c>
      <c r="N103" s="15">
        <f>M103-V103</f>
        <v/>
      </c>
      <c r="O103" s="15">
        <f>IF(MOD(L103,$B$11)=0,OFFSET(O103,-$B$11,0)+ $E$2*N103+$E$3*OFFSET(N103,-$B$11,0)+ $E$4*OFFSET(N103,-2* $B$11,0), O102)</f>
        <v/>
      </c>
      <c r="P103" s="15">
        <f>INT((2^$J$12-1)*O103/100)/(2^$J$12-1)*100</f>
        <v/>
      </c>
      <c r="Q103" s="15" t="n">
        <v>0</v>
      </c>
      <c r="R103" s="15">
        <f>P103+Q103</f>
        <v/>
      </c>
      <c r="S103" s="15">
        <f>$I$1*S102-$I$2*S101+$I$3*R82+$I$4*R81</f>
        <v/>
      </c>
      <c r="T103" s="15" t="n">
        <v>0</v>
      </c>
      <c r="U103" s="15">
        <f>S103+T103</f>
        <v/>
      </c>
      <c r="V103" s="15">
        <f>INT((2^$J$12-1)*U103/100)/(2^$J$12-1)*100</f>
        <v/>
      </c>
      <c r="X103" s="15">
        <f>M103 * 1.05</f>
        <v/>
      </c>
      <c r="Y103" s="15">
        <f>M103 * 0.95</f>
        <v/>
      </c>
      <c r="Z103" s="15">
        <f>IF(AND(V103 &lt;= X103, V103 &gt;= Y103), 1, 0)</f>
        <v/>
      </c>
      <c r="AC103" s="15">
        <f>N103^2</f>
        <v/>
      </c>
      <c r="AD103" s="15">
        <f>ABS(N103)</f>
        <v/>
      </c>
      <c r="AE103" s="15">
        <f>IF(M103&gt;0, ABS(N103)*(L103-$D$16),0)</f>
        <v/>
      </c>
    </row>
    <row r="104">
      <c r="L104" s="15" t="n">
        <v>102</v>
      </c>
      <c r="M104" s="15">
        <f>IF(L104&lt;$D$16,$D$12,IF(L104&lt;$E$16,$E$12,$F$13))</f>
        <v/>
      </c>
      <c r="N104" s="15">
        <f>M104-V104</f>
        <v/>
      </c>
      <c r="O104" s="15">
        <f>IF(MOD(L104,$B$11)=0,OFFSET(O104,-$B$11,0)+ $E$2*N104+$E$3*OFFSET(N104,-$B$11,0)+ $E$4*OFFSET(N104,-2* $B$11,0), O103)</f>
        <v/>
      </c>
      <c r="P104" s="15">
        <f>INT((2^$J$12-1)*O104/100)/(2^$J$12-1)*100</f>
        <v/>
      </c>
      <c r="Q104" s="15" t="n">
        <v>0</v>
      </c>
      <c r="R104" s="15">
        <f>P104+Q104</f>
        <v/>
      </c>
      <c r="S104" s="15">
        <f>$I$1*S103-$I$2*S102+$I$3*R83+$I$4*R82</f>
        <v/>
      </c>
      <c r="T104" s="15" t="n">
        <v>0</v>
      </c>
      <c r="U104" s="15">
        <f>S104+T104</f>
        <v/>
      </c>
      <c r="V104" s="15">
        <f>INT((2^$J$12-1)*U104/100)/(2^$J$12-1)*100</f>
        <v/>
      </c>
      <c r="X104" s="15">
        <f>M104 * 1.05</f>
        <v/>
      </c>
      <c r="Y104" s="15">
        <f>M104 * 0.95</f>
        <v/>
      </c>
      <c r="Z104" s="15">
        <f>IF(AND(V104 &lt;= X104, V104 &gt;= Y104), 1, 0)</f>
        <v/>
      </c>
      <c r="AC104" s="15">
        <f>N104^2</f>
        <v/>
      </c>
      <c r="AD104" s="15">
        <f>ABS(N104)</f>
        <v/>
      </c>
      <c r="AE104" s="15">
        <f>IF(M104&gt;0, ABS(N104)*(L104-$D$16),0)</f>
        <v/>
      </c>
    </row>
    <row r="105">
      <c r="L105" s="15" t="n">
        <v>103</v>
      </c>
      <c r="M105" s="15">
        <f>IF(L105&lt;$D$16,$D$12,IF(L105&lt;$E$16,$E$12,$F$13))</f>
        <v/>
      </c>
      <c r="N105" s="15">
        <f>M105-V105</f>
        <v/>
      </c>
      <c r="O105" s="15">
        <f>IF(MOD(L105,$B$11)=0,OFFSET(O105,-$B$11,0)+ $E$2*N105+$E$3*OFFSET(N105,-$B$11,0)+ $E$4*OFFSET(N105,-2* $B$11,0), O104)</f>
        <v/>
      </c>
      <c r="P105" s="15">
        <f>INT((2^$J$12-1)*O105/100)/(2^$J$12-1)*100</f>
        <v/>
      </c>
      <c r="Q105" s="15" t="n">
        <v>0</v>
      </c>
      <c r="R105" s="15">
        <f>P105+Q105</f>
        <v/>
      </c>
      <c r="S105" s="15">
        <f>$I$1*S104-$I$2*S103+$I$3*R84+$I$4*R83</f>
        <v/>
      </c>
      <c r="T105" s="15" t="n">
        <v>0</v>
      </c>
      <c r="U105" s="15">
        <f>S105+T105</f>
        <v/>
      </c>
      <c r="V105" s="15">
        <f>INT((2^$J$12-1)*U105/100)/(2^$J$12-1)*100</f>
        <v/>
      </c>
      <c r="X105" s="15">
        <f>M105 * 1.05</f>
        <v/>
      </c>
      <c r="Y105" s="15">
        <f>M105 * 0.95</f>
        <v/>
      </c>
      <c r="Z105" s="15">
        <f>IF(AND(V105 &lt;= X105, V105 &gt;= Y105), 1, 0)</f>
        <v/>
      </c>
      <c r="AC105" s="15">
        <f>N105^2</f>
        <v/>
      </c>
      <c r="AD105" s="15">
        <f>ABS(N105)</f>
        <v/>
      </c>
      <c r="AE105" s="15">
        <f>IF(M105&gt;0, ABS(N105)*(L105-$D$16),0)</f>
        <v/>
      </c>
    </row>
    <row r="106">
      <c r="L106" s="15" t="n">
        <v>104</v>
      </c>
      <c r="M106" s="15">
        <f>IF(L106&lt;$D$16,$D$12,IF(L106&lt;$E$16,$E$12,$F$13))</f>
        <v/>
      </c>
      <c r="N106" s="15">
        <f>M106-V106</f>
        <v/>
      </c>
      <c r="O106" s="15">
        <f>IF(MOD(L106,$B$11)=0,OFFSET(O106,-$B$11,0)+ $E$2*N106+$E$3*OFFSET(N106,-$B$11,0)+ $E$4*OFFSET(N106,-2* $B$11,0), O105)</f>
        <v/>
      </c>
      <c r="P106" s="15">
        <f>INT((2^$J$12-1)*O106/100)/(2^$J$12-1)*100</f>
        <v/>
      </c>
      <c r="Q106" s="15" t="n">
        <v>0</v>
      </c>
      <c r="R106" s="15">
        <f>P106+Q106</f>
        <v/>
      </c>
      <c r="S106" s="15">
        <f>$I$1*S105-$I$2*S104+$I$3*R85+$I$4*R84</f>
        <v/>
      </c>
      <c r="T106" s="15" t="n">
        <v>0</v>
      </c>
      <c r="U106" s="15">
        <f>S106+T106</f>
        <v/>
      </c>
      <c r="V106" s="15">
        <f>INT((2^$J$12-1)*U106/100)/(2^$J$12-1)*100</f>
        <v/>
      </c>
      <c r="X106" s="15">
        <f>M106 * 1.05</f>
        <v/>
      </c>
      <c r="Y106" s="15">
        <f>M106 * 0.95</f>
        <v/>
      </c>
      <c r="Z106" s="15">
        <f>IF(AND(V106 &lt;= X106, V106 &gt;= Y106), 1, 0)</f>
        <v/>
      </c>
      <c r="AC106" s="15">
        <f>N106^2</f>
        <v/>
      </c>
      <c r="AD106" s="15">
        <f>ABS(N106)</f>
        <v/>
      </c>
      <c r="AE106" s="15">
        <f>IF(M106&gt;0, ABS(N106)*(L106-$D$16),0)</f>
        <v/>
      </c>
    </row>
    <row r="107">
      <c r="L107" s="15" t="n">
        <v>105</v>
      </c>
      <c r="M107" s="15">
        <f>IF(L107&lt;$D$16,$D$12,IF(L107&lt;$E$16,$E$12,$F$13))</f>
        <v/>
      </c>
      <c r="N107" s="15">
        <f>M107-V107</f>
        <v/>
      </c>
      <c r="O107" s="15">
        <f>IF(MOD(L107,$B$11)=0,OFFSET(O107,-$B$11,0)+ $E$2*N107+$E$3*OFFSET(N107,-$B$11,0)+ $E$4*OFFSET(N107,-2* $B$11,0), O106)</f>
        <v/>
      </c>
      <c r="P107" s="15">
        <f>INT((2^$J$12-1)*O107/100)/(2^$J$12-1)*100</f>
        <v/>
      </c>
      <c r="Q107" s="15" t="n">
        <v>0</v>
      </c>
      <c r="R107" s="15">
        <f>P107+Q107</f>
        <v/>
      </c>
      <c r="S107" s="15">
        <f>$I$1*S106-$I$2*S105+$I$3*R86+$I$4*R85</f>
        <v/>
      </c>
      <c r="T107" s="15" t="n">
        <v>0</v>
      </c>
      <c r="U107" s="15">
        <f>S107+T107</f>
        <v/>
      </c>
      <c r="V107" s="15">
        <f>INT((2^$J$12-1)*U107/100)/(2^$J$12-1)*100</f>
        <v/>
      </c>
      <c r="X107" s="15">
        <f>M107 * 1.05</f>
        <v/>
      </c>
      <c r="Y107" s="15">
        <f>M107 * 0.95</f>
        <v/>
      </c>
      <c r="Z107" s="15">
        <f>IF(AND(V107 &lt;= X107, V107 &gt;= Y107), 1, 0)</f>
        <v/>
      </c>
      <c r="AC107" s="15">
        <f>N107^2</f>
        <v/>
      </c>
      <c r="AD107" s="15">
        <f>ABS(N107)</f>
        <v/>
      </c>
      <c r="AE107" s="15">
        <f>IF(M107&gt;0, ABS(N107)*(L107-$D$16),0)</f>
        <v/>
      </c>
    </row>
    <row r="108">
      <c r="L108" s="15" t="n">
        <v>106</v>
      </c>
      <c r="M108" s="15">
        <f>IF(L108&lt;$D$16,$D$12,IF(L108&lt;$E$16,$E$12,$F$13))</f>
        <v/>
      </c>
      <c r="N108" s="15">
        <f>M108-V108</f>
        <v/>
      </c>
      <c r="O108" s="15">
        <f>IF(MOD(L108,$B$11)=0,OFFSET(O108,-$B$11,0)+ $E$2*N108+$E$3*OFFSET(N108,-$B$11,0)+ $E$4*OFFSET(N108,-2* $B$11,0), O107)</f>
        <v/>
      </c>
      <c r="P108" s="15">
        <f>INT((2^$J$12-1)*O108/100)/(2^$J$12-1)*100</f>
        <v/>
      </c>
      <c r="Q108" s="15" t="n">
        <v>0</v>
      </c>
      <c r="R108" s="15">
        <f>P108+Q108</f>
        <v/>
      </c>
      <c r="S108" s="15">
        <f>$I$1*S107-$I$2*S106+$I$3*R87+$I$4*R86</f>
        <v/>
      </c>
      <c r="T108" s="15" t="n">
        <v>0</v>
      </c>
      <c r="U108" s="15">
        <f>S108+T108</f>
        <v/>
      </c>
      <c r="V108" s="15">
        <f>INT((2^$J$12-1)*U108/100)/(2^$J$12-1)*100</f>
        <v/>
      </c>
      <c r="X108" s="15">
        <f>M108 * 1.05</f>
        <v/>
      </c>
      <c r="Y108" s="15">
        <f>M108 * 0.95</f>
        <v/>
      </c>
      <c r="Z108" s="15">
        <f>IF(AND(V108 &lt;= X108, V108 &gt;= Y108), 1, 0)</f>
        <v/>
      </c>
      <c r="AC108" s="15">
        <f>N108^2</f>
        <v/>
      </c>
      <c r="AD108" s="15">
        <f>ABS(N108)</f>
        <v/>
      </c>
      <c r="AE108" s="15">
        <f>IF(M108&gt;0, ABS(N108)*(L108-$D$16),0)</f>
        <v/>
      </c>
    </row>
    <row r="109">
      <c r="L109" s="15" t="n">
        <v>107</v>
      </c>
      <c r="M109" s="15">
        <f>IF(L109&lt;$D$16,$D$12,IF(L109&lt;$E$16,$E$12,$F$13))</f>
        <v/>
      </c>
      <c r="N109" s="15">
        <f>M109-V109</f>
        <v/>
      </c>
      <c r="O109" s="15">
        <f>IF(MOD(L109,$B$11)=0,OFFSET(O109,-$B$11,0)+ $E$2*N109+$E$3*OFFSET(N109,-$B$11,0)+ $E$4*OFFSET(N109,-2* $B$11,0), O108)</f>
        <v/>
      </c>
      <c r="P109" s="15">
        <f>INT((2^$J$12-1)*O109/100)/(2^$J$12-1)*100</f>
        <v/>
      </c>
      <c r="Q109" s="15" t="n">
        <v>0</v>
      </c>
      <c r="R109" s="15">
        <f>P109+Q109</f>
        <v/>
      </c>
      <c r="S109" s="15">
        <f>$I$1*S108-$I$2*S107+$I$3*R88+$I$4*R87</f>
        <v/>
      </c>
      <c r="T109" s="15" t="n">
        <v>0</v>
      </c>
      <c r="U109" s="15">
        <f>S109+T109</f>
        <v/>
      </c>
      <c r="V109" s="15">
        <f>INT((2^$J$12-1)*U109/100)/(2^$J$12-1)*100</f>
        <v/>
      </c>
      <c r="X109" s="15">
        <f>M109 * 1.05</f>
        <v/>
      </c>
      <c r="Y109" s="15">
        <f>M109 * 0.95</f>
        <v/>
      </c>
      <c r="Z109" s="15">
        <f>IF(AND(V109 &lt;= X109, V109 &gt;= Y109), 1, 0)</f>
        <v/>
      </c>
      <c r="AC109" s="15">
        <f>N109^2</f>
        <v/>
      </c>
      <c r="AD109" s="15">
        <f>ABS(N109)</f>
        <v/>
      </c>
      <c r="AE109" s="15">
        <f>IF(M109&gt;0, ABS(N109)*(L109-$D$16),0)</f>
        <v/>
      </c>
    </row>
    <row r="110">
      <c r="L110" s="15" t="n">
        <v>108</v>
      </c>
      <c r="M110" s="15">
        <f>IF(L110&lt;$D$16,$D$12,IF(L110&lt;$E$16,$E$12,$F$13))</f>
        <v/>
      </c>
      <c r="N110" s="15">
        <f>M110-V110</f>
        <v/>
      </c>
      <c r="O110" s="15">
        <f>IF(MOD(L110,$B$11)=0,OFFSET(O110,-$B$11,0)+ $E$2*N110+$E$3*OFFSET(N110,-$B$11,0)+ $E$4*OFFSET(N110,-2* $B$11,0), O109)</f>
        <v/>
      </c>
      <c r="P110" s="15">
        <f>INT((2^$J$12-1)*O110/100)/(2^$J$12-1)*100</f>
        <v/>
      </c>
      <c r="Q110" s="15" t="n">
        <v>0</v>
      </c>
      <c r="R110" s="15">
        <f>P110+Q110</f>
        <v/>
      </c>
      <c r="S110" s="15">
        <f>$I$1*S109-$I$2*S108+$I$3*R89+$I$4*R88</f>
        <v/>
      </c>
      <c r="T110" s="15" t="n">
        <v>0</v>
      </c>
      <c r="U110" s="15">
        <f>S110+T110</f>
        <v/>
      </c>
      <c r="V110" s="15">
        <f>INT((2^$J$12-1)*U110/100)/(2^$J$12-1)*100</f>
        <v/>
      </c>
      <c r="X110" s="15">
        <f>M110 * 1.05</f>
        <v/>
      </c>
      <c r="Y110" s="15">
        <f>M110 * 0.95</f>
        <v/>
      </c>
      <c r="Z110" s="15">
        <f>IF(AND(V110 &lt;= X110, V110 &gt;= Y110), 1, 0)</f>
        <v/>
      </c>
      <c r="AC110" s="15">
        <f>N110^2</f>
        <v/>
      </c>
      <c r="AD110" s="15">
        <f>ABS(N110)</f>
        <v/>
      </c>
      <c r="AE110" s="15">
        <f>IF(M110&gt;0, ABS(N110)*(L110-$D$16),0)</f>
        <v/>
      </c>
    </row>
    <row r="111">
      <c r="L111" s="15" t="n">
        <v>109</v>
      </c>
      <c r="M111" s="15">
        <f>IF(L111&lt;$D$16,$D$12,IF(L111&lt;$E$16,$E$12,$F$13))</f>
        <v/>
      </c>
      <c r="N111" s="15">
        <f>M111-V111</f>
        <v/>
      </c>
      <c r="O111" s="15">
        <f>IF(MOD(L111,$B$11)=0,OFFSET(O111,-$B$11,0)+ $E$2*N111+$E$3*OFFSET(N111,-$B$11,0)+ $E$4*OFFSET(N111,-2* $B$11,0), O110)</f>
        <v/>
      </c>
      <c r="P111" s="15">
        <f>INT((2^$J$12-1)*O111/100)/(2^$J$12-1)*100</f>
        <v/>
      </c>
      <c r="Q111" s="15" t="n">
        <v>0</v>
      </c>
      <c r="R111" s="15">
        <f>P111+Q111</f>
        <v/>
      </c>
      <c r="S111" s="15">
        <f>$I$1*S110-$I$2*S109+$I$3*R90+$I$4*R89</f>
        <v/>
      </c>
      <c r="T111" s="15" t="n">
        <v>0</v>
      </c>
      <c r="U111" s="15">
        <f>S111+T111</f>
        <v/>
      </c>
      <c r="V111" s="15">
        <f>INT((2^$J$12-1)*U111/100)/(2^$J$12-1)*100</f>
        <v/>
      </c>
      <c r="X111" s="15">
        <f>M111 * 1.05</f>
        <v/>
      </c>
      <c r="Y111" s="15">
        <f>M111 * 0.95</f>
        <v/>
      </c>
      <c r="Z111" s="15">
        <f>IF(AND(V111 &lt;= X111, V111 &gt;= Y111), 1, 0)</f>
        <v/>
      </c>
      <c r="AC111" s="15">
        <f>N111^2</f>
        <v/>
      </c>
      <c r="AD111" s="15">
        <f>ABS(N111)</f>
        <v/>
      </c>
      <c r="AE111" s="15">
        <f>IF(M111&gt;0, ABS(N111)*(L111-$D$16),0)</f>
        <v/>
      </c>
    </row>
    <row r="112">
      <c r="L112" s="15" t="n">
        <v>110</v>
      </c>
      <c r="M112" s="15">
        <f>IF(L112&lt;$D$16,$D$12,IF(L112&lt;$E$16,$E$12,$F$13))</f>
        <v/>
      </c>
      <c r="N112" s="15">
        <f>M112-V112</f>
        <v/>
      </c>
      <c r="O112" s="15">
        <f>IF(MOD(L112,$B$11)=0,OFFSET(O112,-$B$11,0)+ $E$2*N112+$E$3*OFFSET(N112,-$B$11,0)+ $E$4*OFFSET(N112,-2* $B$11,0), O111)</f>
        <v/>
      </c>
      <c r="P112" s="15">
        <f>INT((2^$J$12-1)*O112/100)/(2^$J$12-1)*100</f>
        <v/>
      </c>
      <c r="Q112" s="15" t="n">
        <v>0</v>
      </c>
      <c r="R112" s="15">
        <f>P112+Q112</f>
        <v/>
      </c>
      <c r="S112" s="15">
        <f>$I$1*S111-$I$2*S110+$I$3*R91+$I$4*R90</f>
        <v/>
      </c>
      <c r="T112" s="15" t="n">
        <v>0</v>
      </c>
      <c r="U112" s="15">
        <f>S112+T112</f>
        <v/>
      </c>
      <c r="V112" s="15">
        <f>INT((2^$J$12-1)*U112/100)/(2^$J$12-1)*100</f>
        <v/>
      </c>
      <c r="X112" s="15">
        <f>M112 * 1.05</f>
        <v/>
      </c>
      <c r="Y112" s="15">
        <f>M112 * 0.95</f>
        <v/>
      </c>
      <c r="Z112" s="15">
        <f>IF(AND(V112 &lt;= X112, V112 &gt;= Y112), 1, 0)</f>
        <v/>
      </c>
      <c r="AC112" s="15">
        <f>N112^2</f>
        <v/>
      </c>
      <c r="AD112" s="15">
        <f>ABS(N112)</f>
        <v/>
      </c>
      <c r="AE112" s="15">
        <f>IF(M112&gt;0, ABS(N112)*(L112-$D$16),0)</f>
        <v/>
      </c>
    </row>
    <row r="113">
      <c r="L113" s="15" t="n">
        <v>111</v>
      </c>
      <c r="M113" s="15">
        <f>IF(L113&lt;$D$16,$D$12,IF(L113&lt;$E$16,$E$12,$F$13))</f>
        <v/>
      </c>
      <c r="N113" s="15">
        <f>M113-V113</f>
        <v/>
      </c>
      <c r="O113" s="15">
        <f>IF(MOD(L113,$B$11)=0,OFFSET(O113,-$B$11,0)+ $E$2*N113+$E$3*OFFSET(N113,-$B$11,0)+ $E$4*OFFSET(N113,-2* $B$11,0), O112)</f>
        <v/>
      </c>
      <c r="P113" s="15">
        <f>INT((2^$J$12-1)*O113/100)/(2^$J$12-1)*100</f>
        <v/>
      </c>
      <c r="Q113" s="15" t="n">
        <v>0</v>
      </c>
      <c r="R113" s="15">
        <f>P113+Q113</f>
        <v/>
      </c>
      <c r="S113" s="15">
        <f>$I$1*S112-$I$2*S111+$I$3*R92+$I$4*R91</f>
        <v/>
      </c>
      <c r="T113" s="15" t="n">
        <v>0</v>
      </c>
      <c r="U113" s="15">
        <f>S113+T113</f>
        <v/>
      </c>
      <c r="V113" s="15">
        <f>INT((2^$J$12-1)*U113/100)/(2^$J$12-1)*100</f>
        <v/>
      </c>
      <c r="X113" s="15">
        <f>M113 * 1.05</f>
        <v/>
      </c>
      <c r="Y113" s="15">
        <f>M113 * 0.95</f>
        <v/>
      </c>
      <c r="Z113" s="15">
        <f>IF(AND(V113 &lt;= X113, V113 &gt;= Y113), 1, 0)</f>
        <v/>
      </c>
      <c r="AC113" s="15">
        <f>N113^2</f>
        <v/>
      </c>
      <c r="AD113" s="15">
        <f>ABS(N113)</f>
        <v/>
      </c>
      <c r="AE113" s="15">
        <f>IF(M113&gt;0, ABS(N113)*(L113-$D$16),0)</f>
        <v/>
      </c>
    </row>
    <row r="114">
      <c r="L114" s="15" t="n">
        <v>112</v>
      </c>
      <c r="M114" s="15">
        <f>IF(L114&lt;$D$16,$D$12,IF(L114&lt;$E$16,$E$12,$F$13))</f>
        <v/>
      </c>
      <c r="N114" s="15">
        <f>M114-V114</f>
        <v/>
      </c>
      <c r="O114" s="15">
        <f>IF(MOD(L114,$B$11)=0,OFFSET(O114,-$B$11,0)+ $E$2*N114+$E$3*OFFSET(N114,-$B$11,0)+ $E$4*OFFSET(N114,-2* $B$11,0), O113)</f>
        <v/>
      </c>
      <c r="P114" s="15">
        <f>INT((2^$J$12-1)*O114/100)/(2^$J$12-1)*100</f>
        <v/>
      </c>
      <c r="Q114" s="15" t="n">
        <v>0</v>
      </c>
      <c r="R114" s="15">
        <f>P114+Q114</f>
        <v/>
      </c>
      <c r="S114" s="15">
        <f>$I$1*S113-$I$2*S112+$I$3*R93+$I$4*R92</f>
        <v/>
      </c>
      <c r="T114" s="15" t="n">
        <v>0</v>
      </c>
      <c r="U114" s="15">
        <f>S114+T114</f>
        <v/>
      </c>
      <c r="V114" s="15">
        <f>INT((2^$J$12-1)*U114/100)/(2^$J$12-1)*100</f>
        <v/>
      </c>
      <c r="X114" s="15">
        <f>M114 * 1.05</f>
        <v/>
      </c>
      <c r="Y114" s="15">
        <f>M114 * 0.95</f>
        <v/>
      </c>
      <c r="Z114" s="15">
        <f>IF(AND(V114 &lt;= X114, V114 &gt;= Y114), 1, 0)</f>
        <v/>
      </c>
      <c r="AC114" s="15">
        <f>N114^2</f>
        <v/>
      </c>
      <c r="AD114" s="15">
        <f>ABS(N114)</f>
        <v/>
      </c>
      <c r="AE114" s="15">
        <f>IF(M114&gt;0, ABS(N114)*(L114-$D$16),0)</f>
        <v/>
      </c>
    </row>
    <row r="115">
      <c r="L115" s="15" t="n">
        <v>113</v>
      </c>
      <c r="M115" s="15">
        <f>IF(L115&lt;$D$16,$D$12,IF(L115&lt;$E$16,$E$12,$F$13))</f>
        <v/>
      </c>
      <c r="N115" s="15">
        <f>M115-V115</f>
        <v/>
      </c>
      <c r="O115" s="15">
        <f>IF(MOD(L115,$B$11)=0,OFFSET(O115,-$B$11,0)+ $E$2*N115+$E$3*OFFSET(N115,-$B$11,0)+ $E$4*OFFSET(N115,-2* $B$11,0), O114)</f>
        <v/>
      </c>
      <c r="P115" s="15">
        <f>INT((2^$J$12-1)*O115/100)/(2^$J$12-1)*100</f>
        <v/>
      </c>
      <c r="Q115" s="15" t="n">
        <v>0</v>
      </c>
      <c r="R115" s="15">
        <f>P115+Q115</f>
        <v/>
      </c>
      <c r="S115" s="15">
        <f>$I$1*S114-$I$2*S113+$I$3*R94+$I$4*R93</f>
        <v/>
      </c>
      <c r="T115" s="15" t="n">
        <v>0</v>
      </c>
      <c r="U115" s="15">
        <f>S115+T115</f>
        <v/>
      </c>
      <c r="V115" s="15">
        <f>INT((2^$J$12-1)*U115/100)/(2^$J$12-1)*100</f>
        <v/>
      </c>
      <c r="X115" s="15">
        <f>M115 * 1.05</f>
        <v/>
      </c>
      <c r="Y115" s="15">
        <f>M115 * 0.95</f>
        <v/>
      </c>
      <c r="Z115" s="15">
        <f>IF(AND(V115 &lt;= X115, V115 &gt;= Y115), 1, 0)</f>
        <v/>
      </c>
      <c r="AC115" s="15">
        <f>N115^2</f>
        <v/>
      </c>
      <c r="AD115" s="15">
        <f>ABS(N115)</f>
        <v/>
      </c>
      <c r="AE115" s="15">
        <f>IF(M115&gt;0, ABS(N115)*(L115-$D$16),0)</f>
        <v/>
      </c>
    </row>
    <row r="116">
      <c r="L116" s="15" t="n">
        <v>114</v>
      </c>
      <c r="M116" s="15">
        <f>IF(L116&lt;$D$16,$D$12,IF(L116&lt;$E$16,$E$12,$F$13))</f>
        <v/>
      </c>
      <c r="N116" s="15">
        <f>M116-V116</f>
        <v/>
      </c>
      <c r="O116" s="15">
        <f>IF(MOD(L116,$B$11)=0,OFFSET(O116,-$B$11,0)+ $E$2*N116+$E$3*OFFSET(N116,-$B$11,0)+ $E$4*OFFSET(N116,-2* $B$11,0), O115)</f>
        <v/>
      </c>
      <c r="P116" s="15">
        <f>INT((2^$J$12-1)*O116/100)/(2^$J$12-1)*100</f>
        <v/>
      </c>
      <c r="Q116" s="15" t="n">
        <v>0</v>
      </c>
      <c r="R116" s="15">
        <f>P116+Q116</f>
        <v/>
      </c>
      <c r="S116" s="15">
        <f>$I$1*S115-$I$2*S114+$I$3*R95+$I$4*R94</f>
        <v/>
      </c>
      <c r="T116" s="15" t="n">
        <v>0</v>
      </c>
      <c r="U116" s="15">
        <f>S116+T116</f>
        <v/>
      </c>
      <c r="V116" s="15">
        <f>INT((2^$J$12-1)*U116/100)/(2^$J$12-1)*100</f>
        <v/>
      </c>
      <c r="X116" s="15">
        <f>M116 * 1.05</f>
        <v/>
      </c>
      <c r="Y116" s="15">
        <f>M116 * 0.95</f>
        <v/>
      </c>
      <c r="Z116" s="15">
        <f>IF(AND(V116 &lt;= X116, V116 &gt;= Y116), 1, 0)</f>
        <v/>
      </c>
      <c r="AC116" s="15">
        <f>N116^2</f>
        <v/>
      </c>
      <c r="AD116" s="15">
        <f>ABS(N116)</f>
        <v/>
      </c>
      <c r="AE116" s="15">
        <f>IF(M116&gt;0, ABS(N116)*(L116-$D$16),0)</f>
        <v/>
      </c>
    </row>
    <row r="117">
      <c r="L117" s="15" t="n">
        <v>115</v>
      </c>
      <c r="M117" s="15">
        <f>IF(L117&lt;$D$16,$D$12,IF(L117&lt;$E$16,$E$12,$F$13))</f>
        <v/>
      </c>
      <c r="N117" s="15">
        <f>M117-V117</f>
        <v/>
      </c>
      <c r="O117" s="15">
        <f>IF(MOD(L117,$B$11)=0,OFFSET(O117,-$B$11,0)+ $E$2*N117+$E$3*OFFSET(N117,-$B$11,0)+ $E$4*OFFSET(N117,-2* $B$11,0), O116)</f>
        <v/>
      </c>
      <c r="P117" s="15">
        <f>INT((2^$J$12-1)*O117/100)/(2^$J$12-1)*100</f>
        <v/>
      </c>
      <c r="Q117" s="15" t="n">
        <v>0</v>
      </c>
      <c r="R117" s="15">
        <f>P117+Q117</f>
        <v/>
      </c>
      <c r="S117" s="15">
        <f>$I$1*S116-$I$2*S115+$I$3*R96+$I$4*R95</f>
        <v/>
      </c>
      <c r="T117" s="15" t="n">
        <v>0</v>
      </c>
      <c r="U117" s="15">
        <f>S117+T117</f>
        <v/>
      </c>
      <c r="V117" s="15">
        <f>INT((2^$J$12-1)*U117/100)/(2^$J$12-1)*100</f>
        <v/>
      </c>
      <c r="X117" s="15">
        <f>M117 * 1.05</f>
        <v/>
      </c>
      <c r="Y117" s="15">
        <f>M117 * 0.95</f>
        <v/>
      </c>
      <c r="Z117" s="15">
        <f>IF(AND(V117 &lt;= X117, V117 &gt;= Y117), 1, 0)</f>
        <v/>
      </c>
      <c r="AC117" s="15">
        <f>N117^2</f>
        <v/>
      </c>
      <c r="AD117" s="15">
        <f>ABS(N117)</f>
        <v/>
      </c>
      <c r="AE117" s="15">
        <f>IF(M117&gt;0, ABS(N117)*(L117-$D$16),0)</f>
        <v/>
      </c>
    </row>
    <row r="118">
      <c r="L118" s="15" t="n">
        <v>116</v>
      </c>
      <c r="M118" s="15">
        <f>IF(L118&lt;$D$16,$D$12,IF(L118&lt;$E$16,$E$12,$F$13))</f>
        <v/>
      </c>
      <c r="N118" s="15">
        <f>M118-V118</f>
        <v/>
      </c>
      <c r="O118" s="15">
        <f>IF(MOD(L118,$B$11)=0,OFFSET(O118,-$B$11,0)+ $E$2*N118+$E$3*OFFSET(N118,-$B$11,0)+ $E$4*OFFSET(N118,-2* $B$11,0), O117)</f>
        <v/>
      </c>
      <c r="P118" s="15">
        <f>INT((2^$J$12-1)*O118/100)/(2^$J$12-1)*100</f>
        <v/>
      </c>
      <c r="Q118" s="15" t="n">
        <v>0</v>
      </c>
      <c r="R118" s="15">
        <f>P118+Q118</f>
        <v/>
      </c>
      <c r="S118" s="15">
        <f>$I$1*S117-$I$2*S116+$I$3*R97+$I$4*R96</f>
        <v/>
      </c>
      <c r="T118" s="15" t="n">
        <v>0</v>
      </c>
      <c r="U118" s="15">
        <f>S118+T118</f>
        <v/>
      </c>
      <c r="V118" s="15">
        <f>INT((2^$J$12-1)*U118/100)/(2^$J$12-1)*100</f>
        <v/>
      </c>
      <c r="X118" s="15">
        <f>M118 * 1.05</f>
        <v/>
      </c>
      <c r="Y118" s="15">
        <f>M118 * 0.95</f>
        <v/>
      </c>
      <c r="Z118" s="15">
        <f>IF(AND(V118 &lt;= X118, V118 &gt;= Y118), 1, 0)</f>
        <v/>
      </c>
      <c r="AC118" s="15">
        <f>N118^2</f>
        <v/>
      </c>
      <c r="AD118" s="15">
        <f>ABS(N118)</f>
        <v/>
      </c>
      <c r="AE118" s="15">
        <f>IF(M118&gt;0, ABS(N118)*(L118-$D$16),0)</f>
        <v/>
      </c>
    </row>
    <row r="119">
      <c r="L119" s="15" t="n">
        <v>117</v>
      </c>
      <c r="M119" s="15">
        <f>IF(L119&lt;$D$16,$D$12,IF(L119&lt;$E$16,$E$12,$F$13))</f>
        <v/>
      </c>
      <c r="N119" s="15">
        <f>M119-V119</f>
        <v/>
      </c>
      <c r="O119" s="15">
        <f>IF(MOD(L119,$B$11)=0,OFFSET(O119,-$B$11,0)+ $E$2*N119+$E$3*OFFSET(N119,-$B$11,0)+ $E$4*OFFSET(N119,-2* $B$11,0), O118)</f>
        <v/>
      </c>
      <c r="P119" s="15">
        <f>INT((2^$J$12-1)*O119/100)/(2^$J$12-1)*100</f>
        <v/>
      </c>
      <c r="Q119" s="15" t="n">
        <v>0</v>
      </c>
      <c r="R119" s="15">
        <f>P119+Q119</f>
        <v/>
      </c>
      <c r="S119" s="15">
        <f>$I$1*S118-$I$2*S117+$I$3*R98+$I$4*R97</f>
        <v/>
      </c>
      <c r="T119" s="15" t="n">
        <v>0</v>
      </c>
      <c r="U119" s="15">
        <f>S119+T119</f>
        <v/>
      </c>
      <c r="V119" s="15">
        <f>INT((2^$J$12-1)*U119/100)/(2^$J$12-1)*100</f>
        <v/>
      </c>
      <c r="X119" s="15">
        <f>M119 * 1.05</f>
        <v/>
      </c>
      <c r="Y119" s="15">
        <f>M119 * 0.95</f>
        <v/>
      </c>
      <c r="Z119" s="15">
        <f>IF(AND(V119 &lt;= X119, V119 &gt;= Y119), 1, 0)</f>
        <v/>
      </c>
      <c r="AC119" s="15">
        <f>N119^2</f>
        <v/>
      </c>
      <c r="AD119" s="15">
        <f>ABS(N119)</f>
        <v/>
      </c>
      <c r="AE119" s="15">
        <f>IF(M119&gt;0, ABS(N119)*(L119-$D$16),0)</f>
        <v/>
      </c>
    </row>
    <row r="120">
      <c r="L120" s="15" t="n">
        <v>118</v>
      </c>
      <c r="M120" s="15">
        <f>IF(L120&lt;$D$16,$D$12,IF(L120&lt;$E$16,$E$12,$F$13))</f>
        <v/>
      </c>
      <c r="N120" s="15">
        <f>M120-V120</f>
        <v/>
      </c>
      <c r="O120" s="15">
        <f>IF(MOD(L120,$B$11)=0,OFFSET(O120,-$B$11,0)+ $E$2*N120+$E$3*OFFSET(N120,-$B$11,0)+ $E$4*OFFSET(N120,-2* $B$11,0), O119)</f>
        <v/>
      </c>
      <c r="P120" s="15">
        <f>INT((2^$J$12-1)*O120/100)/(2^$J$12-1)*100</f>
        <v/>
      </c>
      <c r="Q120" s="15" t="n">
        <v>0</v>
      </c>
      <c r="R120" s="15">
        <f>P120+Q120</f>
        <v/>
      </c>
      <c r="S120" s="15">
        <f>$I$1*S119-$I$2*S118+$I$3*R99+$I$4*R98</f>
        <v/>
      </c>
      <c r="T120" s="15" t="n">
        <v>0</v>
      </c>
      <c r="U120" s="15">
        <f>S120+T120</f>
        <v/>
      </c>
      <c r="V120" s="15">
        <f>INT((2^$J$12-1)*U120/100)/(2^$J$12-1)*100</f>
        <v/>
      </c>
      <c r="X120" s="15">
        <f>M120 * 1.05</f>
        <v/>
      </c>
      <c r="Y120" s="15">
        <f>M120 * 0.95</f>
        <v/>
      </c>
      <c r="Z120" s="15">
        <f>IF(AND(V120 &lt;= X120, V120 &gt;= Y120), 1, 0)</f>
        <v/>
      </c>
      <c r="AC120" s="15">
        <f>N120^2</f>
        <v/>
      </c>
      <c r="AD120" s="15">
        <f>ABS(N120)</f>
        <v/>
      </c>
      <c r="AE120" s="15">
        <f>IF(M120&gt;0, ABS(N120)*(L120-$D$16),0)</f>
        <v/>
      </c>
    </row>
    <row r="121">
      <c r="L121" s="15" t="n">
        <v>119</v>
      </c>
      <c r="M121" s="15">
        <f>IF(L121&lt;$D$16,$D$12,IF(L121&lt;$E$16,$E$12,$F$13))</f>
        <v/>
      </c>
      <c r="N121" s="15">
        <f>M121-V121</f>
        <v/>
      </c>
      <c r="O121" s="15">
        <f>IF(MOD(L121,$B$11)=0,OFFSET(O121,-$B$11,0)+ $E$2*N121+$E$3*OFFSET(N121,-$B$11,0)+ $E$4*OFFSET(N121,-2* $B$11,0), O120)</f>
        <v/>
      </c>
      <c r="P121" s="15">
        <f>INT((2^$J$12-1)*O121/100)/(2^$J$12-1)*100</f>
        <v/>
      </c>
      <c r="Q121" s="15" t="n">
        <v>0</v>
      </c>
      <c r="R121" s="15">
        <f>P121+Q121</f>
        <v/>
      </c>
      <c r="S121" s="15">
        <f>$I$1*S120-$I$2*S119+$I$3*R100+$I$4*R99</f>
        <v/>
      </c>
      <c r="T121" s="15" t="n">
        <v>0</v>
      </c>
      <c r="U121" s="15">
        <f>S121+T121</f>
        <v/>
      </c>
      <c r="V121" s="15">
        <f>INT((2^$J$12-1)*U121/100)/(2^$J$12-1)*100</f>
        <v/>
      </c>
      <c r="X121" s="15">
        <f>M121 * 1.05</f>
        <v/>
      </c>
      <c r="Y121" s="15">
        <f>M121 * 0.95</f>
        <v/>
      </c>
      <c r="Z121" s="15">
        <f>IF(AND(V121 &lt;= X121, V121 &gt;= Y121), 1, 0)</f>
        <v/>
      </c>
      <c r="AC121" s="15">
        <f>N121^2</f>
        <v/>
      </c>
      <c r="AD121" s="15">
        <f>ABS(N121)</f>
        <v/>
      </c>
      <c r="AE121" s="15">
        <f>IF(M121&gt;0, ABS(N121)*(L121-$D$16),0)</f>
        <v/>
      </c>
    </row>
    <row r="122">
      <c r="L122" s="15" t="n">
        <v>120</v>
      </c>
      <c r="M122" s="15">
        <f>IF(L122&lt;$D$16,$D$12,IF(L122&lt;$E$16,$E$12,$F$13))</f>
        <v/>
      </c>
      <c r="N122" s="15">
        <f>M122-V122</f>
        <v/>
      </c>
      <c r="O122" s="15">
        <f>IF(MOD(L122,$B$11)=0,OFFSET(O122,-$B$11,0)+ $E$2*N122+$E$3*OFFSET(N122,-$B$11,0)+ $E$4*OFFSET(N122,-2* $B$11,0), O121)</f>
        <v/>
      </c>
      <c r="P122" s="15">
        <f>INT((2^$J$12-1)*O122/100)/(2^$J$12-1)*100</f>
        <v/>
      </c>
      <c r="Q122" s="15" t="n">
        <v>0</v>
      </c>
      <c r="R122" s="15">
        <f>P122+Q122</f>
        <v/>
      </c>
      <c r="S122" s="15">
        <f>$I$1*S121-$I$2*S120+$I$3*R101+$I$4*R100</f>
        <v/>
      </c>
      <c r="T122" s="15" t="n">
        <v>0</v>
      </c>
      <c r="U122" s="15">
        <f>S122+T122</f>
        <v/>
      </c>
      <c r="V122" s="15">
        <f>INT((2^$J$12-1)*U122/100)/(2^$J$12-1)*100</f>
        <v/>
      </c>
      <c r="X122" s="15">
        <f>M122 * 1.05</f>
        <v/>
      </c>
      <c r="Y122" s="15">
        <f>M122 * 0.95</f>
        <v/>
      </c>
      <c r="Z122" s="15">
        <f>IF(AND(V122 &lt;= X122, V122 &gt;= Y122), 1, 0)</f>
        <v/>
      </c>
      <c r="AC122" s="15">
        <f>N122^2</f>
        <v/>
      </c>
      <c r="AD122" s="15">
        <f>ABS(N122)</f>
        <v/>
      </c>
      <c r="AE122" s="15">
        <f>IF(M122&gt;0, ABS(N122)*(L122-$D$16),0)</f>
        <v/>
      </c>
    </row>
    <row r="123">
      <c r="L123" s="15" t="n">
        <v>121</v>
      </c>
      <c r="M123" s="15">
        <f>IF(L123&lt;$D$16,$D$12,IF(L123&lt;$E$16,$E$12,$F$13))</f>
        <v/>
      </c>
      <c r="N123" s="15">
        <f>M123-V123</f>
        <v/>
      </c>
      <c r="O123" s="15">
        <f>IF(MOD(L123,$B$11)=0,OFFSET(O123,-$B$11,0)+ $E$2*N123+$E$3*OFFSET(N123,-$B$11,0)+ $E$4*OFFSET(N123,-2* $B$11,0), O122)</f>
        <v/>
      </c>
      <c r="P123" s="15">
        <f>INT((2^$J$12-1)*O123/100)/(2^$J$12-1)*100</f>
        <v/>
      </c>
      <c r="Q123" s="15" t="n">
        <v>0</v>
      </c>
      <c r="R123" s="15">
        <f>P123+Q123</f>
        <v/>
      </c>
      <c r="S123" s="15">
        <f>$I$1*S122-$I$2*S121+$I$3*R102+$I$4*R101</f>
        <v/>
      </c>
      <c r="T123" s="15" t="n">
        <v>0</v>
      </c>
      <c r="U123" s="15">
        <f>S123+T123</f>
        <v/>
      </c>
      <c r="V123" s="15">
        <f>INT((2^$J$12-1)*U123/100)/(2^$J$12-1)*100</f>
        <v/>
      </c>
      <c r="X123" s="15">
        <f>M123 * 1.05</f>
        <v/>
      </c>
      <c r="Y123" s="15">
        <f>M123 * 0.95</f>
        <v/>
      </c>
      <c r="Z123" s="15">
        <f>IF(AND(V123 &lt;= X123, V123 &gt;= Y123), 1, 0)</f>
        <v/>
      </c>
      <c r="AC123" s="15">
        <f>N123^2</f>
        <v/>
      </c>
      <c r="AD123" s="15">
        <f>ABS(N123)</f>
        <v/>
      </c>
      <c r="AE123" s="15">
        <f>IF(M123&gt;0, ABS(N123)*(L123-$D$16),0)</f>
        <v/>
      </c>
    </row>
    <row r="124">
      <c r="L124" s="15" t="n">
        <v>122</v>
      </c>
      <c r="M124" s="15">
        <f>IF(L124&lt;$D$16,$D$12,IF(L124&lt;$E$16,$E$12,$F$13))</f>
        <v/>
      </c>
      <c r="N124" s="15">
        <f>M124-V124</f>
        <v/>
      </c>
      <c r="O124" s="15">
        <f>IF(MOD(L124,$B$11)=0,OFFSET(O124,-$B$11,0)+ $E$2*N124+$E$3*OFFSET(N124,-$B$11,0)+ $E$4*OFFSET(N124,-2* $B$11,0), O123)</f>
        <v/>
      </c>
      <c r="P124" s="15">
        <f>INT((2^$J$12-1)*O124/100)/(2^$J$12-1)*100</f>
        <v/>
      </c>
      <c r="Q124" s="15" t="n">
        <v>0</v>
      </c>
      <c r="R124" s="15">
        <f>P124+Q124</f>
        <v/>
      </c>
      <c r="S124" s="15">
        <f>$I$1*S123-$I$2*S122+$I$3*R103+$I$4*R102</f>
        <v/>
      </c>
      <c r="T124" s="15" t="n">
        <v>0</v>
      </c>
      <c r="U124" s="15">
        <f>S124+T124</f>
        <v/>
      </c>
      <c r="V124" s="15">
        <f>INT((2^$J$12-1)*U124/100)/(2^$J$12-1)*100</f>
        <v/>
      </c>
      <c r="X124" s="15">
        <f>M124 * 1.05</f>
        <v/>
      </c>
      <c r="Y124" s="15">
        <f>M124 * 0.95</f>
        <v/>
      </c>
      <c r="Z124" s="15">
        <f>IF(AND(V124 &lt;= X124, V124 &gt;= Y124), 1, 0)</f>
        <v/>
      </c>
      <c r="AC124" s="15">
        <f>N124^2</f>
        <v/>
      </c>
      <c r="AD124" s="15">
        <f>ABS(N124)</f>
        <v/>
      </c>
      <c r="AE124" s="15">
        <f>IF(M124&gt;0, ABS(N124)*(L124-$D$16),0)</f>
        <v/>
      </c>
    </row>
    <row r="125">
      <c r="L125" s="15" t="n">
        <v>123</v>
      </c>
      <c r="M125" s="15">
        <f>IF(L125&lt;$D$16,$D$12,IF(L125&lt;$E$16,$E$12,$F$13))</f>
        <v/>
      </c>
      <c r="N125" s="15">
        <f>M125-V125</f>
        <v/>
      </c>
      <c r="O125" s="15">
        <f>IF(MOD(L125,$B$11)=0,OFFSET(O125,-$B$11,0)+ $E$2*N125+$E$3*OFFSET(N125,-$B$11,0)+ $E$4*OFFSET(N125,-2* $B$11,0), O124)</f>
        <v/>
      </c>
      <c r="P125" s="15">
        <f>INT((2^$J$12-1)*O125/100)/(2^$J$12-1)*100</f>
        <v/>
      </c>
      <c r="Q125" s="15" t="n">
        <v>0</v>
      </c>
      <c r="R125" s="15">
        <f>P125+Q125</f>
        <v/>
      </c>
      <c r="S125" s="15">
        <f>$I$1*S124-$I$2*S123+$I$3*R104+$I$4*R103</f>
        <v/>
      </c>
      <c r="T125" s="15" t="n">
        <v>0</v>
      </c>
      <c r="U125" s="15">
        <f>S125+T125</f>
        <v/>
      </c>
      <c r="V125" s="15">
        <f>INT((2^$J$12-1)*U125/100)/(2^$J$12-1)*100</f>
        <v/>
      </c>
      <c r="X125" s="15">
        <f>M125 * 1.05</f>
        <v/>
      </c>
      <c r="Y125" s="15">
        <f>M125 * 0.95</f>
        <v/>
      </c>
      <c r="Z125" s="15">
        <f>IF(AND(V125 &lt;= X125, V125 &gt;= Y125), 1, 0)</f>
        <v/>
      </c>
      <c r="AC125" s="15">
        <f>N125^2</f>
        <v/>
      </c>
      <c r="AD125" s="15">
        <f>ABS(N125)</f>
        <v/>
      </c>
      <c r="AE125" s="15">
        <f>IF(M125&gt;0, ABS(N125)*(L125-$D$16),0)</f>
        <v/>
      </c>
    </row>
    <row r="126">
      <c r="L126" s="15" t="n">
        <v>124</v>
      </c>
      <c r="M126" s="15">
        <f>IF(L126&lt;$D$16,$D$12,IF(L126&lt;$E$16,$E$12,$F$13))</f>
        <v/>
      </c>
      <c r="N126" s="15">
        <f>M126-V126</f>
        <v/>
      </c>
      <c r="O126" s="15">
        <f>IF(MOD(L126,$B$11)=0,OFFSET(O126,-$B$11,0)+ $E$2*N126+$E$3*OFFSET(N126,-$B$11,0)+ $E$4*OFFSET(N126,-2* $B$11,0), O125)</f>
        <v/>
      </c>
      <c r="P126" s="15">
        <f>INT((2^$J$12-1)*O126/100)/(2^$J$12-1)*100</f>
        <v/>
      </c>
      <c r="Q126" s="15" t="n">
        <v>0</v>
      </c>
      <c r="R126" s="15">
        <f>P126+Q126</f>
        <v/>
      </c>
      <c r="S126" s="15">
        <f>$I$1*S125-$I$2*S124+$I$3*R105+$I$4*R104</f>
        <v/>
      </c>
      <c r="T126" s="15" t="n">
        <v>0</v>
      </c>
      <c r="U126" s="15">
        <f>S126+T126</f>
        <v/>
      </c>
      <c r="V126" s="15">
        <f>INT((2^$J$12-1)*U126/100)/(2^$J$12-1)*100</f>
        <v/>
      </c>
      <c r="X126" s="15">
        <f>M126 * 1.05</f>
        <v/>
      </c>
      <c r="Y126" s="15">
        <f>M126 * 0.95</f>
        <v/>
      </c>
      <c r="Z126" s="15">
        <f>IF(AND(V126 &lt;= X126, V126 &gt;= Y126), 1, 0)</f>
        <v/>
      </c>
      <c r="AC126" s="15">
        <f>N126^2</f>
        <v/>
      </c>
      <c r="AD126" s="15">
        <f>ABS(N126)</f>
        <v/>
      </c>
      <c r="AE126" s="15">
        <f>IF(M126&gt;0, ABS(N126)*(L126-$D$16),0)</f>
        <v/>
      </c>
    </row>
    <row r="127">
      <c r="L127" s="15" t="n">
        <v>125</v>
      </c>
      <c r="M127" s="15">
        <f>IF(L127&lt;$D$16,$D$12,IF(L127&lt;$E$16,$E$12,$F$13))</f>
        <v/>
      </c>
      <c r="N127" s="15">
        <f>M127-V127</f>
        <v/>
      </c>
      <c r="O127" s="15">
        <f>IF(MOD(L127,$B$11)=0,OFFSET(O127,-$B$11,0)+ $E$2*N127+$E$3*OFFSET(N127,-$B$11,0)+ $E$4*OFFSET(N127,-2* $B$11,0), O126)</f>
        <v/>
      </c>
      <c r="P127" s="15">
        <f>INT((2^$J$12-1)*O127/100)/(2^$J$12-1)*100</f>
        <v/>
      </c>
      <c r="Q127" s="15" t="n">
        <v>0</v>
      </c>
      <c r="R127" s="15">
        <f>P127+Q127</f>
        <v/>
      </c>
      <c r="S127" s="15">
        <f>$I$1*S126-$I$2*S125+$I$3*R106+$I$4*R105</f>
        <v/>
      </c>
      <c r="T127" s="15" t="n">
        <v>0</v>
      </c>
      <c r="U127" s="15">
        <f>S127+T127</f>
        <v/>
      </c>
      <c r="V127" s="15">
        <f>INT((2^$J$12-1)*U127/100)/(2^$J$12-1)*100</f>
        <v/>
      </c>
      <c r="X127" s="15">
        <f>M127 * 1.05</f>
        <v/>
      </c>
      <c r="Y127" s="15">
        <f>M127 * 0.95</f>
        <v/>
      </c>
      <c r="Z127" s="15">
        <f>IF(AND(V127 &lt;= X127, V127 &gt;= Y127), 1, 0)</f>
        <v/>
      </c>
      <c r="AC127" s="15">
        <f>N127^2</f>
        <v/>
      </c>
      <c r="AD127" s="15">
        <f>ABS(N127)</f>
        <v/>
      </c>
      <c r="AE127" s="15">
        <f>IF(M127&gt;0, ABS(N127)*(L127-$D$16),0)</f>
        <v/>
      </c>
    </row>
    <row r="128">
      <c r="L128" s="15" t="n">
        <v>126</v>
      </c>
      <c r="M128" s="15">
        <f>IF(L128&lt;$D$16,$D$12,IF(L128&lt;$E$16,$E$12,$F$13))</f>
        <v/>
      </c>
      <c r="N128" s="15">
        <f>M128-V128</f>
        <v/>
      </c>
      <c r="O128" s="15">
        <f>IF(MOD(L128,$B$11)=0,OFFSET(O128,-$B$11,0)+ $E$2*N128+$E$3*OFFSET(N128,-$B$11,0)+ $E$4*OFFSET(N128,-2* $B$11,0), O127)</f>
        <v/>
      </c>
      <c r="P128" s="15">
        <f>INT((2^$J$12-1)*O128/100)/(2^$J$12-1)*100</f>
        <v/>
      </c>
      <c r="Q128" s="15" t="n">
        <v>0</v>
      </c>
      <c r="R128" s="15">
        <f>P128+Q128</f>
        <v/>
      </c>
      <c r="S128" s="15">
        <f>$I$1*S127-$I$2*S126+$I$3*R107+$I$4*R106</f>
        <v/>
      </c>
      <c r="T128" s="15" t="n">
        <v>0</v>
      </c>
      <c r="U128" s="15">
        <f>S128+T128</f>
        <v/>
      </c>
      <c r="V128" s="15">
        <f>INT((2^$J$12-1)*U128/100)/(2^$J$12-1)*100</f>
        <v/>
      </c>
      <c r="X128" s="15">
        <f>M128 * 1.05</f>
        <v/>
      </c>
      <c r="Y128" s="15">
        <f>M128 * 0.95</f>
        <v/>
      </c>
      <c r="Z128" s="15">
        <f>IF(AND(V128 &lt;= X128, V128 &gt;= Y128), 1, 0)</f>
        <v/>
      </c>
      <c r="AC128" s="15">
        <f>N128^2</f>
        <v/>
      </c>
      <c r="AD128" s="15">
        <f>ABS(N128)</f>
        <v/>
      </c>
      <c r="AE128" s="15">
        <f>IF(M128&gt;0, ABS(N128)*(L128-$D$16),0)</f>
        <v/>
      </c>
    </row>
    <row r="129">
      <c r="L129" s="15" t="n">
        <v>127</v>
      </c>
      <c r="M129" s="15">
        <f>IF(L129&lt;$D$16,$D$12,IF(L129&lt;$E$16,$E$12,$F$13))</f>
        <v/>
      </c>
      <c r="N129" s="15">
        <f>M129-V129</f>
        <v/>
      </c>
      <c r="O129" s="15">
        <f>IF(MOD(L129,$B$11)=0,OFFSET(O129,-$B$11,0)+ $E$2*N129+$E$3*OFFSET(N129,-$B$11,0)+ $E$4*OFFSET(N129,-2* $B$11,0), O128)</f>
        <v/>
      </c>
      <c r="P129" s="15">
        <f>INT((2^$J$12-1)*O129/100)/(2^$J$12-1)*100</f>
        <v/>
      </c>
      <c r="Q129" s="15" t="n">
        <v>0</v>
      </c>
      <c r="R129" s="15">
        <f>P129+Q129</f>
        <v/>
      </c>
      <c r="S129" s="15">
        <f>$I$1*S128-$I$2*S127+$I$3*R108+$I$4*R107</f>
        <v/>
      </c>
      <c r="T129" s="15" t="n">
        <v>0</v>
      </c>
      <c r="U129" s="15">
        <f>S129+T129</f>
        <v/>
      </c>
      <c r="V129" s="15">
        <f>INT((2^$J$12-1)*U129/100)/(2^$J$12-1)*100</f>
        <v/>
      </c>
      <c r="X129" s="15">
        <f>M129 * 1.05</f>
        <v/>
      </c>
      <c r="Y129" s="15">
        <f>M129 * 0.95</f>
        <v/>
      </c>
      <c r="Z129" s="15">
        <f>IF(AND(V129 &lt;= X129, V129 &gt;= Y129), 1, 0)</f>
        <v/>
      </c>
      <c r="AC129" s="15">
        <f>N129^2</f>
        <v/>
      </c>
      <c r="AD129" s="15">
        <f>ABS(N129)</f>
        <v/>
      </c>
      <c r="AE129" s="15">
        <f>IF(M129&gt;0, ABS(N129)*(L129-$D$16),0)</f>
        <v/>
      </c>
    </row>
    <row r="130">
      <c r="L130" s="15" t="n">
        <v>128</v>
      </c>
      <c r="M130" s="15">
        <f>IF(L130&lt;$D$16,$D$12,IF(L130&lt;$E$16,$E$12,$F$13))</f>
        <v/>
      </c>
      <c r="N130" s="15">
        <f>M130-V130</f>
        <v/>
      </c>
      <c r="O130" s="15">
        <f>IF(MOD(L130,$B$11)=0,OFFSET(O130,-$B$11,0)+ $E$2*N130+$E$3*OFFSET(N130,-$B$11,0)+ $E$4*OFFSET(N130,-2* $B$11,0), O129)</f>
        <v/>
      </c>
      <c r="P130" s="15">
        <f>INT((2^$J$12-1)*O130/100)/(2^$J$12-1)*100</f>
        <v/>
      </c>
      <c r="Q130" s="15" t="n">
        <v>0</v>
      </c>
      <c r="R130" s="15">
        <f>P130+Q130</f>
        <v/>
      </c>
      <c r="S130" s="15">
        <f>$I$1*S129-$I$2*S128+$I$3*R109+$I$4*R108</f>
        <v/>
      </c>
      <c r="T130" s="15" t="n">
        <v>0</v>
      </c>
      <c r="U130" s="15">
        <f>S130+T130</f>
        <v/>
      </c>
      <c r="V130" s="15">
        <f>INT((2^$J$12-1)*U130/100)/(2^$J$12-1)*100</f>
        <v/>
      </c>
      <c r="X130" s="15">
        <f>M130 * 1.05</f>
        <v/>
      </c>
      <c r="Y130" s="15">
        <f>M130 * 0.95</f>
        <v/>
      </c>
      <c r="Z130" s="15">
        <f>IF(AND(V130 &lt;= X130, V130 &gt;= Y130), 1, 0)</f>
        <v/>
      </c>
      <c r="AC130" s="15">
        <f>N130^2</f>
        <v/>
      </c>
      <c r="AD130" s="15">
        <f>ABS(N130)</f>
        <v/>
      </c>
      <c r="AE130" s="15">
        <f>IF(M130&gt;0, ABS(N130)*(L130-$D$16),0)</f>
        <v/>
      </c>
    </row>
    <row r="131">
      <c r="L131" s="15" t="n">
        <v>129</v>
      </c>
      <c r="M131" s="15">
        <f>IF(L131&lt;$D$16,$D$12,IF(L131&lt;$E$16,$E$12,$F$13))</f>
        <v/>
      </c>
      <c r="N131" s="15">
        <f>M131-V131</f>
        <v/>
      </c>
      <c r="O131" s="15">
        <f>IF(MOD(L131,$B$11)=0,OFFSET(O131,-$B$11,0)+ $E$2*N131+$E$3*OFFSET(N131,-$B$11,0)+ $E$4*OFFSET(N131,-2* $B$11,0), O130)</f>
        <v/>
      </c>
      <c r="P131" s="15">
        <f>INT((2^$J$12-1)*O131/100)/(2^$J$12-1)*100</f>
        <v/>
      </c>
      <c r="Q131" s="15" t="n">
        <v>0</v>
      </c>
      <c r="R131" s="15">
        <f>P131+Q131</f>
        <v/>
      </c>
      <c r="S131" s="15">
        <f>$I$1*S130-$I$2*S129+$I$3*R110+$I$4*R109</f>
        <v/>
      </c>
      <c r="T131" s="15" t="n">
        <v>0</v>
      </c>
      <c r="U131" s="15">
        <f>S131+T131</f>
        <v/>
      </c>
      <c r="V131" s="15">
        <f>INT((2^$J$12-1)*U131/100)/(2^$J$12-1)*100</f>
        <v/>
      </c>
      <c r="X131" s="15">
        <f>M131 * 1.05</f>
        <v/>
      </c>
      <c r="Y131" s="15">
        <f>M131 * 0.95</f>
        <v/>
      </c>
      <c r="Z131" s="15">
        <f>IF(AND(V131 &lt;= X131, V131 &gt;= Y131), 1, 0)</f>
        <v/>
      </c>
      <c r="AC131" s="15">
        <f>N131^2</f>
        <v/>
      </c>
      <c r="AD131" s="15">
        <f>ABS(N131)</f>
        <v/>
      </c>
      <c r="AE131" s="15">
        <f>IF(M131&gt;0, ABS(N131)*(L131-$D$16),0)</f>
        <v/>
      </c>
    </row>
    <row r="132">
      <c r="L132" s="15" t="n">
        <v>130</v>
      </c>
      <c r="M132" s="15">
        <f>IF(L132&lt;$D$16,$D$12,IF(L132&lt;$E$16,$E$12,$F$13))</f>
        <v/>
      </c>
      <c r="N132" s="15">
        <f>M132-V132</f>
        <v/>
      </c>
      <c r="O132" s="15">
        <f>IF(MOD(L132,$B$11)=0,OFFSET(O132,-$B$11,0)+ $E$2*N132+$E$3*OFFSET(N132,-$B$11,0)+ $E$4*OFFSET(N132,-2* $B$11,0), O131)</f>
        <v/>
      </c>
      <c r="P132" s="15">
        <f>INT((2^$J$12-1)*O132/100)/(2^$J$12-1)*100</f>
        <v/>
      </c>
      <c r="Q132" s="15" t="n">
        <v>0</v>
      </c>
      <c r="R132" s="15">
        <f>P132+Q132</f>
        <v/>
      </c>
      <c r="S132" s="15">
        <f>$I$1*S131-$I$2*S130+$I$3*R111+$I$4*R110</f>
        <v/>
      </c>
      <c r="T132" s="15" t="n">
        <v>0</v>
      </c>
      <c r="U132" s="15">
        <f>S132+T132</f>
        <v/>
      </c>
      <c r="V132" s="15">
        <f>INT((2^$J$12-1)*U132/100)/(2^$J$12-1)*100</f>
        <v/>
      </c>
      <c r="X132" s="15">
        <f>M132 * 1.05</f>
        <v/>
      </c>
      <c r="Y132" s="15">
        <f>M132 * 0.95</f>
        <v/>
      </c>
      <c r="Z132" s="15">
        <f>IF(AND(V132 &lt;= X132, V132 &gt;= Y132), 1, 0)</f>
        <v/>
      </c>
      <c r="AC132" s="15">
        <f>N132^2</f>
        <v/>
      </c>
      <c r="AD132" s="15">
        <f>ABS(N132)</f>
        <v/>
      </c>
      <c r="AE132" s="15">
        <f>IF(M132&gt;0, ABS(N132)*(L132-$D$16),0)</f>
        <v/>
      </c>
    </row>
    <row r="133">
      <c r="L133" s="15" t="n">
        <v>131</v>
      </c>
      <c r="M133" s="15">
        <f>IF(L133&lt;$D$16,$D$12,IF(L133&lt;$E$16,$E$12,$F$13))</f>
        <v/>
      </c>
      <c r="N133" s="15">
        <f>M133-V133</f>
        <v/>
      </c>
      <c r="O133" s="15">
        <f>IF(MOD(L133,$B$11)=0,OFFSET(O133,-$B$11,0)+ $E$2*N133+$E$3*OFFSET(N133,-$B$11,0)+ $E$4*OFFSET(N133,-2* $B$11,0), O132)</f>
        <v/>
      </c>
      <c r="P133" s="15">
        <f>INT((2^$J$12-1)*O133/100)/(2^$J$12-1)*100</f>
        <v/>
      </c>
      <c r="Q133" s="15" t="n">
        <v>0</v>
      </c>
      <c r="R133" s="15">
        <f>P133+Q133</f>
        <v/>
      </c>
      <c r="S133" s="15">
        <f>$I$1*S132-$I$2*S131+$I$3*R112+$I$4*R111</f>
        <v/>
      </c>
      <c r="T133" s="15" t="n">
        <v>0</v>
      </c>
      <c r="U133" s="15">
        <f>S133+T133</f>
        <v/>
      </c>
      <c r="V133" s="15">
        <f>INT((2^$J$12-1)*U133/100)/(2^$J$12-1)*100</f>
        <v/>
      </c>
      <c r="X133" s="15">
        <f>M133 * 1.05</f>
        <v/>
      </c>
      <c r="Y133" s="15">
        <f>M133 * 0.95</f>
        <v/>
      </c>
      <c r="Z133" s="15">
        <f>IF(AND(V133 &lt;= X133, V133 &gt;= Y133), 1, 0)</f>
        <v/>
      </c>
      <c r="AC133" s="15">
        <f>N133^2</f>
        <v/>
      </c>
      <c r="AD133" s="15">
        <f>ABS(N133)</f>
        <v/>
      </c>
      <c r="AE133" s="15">
        <f>IF(M133&gt;0, ABS(N133)*(L133-$D$16),0)</f>
        <v/>
      </c>
    </row>
    <row r="134">
      <c r="L134" s="15" t="n">
        <v>132</v>
      </c>
      <c r="M134" s="15">
        <f>IF(L134&lt;$D$16,$D$12,IF(L134&lt;$E$16,$E$12,$F$13))</f>
        <v/>
      </c>
      <c r="N134" s="15">
        <f>M134-V134</f>
        <v/>
      </c>
      <c r="O134" s="15">
        <f>IF(MOD(L134,$B$11)=0,OFFSET(O134,-$B$11,0)+ $E$2*N134+$E$3*OFFSET(N134,-$B$11,0)+ $E$4*OFFSET(N134,-2* $B$11,0), O133)</f>
        <v/>
      </c>
      <c r="P134" s="15">
        <f>INT((2^$J$12-1)*O134/100)/(2^$J$12-1)*100</f>
        <v/>
      </c>
      <c r="Q134" s="15" t="n">
        <v>0</v>
      </c>
      <c r="R134" s="15">
        <f>P134+Q134</f>
        <v/>
      </c>
      <c r="S134" s="15">
        <f>$I$1*S133-$I$2*S132+$I$3*R113+$I$4*R112</f>
        <v/>
      </c>
      <c r="T134" s="15" t="n">
        <v>0</v>
      </c>
      <c r="U134" s="15">
        <f>S134+T134</f>
        <v/>
      </c>
      <c r="V134" s="15">
        <f>INT((2^$J$12-1)*U134/100)/(2^$J$12-1)*100</f>
        <v/>
      </c>
      <c r="X134" s="15">
        <f>M134 * 1.05</f>
        <v/>
      </c>
      <c r="Y134" s="15">
        <f>M134 * 0.95</f>
        <v/>
      </c>
      <c r="Z134" s="15">
        <f>IF(AND(V134 &lt;= X134, V134 &gt;= Y134), 1, 0)</f>
        <v/>
      </c>
      <c r="AC134" s="15">
        <f>N134^2</f>
        <v/>
      </c>
      <c r="AD134" s="15">
        <f>ABS(N134)</f>
        <v/>
      </c>
      <c r="AE134" s="15">
        <f>IF(M134&gt;0, ABS(N134)*(L134-$D$16),0)</f>
        <v/>
      </c>
    </row>
    <row r="135">
      <c r="L135" s="15" t="n">
        <v>133</v>
      </c>
      <c r="M135" s="15">
        <f>IF(L135&lt;$D$16,$D$12,IF(L135&lt;$E$16,$E$12,$F$13))</f>
        <v/>
      </c>
      <c r="N135" s="15">
        <f>M135-V135</f>
        <v/>
      </c>
      <c r="O135" s="15">
        <f>IF(MOD(L135,$B$11)=0,OFFSET(O135,-$B$11,0)+ $E$2*N135+$E$3*OFFSET(N135,-$B$11,0)+ $E$4*OFFSET(N135,-2* $B$11,0), O134)</f>
        <v/>
      </c>
      <c r="P135" s="15">
        <f>INT((2^$J$12-1)*O135/100)/(2^$J$12-1)*100</f>
        <v/>
      </c>
      <c r="Q135" s="15" t="n">
        <v>0</v>
      </c>
      <c r="R135" s="15">
        <f>P135+Q135</f>
        <v/>
      </c>
      <c r="S135" s="15">
        <f>$I$1*S134-$I$2*S133+$I$3*R114+$I$4*R113</f>
        <v/>
      </c>
      <c r="T135" s="15" t="n">
        <v>0</v>
      </c>
      <c r="U135" s="15">
        <f>S135+T135</f>
        <v/>
      </c>
      <c r="V135" s="15">
        <f>INT((2^$J$12-1)*U135/100)/(2^$J$12-1)*100</f>
        <v/>
      </c>
      <c r="X135" s="15">
        <f>M135 * 1.05</f>
        <v/>
      </c>
      <c r="Y135" s="15">
        <f>M135 * 0.95</f>
        <v/>
      </c>
      <c r="Z135" s="15">
        <f>IF(AND(V135 &lt;= X135, V135 &gt;= Y135), 1, 0)</f>
        <v/>
      </c>
      <c r="AC135" s="15">
        <f>N135^2</f>
        <v/>
      </c>
      <c r="AD135" s="15">
        <f>ABS(N135)</f>
        <v/>
      </c>
      <c r="AE135" s="15">
        <f>IF(M135&gt;0, ABS(N135)*(L135-$D$16),0)</f>
        <v/>
      </c>
    </row>
    <row r="136">
      <c r="L136" s="15" t="n">
        <v>134</v>
      </c>
      <c r="M136" s="15">
        <f>IF(L136&lt;$D$16,$D$12,IF(L136&lt;$E$16,$E$12,$F$13))</f>
        <v/>
      </c>
      <c r="N136" s="15">
        <f>M136-V136</f>
        <v/>
      </c>
      <c r="O136" s="15">
        <f>IF(MOD(L136,$B$11)=0,OFFSET(O136,-$B$11,0)+ $E$2*N136+$E$3*OFFSET(N136,-$B$11,0)+ $E$4*OFFSET(N136,-2* $B$11,0), O135)</f>
        <v/>
      </c>
      <c r="P136" s="15">
        <f>INT((2^$J$12-1)*O136/100)/(2^$J$12-1)*100</f>
        <v/>
      </c>
      <c r="Q136" s="15" t="n">
        <v>0</v>
      </c>
      <c r="R136" s="15">
        <f>P136+Q136</f>
        <v/>
      </c>
      <c r="S136" s="15">
        <f>$I$1*S135-$I$2*S134+$I$3*R115+$I$4*R114</f>
        <v/>
      </c>
      <c r="T136" s="15" t="n">
        <v>0</v>
      </c>
      <c r="U136" s="15">
        <f>S136+T136</f>
        <v/>
      </c>
      <c r="V136" s="15">
        <f>INT((2^$J$12-1)*U136/100)/(2^$J$12-1)*100</f>
        <v/>
      </c>
      <c r="X136" s="15">
        <f>M136 * 1.05</f>
        <v/>
      </c>
      <c r="Y136" s="15">
        <f>M136 * 0.95</f>
        <v/>
      </c>
      <c r="Z136" s="15">
        <f>IF(AND(V136 &lt;= X136, V136 &gt;= Y136), 1, 0)</f>
        <v/>
      </c>
      <c r="AC136" s="15">
        <f>N136^2</f>
        <v/>
      </c>
      <c r="AD136" s="15">
        <f>ABS(N136)</f>
        <v/>
      </c>
      <c r="AE136" s="15">
        <f>IF(M136&gt;0, ABS(N136)*(L136-$D$16),0)</f>
        <v/>
      </c>
    </row>
    <row r="137">
      <c r="L137" s="15" t="n">
        <v>135</v>
      </c>
      <c r="M137" s="15">
        <f>IF(L137&lt;$D$16,$D$12,IF(L137&lt;$E$16,$E$12,$F$13))</f>
        <v/>
      </c>
      <c r="N137" s="15">
        <f>M137-V137</f>
        <v/>
      </c>
      <c r="O137" s="15">
        <f>IF(MOD(L137,$B$11)=0,OFFSET(O137,-$B$11,0)+ $E$2*N137+$E$3*OFFSET(N137,-$B$11,0)+ $E$4*OFFSET(N137,-2* $B$11,0), O136)</f>
        <v/>
      </c>
      <c r="P137" s="15">
        <f>INT((2^$J$12-1)*O137/100)/(2^$J$12-1)*100</f>
        <v/>
      </c>
      <c r="Q137" s="15" t="n">
        <v>0</v>
      </c>
      <c r="R137" s="15">
        <f>P137+Q137</f>
        <v/>
      </c>
      <c r="S137" s="15">
        <f>$I$1*S136-$I$2*S135+$I$3*R116+$I$4*R115</f>
        <v/>
      </c>
      <c r="T137" s="15" t="n">
        <v>0</v>
      </c>
      <c r="U137" s="15">
        <f>S137+T137</f>
        <v/>
      </c>
      <c r="V137" s="15">
        <f>INT((2^$J$12-1)*U137/100)/(2^$J$12-1)*100</f>
        <v/>
      </c>
      <c r="X137" s="15">
        <f>M137 * 1.05</f>
        <v/>
      </c>
      <c r="Y137" s="15">
        <f>M137 * 0.95</f>
        <v/>
      </c>
      <c r="Z137" s="15">
        <f>IF(AND(V137 &lt;= X137, V137 &gt;= Y137), 1, 0)</f>
        <v/>
      </c>
      <c r="AC137" s="15">
        <f>N137^2</f>
        <v/>
      </c>
      <c r="AD137" s="15">
        <f>ABS(N137)</f>
        <v/>
      </c>
      <c r="AE137" s="15">
        <f>IF(M137&gt;0, ABS(N137)*(L137-$D$16),0)</f>
        <v/>
      </c>
    </row>
    <row r="138">
      <c r="L138" s="15" t="n">
        <v>136</v>
      </c>
      <c r="M138" s="15">
        <f>IF(L138&lt;$D$16,$D$12,IF(L138&lt;$E$16,$E$12,$F$13))</f>
        <v/>
      </c>
      <c r="N138" s="15">
        <f>M138-V138</f>
        <v/>
      </c>
      <c r="O138" s="15">
        <f>IF(MOD(L138,$B$11)=0,OFFSET(O138,-$B$11,0)+ $E$2*N138+$E$3*OFFSET(N138,-$B$11,0)+ $E$4*OFFSET(N138,-2* $B$11,0), O137)</f>
        <v/>
      </c>
      <c r="P138" s="15">
        <f>INT((2^$J$12-1)*O138/100)/(2^$J$12-1)*100</f>
        <v/>
      </c>
      <c r="Q138" s="15" t="n">
        <v>0</v>
      </c>
      <c r="R138" s="15">
        <f>P138+Q138</f>
        <v/>
      </c>
      <c r="S138" s="15">
        <f>$I$1*S137-$I$2*S136+$I$3*R117+$I$4*R116</f>
        <v/>
      </c>
      <c r="T138" s="15" t="n">
        <v>0</v>
      </c>
      <c r="U138" s="15">
        <f>S138+T138</f>
        <v/>
      </c>
      <c r="V138" s="15">
        <f>INT((2^$J$12-1)*U138/100)/(2^$J$12-1)*100</f>
        <v/>
      </c>
      <c r="X138" s="15">
        <f>M138 * 1.05</f>
        <v/>
      </c>
      <c r="Y138" s="15">
        <f>M138 * 0.95</f>
        <v/>
      </c>
      <c r="Z138" s="15">
        <f>IF(AND(V138 &lt;= X138, V138 &gt;= Y138), 1, 0)</f>
        <v/>
      </c>
      <c r="AC138" s="15">
        <f>N138^2</f>
        <v/>
      </c>
      <c r="AD138" s="15">
        <f>ABS(N138)</f>
        <v/>
      </c>
      <c r="AE138" s="15">
        <f>IF(M138&gt;0, ABS(N138)*(L138-$D$16),0)</f>
        <v/>
      </c>
    </row>
    <row r="139">
      <c r="L139" s="15" t="n">
        <v>137</v>
      </c>
      <c r="M139" s="15">
        <f>IF(L139&lt;$D$16,$D$12,IF(L139&lt;$E$16,$E$12,$F$13))</f>
        <v/>
      </c>
      <c r="N139" s="15">
        <f>M139-V139</f>
        <v/>
      </c>
      <c r="O139" s="15">
        <f>IF(MOD(L139,$B$11)=0,OFFSET(O139,-$B$11,0)+ $E$2*N139+$E$3*OFFSET(N139,-$B$11,0)+ $E$4*OFFSET(N139,-2* $B$11,0), O138)</f>
        <v/>
      </c>
      <c r="P139" s="15">
        <f>INT((2^$J$12-1)*O139/100)/(2^$J$12-1)*100</f>
        <v/>
      </c>
      <c r="Q139" s="15" t="n">
        <v>0</v>
      </c>
      <c r="R139" s="15">
        <f>P139+Q139</f>
        <v/>
      </c>
      <c r="S139" s="15">
        <f>$I$1*S138-$I$2*S137+$I$3*R118+$I$4*R117</f>
        <v/>
      </c>
      <c r="T139" s="15" t="n">
        <v>0</v>
      </c>
      <c r="U139" s="15">
        <f>S139+T139</f>
        <v/>
      </c>
      <c r="V139" s="15">
        <f>INT((2^$J$12-1)*U139/100)/(2^$J$12-1)*100</f>
        <v/>
      </c>
      <c r="X139" s="15">
        <f>M139 * 1.05</f>
        <v/>
      </c>
      <c r="Y139" s="15">
        <f>M139 * 0.95</f>
        <v/>
      </c>
      <c r="Z139" s="15">
        <f>IF(AND(V139 &lt;= X139, V139 &gt;= Y139), 1, 0)</f>
        <v/>
      </c>
      <c r="AC139" s="15">
        <f>N139^2</f>
        <v/>
      </c>
      <c r="AD139" s="15">
        <f>ABS(N139)</f>
        <v/>
      </c>
      <c r="AE139" s="15">
        <f>IF(M139&gt;0, ABS(N139)*(L139-$D$16),0)</f>
        <v/>
      </c>
    </row>
    <row r="140">
      <c r="L140" s="15" t="n">
        <v>138</v>
      </c>
      <c r="M140" s="15">
        <f>IF(L140&lt;$D$16,$D$12,IF(L140&lt;$E$16,$E$12,$F$13))</f>
        <v/>
      </c>
      <c r="N140" s="15">
        <f>M140-V140</f>
        <v/>
      </c>
      <c r="O140" s="15">
        <f>IF(MOD(L140,$B$11)=0,OFFSET(O140,-$B$11,0)+ $E$2*N140+$E$3*OFFSET(N140,-$B$11,0)+ $E$4*OFFSET(N140,-2* $B$11,0), O139)</f>
        <v/>
      </c>
      <c r="P140" s="15">
        <f>INT((2^$J$12-1)*O140/100)/(2^$J$12-1)*100</f>
        <v/>
      </c>
      <c r="Q140" s="15" t="n">
        <v>0</v>
      </c>
      <c r="R140" s="15">
        <f>P140+Q140</f>
        <v/>
      </c>
      <c r="S140" s="15">
        <f>$I$1*S139-$I$2*S138+$I$3*R119+$I$4*R118</f>
        <v/>
      </c>
      <c r="T140" s="15" t="n">
        <v>0</v>
      </c>
      <c r="U140" s="15">
        <f>S140+T140</f>
        <v/>
      </c>
      <c r="V140" s="15">
        <f>INT((2^$J$12-1)*U140/100)/(2^$J$12-1)*100</f>
        <v/>
      </c>
      <c r="X140" s="15">
        <f>M140 * 1.05</f>
        <v/>
      </c>
      <c r="Y140" s="15">
        <f>M140 * 0.95</f>
        <v/>
      </c>
      <c r="Z140" s="15">
        <f>IF(AND(V140 &lt;= X140, V140 &gt;= Y140), 1, 0)</f>
        <v/>
      </c>
      <c r="AC140" s="15">
        <f>N140^2</f>
        <v/>
      </c>
      <c r="AD140" s="15">
        <f>ABS(N140)</f>
        <v/>
      </c>
      <c r="AE140" s="15">
        <f>IF(M140&gt;0, ABS(N140)*(L140-$D$16),0)</f>
        <v/>
      </c>
    </row>
    <row r="141">
      <c r="L141" s="15" t="n">
        <v>139</v>
      </c>
      <c r="M141" s="15">
        <f>IF(L141&lt;$D$16,$D$12,IF(L141&lt;$E$16,$E$12,$F$13))</f>
        <v/>
      </c>
      <c r="N141" s="15">
        <f>M141-V141</f>
        <v/>
      </c>
      <c r="O141" s="15">
        <f>IF(MOD(L141,$B$11)=0,OFFSET(O141,-$B$11,0)+ $E$2*N141+$E$3*OFFSET(N141,-$B$11,0)+ $E$4*OFFSET(N141,-2* $B$11,0), O140)</f>
        <v/>
      </c>
      <c r="P141" s="15">
        <f>INT((2^$J$12-1)*O141/100)/(2^$J$12-1)*100</f>
        <v/>
      </c>
      <c r="Q141" s="15" t="n">
        <v>0</v>
      </c>
      <c r="R141" s="15">
        <f>P141+Q141</f>
        <v/>
      </c>
      <c r="S141" s="15">
        <f>$I$1*S140-$I$2*S139+$I$3*R120+$I$4*R119</f>
        <v/>
      </c>
      <c r="T141" s="15" t="n">
        <v>0</v>
      </c>
      <c r="U141" s="15">
        <f>S141+T141</f>
        <v/>
      </c>
      <c r="V141" s="15">
        <f>INT((2^$J$12-1)*U141/100)/(2^$J$12-1)*100</f>
        <v/>
      </c>
      <c r="X141" s="15">
        <f>M141 * 1.05</f>
        <v/>
      </c>
      <c r="Y141" s="15">
        <f>M141 * 0.95</f>
        <v/>
      </c>
      <c r="Z141" s="15">
        <f>IF(AND(V141 &lt;= X141, V141 &gt;= Y141), 1, 0)</f>
        <v/>
      </c>
      <c r="AC141" s="15">
        <f>N141^2</f>
        <v/>
      </c>
      <c r="AD141" s="15">
        <f>ABS(N141)</f>
        <v/>
      </c>
      <c r="AE141" s="15">
        <f>IF(M141&gt;0, ABS(N141)*(L141-$D$16),0)</f>
        <v/>
      </c>
    </row>
    <row r="142">
      <c r="L142" s="15" t="n">
        <v>140</v>
      </c>
      <c r="M142" s="15">
        <f>IF(L142&lt;$D$16,$D$12,IF(L142&lt;$E$16,$E$12,$F$13))</f>
        <v/>
      </c>
      <c r="N142" s="15">
        <f>M142-V142</f>
        <v/>
      </c>
      <c r="O142" s="15">
        <f>IF(MOD(L142,$B$11)=0,OFFSET(O142,-$B$11,0)+ $E$2*N142+$E$3*OFFSET(N142,-$B$11,0)+ $E$4*OFFSET(N142,-2* $B$11,0), O141)</f>
        <v/>
      </c>
      <c r="P142" s="15">
        <f>INT((2^$J$12-1)*O142/100)/(2^$J$12-1)*100</f>
        <v/>
      </c>
      <c r="Q142" s="15" t="n">
        <v>0</v>
      </c>
      <c r="R142" s="15">
        <f>P142+Q142</f>
        <v/>
      </c>
      <c r="S142" s="15">
        <f>$I$1*S141-$I$2*S140+$I$3*R121+$I$4*R120</f>
        <v/>
      </c>
      <c r="T142" s="15" t="n">
        <v>0</v>
      </c>
      <c r="U142" s="15">
        <f>S142+T142</f>
        <v/>
      </c>
      <c r="V142" s="15">
        <f>INT((2^$J$12-1)*U142/100)/(2^$J$12-1)*100</f>
        <v/>
      </c>
      <c r="X142" s="15">
        <f>M142 * 1.05</f>
        <v/>
      </c>
      <c r="Y142" s="15">
        <f>M142 * 0.95</f>
        <v/>
      </c>
      <c r="Z142" s="15">
        <f>IF(AND(V142 &lt;= X142, V142 &gt;= Y142), 1, 0)</f>
        <v/>
      </c>
      <c r="AC142" s="15">
        <f>N142^2</f>
        <v/>
      </c>
      <c r="AD142" s="15">
        <f>ABS(N142)</f>
        <v/>
      </c>
      <c r="AE142" s="15">
        <f>IF(M142&gt;0, ABS(N142)*(L142-$D$16),0)</f>
        <v/>
      </c>
    </row>
    <row r="143">
      <c r="L143" s="15" t="n">
        <v>141</v>
      </c>
      <c r="M143" s="15">
        <f>IF(L143&lt;$D$16,$D$12,IF(L143&lt;$E$16,$E$12,$F$13))</f>
        <v/>
      </c>
      <c r="N143" s="15">
        <f>M143-V143</f>
        <v/>
      </c>
      <c r="O143" s="15">
        <f>IF(MOD(L143,$B$11)=0,OFFSET(O143,-$B$11,0)+ $E$2*N143+$E$3*OFFSET(N143,-$B$11,0)+ $E$4*OFFSET(N143,-2* $B$11,0), O142)</f>
        <v/>
      </c>
      <c r="P143" s="15">
        <f>INT((2^$J$12-1)*O143/100)/(2^$J$12-1)*100</f>
        <v/>
      </c>
      <c r="Q143" s="15" t="n">
        <v>0</v>
      </c>
      <c r="R143" s="15">
        <f>P143+Q143</f>
        <v/>
      </c>
      <c r="S143" s="15">
        <f>$I$1*S142-$I$2*S141+$I$3*R122+$I$4*R121</f>
        <v/>
      </c>
      <c r="T143" s="15" t="n">
        <v>0</v>
      </c>
      <c r="U143" s="15">
        <f>S143+T143</f>
        <v/>
      </c>
      <c r="V143" s="15">
        <f>INT((2^$J$12-1)*U143/100)/(2^$J$12-1)*100</f>
        <v/>
      </c>
      <c r="X143" s="15">
        <f>M143 * 1.05</f>
        <v/>
      </c>
      <c r="Y143" s="15">
        <f>M143 * 0.95</f>
        <v/>
      </c>
      <c r="Z143" s="15">
        <f>IF(AND(V143 &lt;= X143, V143 &gt;= Y143), 1, 0)</f>
        <v/>
      </c>
      <c r="AC143" s="15">
        <f>N143^2</f>
        <v/>
      </c>
      <c r="AD143" s="15">
        <f>ABS(N143)</f>
        <v/>
      </c>
      <c r="AE143" s="15">
        <f>IF(M143&gt;0, ABS(N143)*(L143-$D$16),0)</f>
        <v/>
      </c>
    </row>
    <row r="144">
      <c r="L144" s="15" t="n">
        <v>142</v>
      </c>
      <c r="M144" s="15">
        <f>IF(L144&lt;$D$16,$D$12,IF(L144&lt;$E$16,$E$12,$F$13))</f>
        <v/>
      </c>
      <c r="N144" s="15">
        <f>M144-V144</f>
        <v/>
      </c>
      <c r="O144" s="15">
        <f>IF(MOD(L144,$B$11)=0,OFFSET(O144,-$B$11,0)+ $E$2*N144+$E$3*OFFSET(N144,-$B$11,0)+ $E$4*OFFSET(N144,-2* $B$11,0), O143)</f>
        <v/>
      </c>
      <c r="P144" s="15">
        <f>INT((2^$J$12-1)*O144/100)/(2^$J$12-1)*100</f>
        <v/>
      </c>
      <c r="Q144" s="15" t="n">
        <v>0</v>
      </c>
      <c r="R144" s="15">
        <f>P144+Q144</f>
        <v/>
      </c>
      <c r="S144" s="15">
        <f>$I$1*S143-$I$2*S142+$I$3*R123+$I$4*R122</f>
        <v/>
      </c>
      <c r="T144" s="15" t="n">
        <v>0</v>
      </c>
      <c r="U144" s="15">
        <f>S144+T144</f>
        <v/>
      </c>
      <c r="V144" s="15">
        <f>INT((2^$J$12-1)*U144/100)/(2^$J$12-1)*100</f>
        <v/>
      </c>
      <c r="X144" s="15">
        <f>M144 * 1.05</f>
        <v/>
      </c>
      <c r="Y144" s="15">
        <f>M144 * 0.95</f>
        <v/>
      </c>
      <c r="Z144" s="15">
        <f>IF(AND(V144 &lt;= X144, V144 &gt;= Y144), 1, 0)</f>
        <v/>
      </c>
      <c r="AC144" s="15">
        <f>N144^2</f>
        <v/>
      </c>
      <c r="AD144" s="15">
        <f>ABS(N144)</f>
        <v/>
      </c>
      <c r="AE144" s="15">
        <f>IF(M144&gt;0, ABS(N144)*(L144-$D$16),0)</f>
        <v/>
      </c>
    </row>
    <row r="145">
      <c r="L145" s="15" t="n">
        <v>143</v>
      </c>
      <c r="M145" s="15">
        <f>IF(L145&lt;$D$16,$D$12,IF(L145&lt;$E$16,$E$12,$F$13))</f>
        <v/>
      </c>
      <c r="N145" s="15">
        <f>M145-V145</f>
        <v/>
      </c>
      <c r="O145" s="15">
        <f>IF(MOD(L145,$B$11)=0,OFFSET(O145,-$B$11,0)+ $E$2*N145+$E$3*OFFSET(N145,-$B$11,0)+ $E$4*OFFSET(N145,-2* $B$11,0), O144)</f>
        <v/>
      </c>
      <c r="P145" s="15">
        <f>INT((2^$J$12-1)*O145/100)/(2^$J$12-1)*100</f>
        <v/>
      </c>
      <c r="Q145" s="15" t="n">
        <v>0</v>
      </c>
      <c r="R145" s="15">
        <f>P145+Q145</f>
        <v/>
      </c>
      <c r="S145" s="15">
        <f>$I$1*S144-$I$2*S143+$I$3*R124+$I$4*R123</f>
        <v/>
      </c>
      <c r="T145" s="15" t="n">
        <v>0</v>
      </c>
      <c r="U145" s="15">
        <f>S145+T145</f>
        <v/>
      </c>
      <c r="V145" s="15">
        <f>INT((2^$J$12-1)*U145/100)/(2^$J$12-1)*100</f>
        <v/>
      </c>
      <c r="X145" s="15">
        <f>M145 * 1.05</f>
        <v/>
      </c>
      <c r="Y145" s="15">
        <f>M145 * 0.95</f>
        <v/>
      </c>
      <c r="Z145" s="15">
        <f>IF(AND(V145 &lt;= X145, V145 &gt;= Y145), 1, 0)</f>
        <v/>
      </c>
      <c r="AC145" s="15">
        <f>N145^2</f>
        <v/>
      </c>
      <c r="AD145" s="15">
        <f>ABS(N145)</f>
        <v/>
      </c>
      <c r="AE145" s="15">
        <f>IF(M145&gt;0, ABS(N145)*(L145-$D$16),0)</f>
        <v/>
      </c>
    </row>
    <row r="146">
      <c r="L146" s="15" t="n">
        <v>144</v>
      </c>
      <c r="M146" s="15">
        <f>IF(L146&lt;$D$16,$D$12,IF(L146&lt;$E$16,$E$12,$F$13))</f>
        <v/>
      </c>
      <c r="N146" s="15">
        <f>M146-V146</f>
        <v/>
      </c>
      <c r="O146" s="15">
        <f>IF(MOD(L146,$B$11)=0,OFFSET(O146,-$B$11,0)+ $E$2*N146+$E$3*OFFSET(N146,-$B$11,0)+ $E$4*OFFSET(N146,-2* $B$11,0), O145)</f>
        <v/>
      </c>
      <c r="P146" s="15">
        <f>INT((2^$J$12-1)*O146/100)/(2^$J$12-1)*100</f>
        <v/>
      </c>
      <c r="Q146" s="15" t="n">
        <v>0</v>
      </c>
      <c r="R146" s="15">
        <f>P146+Q146</f>
        <v/>
      </c>
      <c r="S146" s="15">
        <f>$I$1*S145-$I$2*S144+$I$3*R125+$I$4*R124</f>
        <v/>
      </c>
      <c r="T146" s="15" t="n">
        <v>0</v>
      </c>
      <c r="U146" s="15">
        <f>S146+T146</f>
        <v/>
      </c>
      <c r="V146" s="15">
        <f>INT((2^$J$12-1)*U146/100)/(2^$J$12-1)*100</f>
        <v/>
      </c>
      <c r="X146" s="15">
        <f>M146 * 1.05</f>
        <v/>
      </c>
      <c r="Y146" s="15">
        <f>M146 * 0.95</f>
        <v/>
      </c>
      <c r="Z146" s="15">
        <f>IF(AND(V146 &lt;= X146, V146 &gt;= Y146), 1, 0)</f>
        <v/>
      </c>
      <c r="AC146" s="15">
        <f>N146^2</f>
        <v/>
      </c>
      <c r="AD146" s="15">
        <f>ABS(N146)</f>
        <v/>
      </c>
      <c r="AE146" s="15">
        <f>IF(M146&gt;0, ABS(N146)*(L146-$D$16),0)</f>
        <v/>
      </c>
    </row>
    <row r="147">
      <c r="L147" s="15" t="n">
        <v>145</v>
      </c>
      <c r="M147" s="15">
        <f>IF(L147&lt;$D$16,$D$12,IF(L147&lt;$E$16,$E$12,$F$13))</f>
        <v/>
      </c>
      <c r="N147" s="15">
        <f>M147-V147</f>
        <v/>
      </c>
      <c r="O147" s="15">
        <f>IF(MOD(L147,$B$11)=0,OFFSET(O147,-$B$11,0)+ $E$2*N147+$E$3*OFFSET(N147,-$B$11,0)+ $E$4*OFFSET(N147,-2* $B$11,0), O146)</f>
        <v/>
      </c>
      <c r="P147" s="15">
        <f>INT((2^$J$12-1)*O147/100)/(2^$J$12-1)*100</f>
        <v/>
      </c>
      <c r="Q147" s="15" t="n">
        <v>0</v>
      </c>
      <c r="R147" s="15">
        <f>P147+Q147</f>
        <v/>
      </c>
      <c r="S147" s="15">
        <f>$I$1*S146-$I$2*S145+$I$3*R126+$I$4*R125</f>
        <v/>
      </c>
      <c r="T147" s="15" t="n">
        <v>0</v>
      </c>
      <c r="U147" s="15">
        <f>S147+T147</f>
        <v/>
      </c>
      <c r="V147" s="15">
        <f>INT((2^$J$12-1)*U147/100)/(2^$J$12-1)*100</f>
        <v/>
      </c>
      <c r="X147" s="15">
        <f>M147 * 1.05</f>
        <v/>
      </c>
      <c r="Y147" s="15">
        <f>M147 * 0.95</f>
        <v/>
      </c>
      <c r="Z147" s="15">
        <f>IF(AND(V147 &lt;= X147, V147 &gt;= Y147), 1, 0)</f>
        <v/>
      </c>
      <c r="AC147" s="15">
        <f>N147^2</f>
        <v/>
      </c>
      <c r="AD147" s="15">
        <f>ABS(N147)</f>
        <v/>
      </c>
      <c r="AE147" s="15">
        <f>IF(M147&gt;0, ABS(N147)*(L147-$D$16),0)</f>
        <v/>
      </c>
    </row>
    <row r="148">
      <c r="L148" s="15" t="n">
        <v>146</v>
      </c>
      <c r="M148" s="15">
        <f>IF(L148&lt;$D$16,$D$12,IF(L148&lt;$E$16,$E$12,$F$13))</f>
        <v/>
      </c>
      <c r="N148" s="15">
        <f>M148-V148</f>
        <v/>
      </c>
      <c r="O148" s="15">
        <f>IF(MOD(L148,$B$11)=0,OFFSET(O148,-$B$11,0)+ $E$2*N148+$E$3*OFFSET(N148,-$B$11,0)+ $E$4*OFFSET(N148,-2* $B$11,0), O147)</f>
        <v/>
      </c>
      <c r="P148" s="15">
        <f>INT((2^$J$12-1)*O148/100)/(2^$J$12-1)*100</f>
        <v/>
      </c>
      <c r="Q148" s="15" t="n">
        <v>0</v>
      </c>
      <c r="R148" s="15">
        <f>P148+Q148</f>
        <v/>
      </c>
      <c r="S148" s="15">
        <f>$I$1*S147-$I$2*S146+$I$3*R127+$I$4*R126</f>
        <v/>
      </c>
      <c r="T148" s="15" t="n">
        <v>0</v>
      </c>
      <c r="U148" s="15">
        <f>S148+T148</f>
        <v/>
      </c>
      <c r="V148" s="15">
        <f>INT((2^$J$12-1)*U148/100)/(2^$J$12-1)*100</f>
        <v/>
      </c>
      <c r="X148" s="15">
        <f>M148 * 1.05</f>
        <v/>
      </c>
      <c r="Y148" s="15">
        <f>M148 * 0.95</f>
        <v/>
      </c>
      <c r="Z148" s="15">
        <f>IF(AND(V148 &lt;= X148, V148 &gt;= Y148), 1, 0)</f>
        <v/>
      </c>
      <c r="AC148" s="15">
        <f>N148^2</f>
        <v/>
      </c>
      <c r="AD148" s="15">
        <f>ABS(N148)</f>
        <v/>
      </c>
      <c r="AE148" s="15">
        <f>IF(M148&gt;0, ABS(N148)*(L148-$D$16),0)</f>
        <v/>
      </c>
    </row>
    <row r="149">
      <c r="L149" s="15" t="n">
        <v>147</v>
      </c>
      <c r="M149" s="15">
        <f>IF(L149&lt;$D$16,$D$12,IF(L149&lt;$E$16,$E$12,$F$13))</f>
        <v/>
      </c>
      <c r="N149" s="15">
        <f>M149-V149</f>
        <v/>
      </c>
      <c r="O149" s="15">
        <f>IF(MOD(L149,$B$11)=0,OFFSET(O149,-$B$11,0)+ $E$2*N149+$E$3*OFFSET(N149,-$B$11,0)+ $E$4*OFFSET(N149,-2* $B$11,0), O148)</f>
        <v/>
      </c>
      <c r="P149" s="15">
        <f>INT((2^$J$12-1)*O149/100)/(2^$J$12-1)*100</f>
        <v/>
      </c>
      <c r="Q149" s="15" t="n">
        <v>0</v>
      </c>
      <c r="R149" s="15">
        <f>P149+Q149</f>
        <v/>
      </c>
      <c r="S149" s="15">
        <f>$I$1*S148-$I$2*S147+$I$3*R128+$I$4*R127</f>
        <v/>
      </c>
      <c r="T149" s="15" t="n">
        <v>0</v>
      </c>
      <c r="U149" s="15">
        <f>S149+T149</f>
        <v/>
      </c>
      <c r="V149" s="15">
        <f>INT((2^$J$12-1)*U149/100)/(2^$J$12-1)*100</f>
        <v/>
      </c>
      <c r="X149" s="15">
        <f>M149 * 1.05</f>
        <v/>
      </c>
      <c r="Y149" s="15">
        <f>M149 * 0.95</f>
        <v/>
      </c>
      <c r="Z149" s="15">
        <f>IF(AND(V149 &lt;= X149, V149 &gt;= Y149), 1, 0)</f>
        <v/>
      </c>
      <c r="AC149" s="15">
        <f>N149^2</f>
        <v/>
      </c>
      <c r="AD149" s="15">
        <f>ABS(N149)</f>
        <v/>
      </c>
      <c r="AE149" s="15">
        <f>IF(M149&gt;0, ABS(N149)*(L149-$D$16),0)</f>
        <v/>
      </c>
    </row>
    <row r="150">
      <c r="L150" s="15" t="n">
        <v>148</v>
      </c>
      <c r="M150" s="15">
        <f>IF(L150&lt;$D$16,$D$12,IF(L150&lt;$E$16,$E$12,$F$13))</f>
        <v/>
      </c>
      <c r="N150" s="15">
        <f>M150-V150</f>
        <v/>
      </c>
      <c r="O150" s="15">
        <f>IF(MOD(L150,$B$11)=0,OFFSET(O150,-$B$11,0)+ $E$2*N150+$E$3*OFFSET(N150,-$B$11,0)+ $E$4*OFFSET(N150,-2* $B$11,0), O149)</f>
        <v/>
      </c>
      <c r="P150" s="15">
        <f>INT((2^$J$12-1)*O150/100)/(2^$J$12-1)*100</f>
        <v/>
      </c>
      <c r="Q150" s="15" t="n">
        <v>0</v>
      </c>
      <c r="R150" s="15">
        <f>P150+Q150</f>
        <v/>
      </c>
      <c r="S150" s="15">
        <f>$I$1*S149-$I$2*S148+$I$3*R129+$I$4*R128</f>
        <v/>
      </c>
      <c r="T150" s="15" t="n">
        <v>0</v>
      </c>
      <c r="U150" s="15">
        <f>S150+T150</f>
        <v/>
      </c>
      <c r="V150" s="15">
        <f>INT((2^$J$12-1)*U150/100)/(2^$J$12-1)*100</f>
        <v/>
      </c>
      <c r="X150" s="15">
        <f>M150 * 1.05</f>
        <v/>
      </c>
      <c r="Y150" s="15">
        <f>M150 * 0.95</f>
        <v/>
      </c>
      <c r="Z150" s="15">
        <f>IF(AND(V150 &lt;= X150, V150 &gt;= Y150), 1, 0)</f>
        <v/>
      </c>
      <c r="AC150" s="15">
        <f>N150^2</f>
        <v/>
      </c>
      <c r="AD150" s="15">
        <f>ABS(N150)</f>
        <v/>
      </c>
      <c r="AE150" s="15">
        <f>IF(M150&gt;0, ABS(N150)*(L150-$D$16),0)</f>
        <v/>
      </c>
    </row>
    <row r="151">
      <c r="L151" s="15" t="n">
        <v>149</v>
      </c>
      <c r="M151" s="15">
        <f>IF(L151&lt;$D$16,$D$12,IF(L151&lt;$E$16,$E$12,$F$13))</f>
        <v/>
      </c>
      <c r="N151" s="15">
        <f>M151-V151</f>
        <v/>
      </c>
      <c r="O151" s="15">
        <f>IF(MOD(L151,$B$11)=0,OFFSET(O151,-$B$11,0)+ $E$2*N151+$E$3*OFFSET(N151,-$B$11,0)+ $E$4*OFFSET(N151,-2* $B$11,0), O150)</f>
        <v/>
      </c>
      <c r="P151" s="15">
        <f>INT((2^$J$12-1)*O151/100)/(2^$J$12-1)*100</f>
        <v/>
      </c>
      <c r="Q151" s="15" t="n">
        <v>0</v>
      </c>
      <c r="R151" s="15">
        <f>P151+Q151</f>
        <v/>
      </c>
      <c r="S151" s="15">
        <f>$I$1*S150-$I$2*S149+$I$3*R130+$I$4*R129</f>
        <v/>
      </c>
      <c r="T151" s="15" t="n">
        <v>0</v>
      </c>
      <c r="U151" s="15">
        <f>S151+T151</f>
        <v/>
      </c>
      <c r="V151" s="15">
        <f>INT((2^$J$12-1)*U151/100)/(2^$J$12-1)*100</f>
        <v/>
      </c>
      <c r="X151" s="15">
        <f>M151 * 1.05</f>
        <v/>
      </c>
      <c r="Y151" s="15">
        <f>M151 * 0.95</f>
        <v/>
      </c>
      <c r="Z151" s="15">
        <f>IF(AND(V151 &lt;= X151, V151 &gt;= Y151), 1, 0)</f>
        <v/>
      </c>
      <c r="AC151" s="15">
        <f>N151^2</f>
        <v/>
      </c>
      <c r="AD151" s="15">
        <f>ABS(N151)</f>
        <v/>
      </c>
      <c r="AE151" s="15">
        <f>IF(M151&gt;0, ABS(N151)*(L151-$D$16),0)</f>
        <v/>
      </c>
    </row>
    <row r="152">
      <c r="L152" s="15" t="n">
        <v>150</v>
      </c>
      <c r="M152" s="15">
        <f>IF(L152&lt;$D$16,$D$12,IF(L152&lt;$E$16,$E$12,$F$13))</f>
        <v/>
      </c>
      <c r="N152" s="15">
        <f>M152-V152</f>
        <v/>
      </c>
      <c r="O152" s="15">
        <f>IF(MOD(L152,$B$11)=0,OFFSET(O152,-$B$11,0)+ $E$2*N152+$E$3*OFFSET(N152,-$B$11,0)+ $E$4*OFFSET(N152,-2* $B$11,0), O151)</f>
        <v/>
      </c>
      <c r="P152" s="15">
        <f>INT((2^$J$12-1)*O152/100)/(2^$J$12-1)*100</f>
        <v/>
      </c>
      <c r="Q152" s="15" t="n">
        <v>0</v>
      </c>
      <c r="R152" s="15">
        <f>P152+Q152</f>
        <v/>
      </c>
      <c r="S152" s="15">
        <f>$I$1*S151-$I$2*S150+$I$3*R131+$I$4*R130</f>
        <v/>
      </c>
      <c r="T152" s="15" t="n">
        <v>0</v>
      </c>
      <c r="U152" s="15">
        <f>S152+T152</f>
        <v/>
      </c>
      <c r="V152" s="15">
        <f>INT((2^$J$12-1)*U152/100)/(2^$J$12-1)*100</f>
        <v/>
      </c>
      <c r="X152" s="15">
        <f>M152 * 1.05</f>
        <v/>
      </c>
      <c r="Y152" s="15">
        <f>M152 * 0.95</f>
        <v/>
      </c>
      <c r="Z152" s="15">
        <f>IF(AND(V152 &lt;= X152, V152 &gt;= Y152), 1, 0)</f>
        <v/>
      </c>
      <c r="AC152" s="15">
        <f>N152^2</f>
        <v/>
      </c>
      <c r="AD152" s="15">
        <f>ABS(N152)</f>
        <v/>
      </c>
      <c r="AE152" s="15">
        <f>IF(M152&gt;0, ABS(N152)*(L152-$D$16),0)</f>
        <v/>
      </c>
    </row>
    <row r="153">
      <c r="L153" s="15" t="n">
        <v>151</v>
      </c>
      <c r="M153" s="15">
        <f>IF(L153&lt;$D$16,$D$12,IF(L153&lt;$E$16,$E$12,$F$13))</f>
        <v/>
      </c>
      <c r="N153" s="15">
        <f>M153-V153</f>
        <v/>
      </c>
      <c r="O153" s="15">
        <f>IF(MOD(L153,$B$11)=0,OFFSET(O153,-$B$11,0)+ $E$2*N153+$E$3*OFFSET(N153,-$B$11,0)+ $E$4*OFFSET(N153,-2* $B$11,0), O152)</f>
        <v/>
      </c>
      <c r="P153" s="15">
        <f>INT((2^$J$12-1)*O153/100)/(2^$J$12-1)*100</f>
        <v/>
      </c>
      <c r="Q153" s="15" t="n">
        <v>0</v>
      </c>
      <c r="R153" s="15">
        <f>P153+Q153</f>
        <v/>
      </c>
      <c r="S153" s="15">
        <f>$I$1*S152-$I$2*S151+$I$3*R132+$I$4*R131</f>
        <v/>
      </c>
      <c r="T153" s="15" t="n">
        <v>0</v>
      </c>
      <c r="U153" s="15">
        <f>S153+T153</f>
        <v/>
      </c>
      <c r="V153" s="15">
        <f>INT((2^$J$12-1)*U153/100)/(2^$J$12-1)*100</f>
        <v/>
      </c>
      <c r="X153" s="15">
        <f>M153 * 1.05</f>
        <v/>
      </c>
      <c r="Y153" s="15">
        <f>M153 * 0.95</f>
        <v/>
      </c>
      <c r="Z153" s="15">
        <f>IF(AND(V153 &lt;= X153, V153 &gt;= Y153), 1, 0)</f>
        <v/>
      </c>
      <c r="AC153" s="15">
        <f>N153^2</f>
        <v/>
      </c>
      <c r="AD153" s="15">
        <f>ABS(N153)</f>
        <v/>
      </c>
      <c r="AE153" s="15">
        <f>IF(M153&gt;0, ABS(N153)*(L153-$D$16),0)</f>
        <v/>
      </c>
    </row>
    <row r="154">
      <c r="L154" s="15" t="n">
        <v>152</v>
      </c>
      <c r="M154" s="15">
        <f>IF(L154&lt;$D$16,$D$12,IF(L154&lt;$E$16,$E$12,$F$13))</f>
        <v/>
      </c>
      <c r="N154" s="15">
        <f>M154-V154</f>
        <v/>
      </c>
      <c r="O154" s="15">
        <f>IF(MOD(L154,$B$11)=0,OFFSET(O154,-$B$11,0)+ $E$2*N154+$E$3*OFFSET(N154,-$B$11,0)+ $E$4*OFFSET(N154,-2* $B$11,0), O153)</f>
        <v/>
      </c>
      <c r="P154" s="15">
        <f>INT((2^$J$12-1)*O154/100)/(2^$J$12-1)*100</f>
        <v/>
      </c>
      <c r="Q154" s="15" t="n">
        <v>0</v>
      </c>
      <c r="R154" s="15">
        <f>P154+Q154</f>
        <v/>
      </c>
      <c r="S154" s="15">
        <f>$I$1*S153-$I$2*S152+$I$3*R133+$I$4*R132</f>
        <v/>
      </c>
      <c r="T154" s="15" t="n">
        <v>0</v>
      </c>
      <c r="U154" s="15">
        <f>S154+T154</f>
        <v/>
      </c>
      <c r="V154" s="15">
        <f>INT((2^$J$12-1)*U154/100)/(2^$J$12-1)*100</f>
        <v/>
      </c>
      <c r="X154" s="15">
        <f>M154 * 1.05</f>
        <v/>
      </c>
      <c r="Y154" s="15">
        <f>M154 * 0.95</f>
        <v/>
      </c>
      <c r="Z154" s="15">
        <f>IF(AND(V154 &lt;= X154, V154 &gt;= Y154), 1, 0)</f>
        <v/>
      </c>
      <c r="AC154" s="15">
        <f>N154^2</f>
        <v/>
      </c>
      <c r="AD154" s="15">
        <f>ABS(N154)</f>
        <v/>
      </c>
      <c r="AE154" s="15">
        <f>IF(M154&gt;0, ABS(N154)*(L154-$D$16),0)</f>
        <v/>
      </c>
    </row>
    <row r="155">
      <c r="L155" s="15" t="n">
        <v>153</v>
      </c>
      <c r="M155" s="15">
        <f>IF(L155&lt;$D$16,$D$12,IF(L155&lt;$E$16,$E$12,$F$13))</f>
        <v/>
      </c>
      <c r="N155" s="15">
        <f>M155-V155</f>
        <v/>
      </c>
      <c r="O155" s="15">
        <f>IF(MOD(L155,$B$11)=0,OFFSET(O155,-$B$11,0)+ $E$2*N155+$E$3*OFFSET(N155,-$B$11,0)+ $E$4*OFFSET(N155,-2* $B$11,0), O154)</f>
        <v/>
      </c>
      <c r="P155" s="15">
        <f>INT((2^$J$12-1)*O155/100)/(2^$J$12-1)*100</f>
        <v/>
      </c>
      <c r="Q155" s="15" t="n">
        <v>0</v>
      </c>
      <c r="R155" s="15">
        <f>P155+Q155</f>
        <v/>
      </c>
      <c r="S155" s="15">
        <f>$I$1*S154-$I$2*S153+$I$3*R134+$I$4*R133</f>
        <v/>
      </c>
      <c r="T155" s="15" t="n">
        <v>0</v>
      </c>
      <c r="U155" s="15">
        <f>S155+T155</f>
        <v/>
      </c>
      <c r="V155" s="15">
        <f>INT((2^$J$12-1)*U155/100)/(2^$J$12-1)*100</f>
        <v/>
      </c>
      <c r="X155" s="15">
        <f>M155 * 1.05</f>
        <v/>
      </c>
      <c r="Y155" s="15">
        <f>M155 * 0.95</f>
        <v/>
      </c>
      <c r="Z155" s="15">
        <f>IF(AND(V155 &lt;= X155, V155 &gt;= Y155), 1, 0)</f>
        <v/>
      </c>
      <c r="AC155" s="15">
        <f>N155^2</f>
        <v/>
      </c>
      <c r="AD155" s="15">
        <f>ABS(N155)</f>
        <v/>
      </c>
      <c r="AE155" s="15">
        <f>IF(M155&gt;0, ABS(N155)*(L155-$D$16),0)</f>
        <v/>
      </c>
    </row>
    <row r="156">
      <c r="L156" s="15" t="n">
        <v>154</v>
      </c>
      <c r="M156" s="15">
        <f>IF(L156&lt;$D$16,$D$12,IF(L156&lt;$E$16,$E$12,$F$13))</f>
        <v/>
      </c>
      <c r="N156" s="15">
        <f>M156-V156</f>
        <v/>
      </c>
      <c r="O156" s="15">
        <f>IF(MOD(L156,$B$11)=0,OFFSET(O156,-$B$11,0)+ $E$2*N156+$E$3*OFFSET(N156,-$B$11,0)+ $E$4*OFFSET(N156,-2* $B$11,0), O155)</f>
        <v/>
      </c>
      <c r="P156" s="15">
        <f>INT((2^$J$12-1)*O156/100)/(2^$J$12-1)*100</f>
        <v/>
      </c>
      <c r="Q156" s="15" t="n">
        <v>0</v>
      </c>
      <c r="R156" s="15">
        <f>P156+Q156</f>
        <v/>
      </c>
      <c r="S156" s="15">
        <f>$I$1*S155-$I$2*S154+$I$3*R135+$I$4*R134</f>
        <v/>
      </c>
      <c r="T156" s="15" t="n">
        <v>0</v>
      </c>
      <c r="U156" s="15">
        <f>S156+T156</f>
        <v/>
      </c>
      <c r="V156" s="15">
        <f>INT((2^$J$12-1)*U156/100)/(2^$J$12-1)*100</f>
        <v/>
      </c>
      <c r="X156" s="15">
        <f>M156 * 1.05</f>
        <v/>
      </c>
      <c r="Y156" s="15">
        <f>M156 * 0.95</f>
        <v/>
      </c>
      <c r="Z156" s="15">
        <f>IF(AND(V156 &lt;= X156, V156 &gt;= Y156), 1, 0)</f>
        <v/>
      </c>
      <c r="AC156" s="15">
        <f>N156^2</f>
        <v/>
      </c>
      <c r="AD156" s="15">
        <f>ABS(N156)</f>
        <v/>
      </c>
      <c r="AE156" s="15">
        <f>IF(M156&gt;0, ABS(N156)*(L156-$D$16),0)</f>
        <v/>
      </c>
    </row>
    <row r="157">
      <c r="L157" s="15" t="n">
        <v>155</v>
      </c>
      <c r="M157" s="15">
        <f>IF(L157&lt;$D$16,$D$12,IF(L157&lt;$E$16,$E$12,$F$13))</f>
        <v/>
      </c>
      <c r="N157" s="15">
        <f>M157-V157</f>
        <v/>
      </c>
      <c r="O157" s="15">
        <f>IF(MOD(L157,$B$11)=0,OFFSET(O157,-$B$11,0)+ $E$2*N157+$E$3*OFFSET(N157,-$B$11,0)+ $E$4*OFFSET(N157,-2* $B$11,0), O156)</f>
        <v/>
      </c>
      <c r="P157" s="15">
        <f>INT((2^$J$12-1)*O157/100)/(2^$J$12-1)*100</f>
        <v/>
      </c>
      <c r="Q157" s="15" t="n">
        <v>0</v>
      </c>
      <c r="R157" s="15">
        <f>P157+Q157</f>
        <v/>
      </c>
      <c r="S157" s="15">
        <f>$I$1*S156-$I$2*S155+$I$3*R136+$I$4*R135</f>
        <v/>
      </c>
      <c r="T157" s="15" t="n">
        <v>0</v>
      </c>
      <c r="U157" s="15">
        <f>S157+T157</f>
        <v/>
      </c>
      <c r="V157" s="15">
        <f>INT((2^$J$12-1)*U157/100)/(2^$J$12-1)*100</f>
        <v/>
      </c>
      <c r="X157" s="15">
        <f>M157 * 1.05</f>
        <v/>
      </c>
      <c r="Y157" s="15">
        <f>M157 * 0.95</f>
        <v/>
      </c>
      <c r="Z157" s="15">
        <f>IF(AND(V157 &lt;= X157, V157 &gt;= Y157), 1, 0)</f>
        <v/>
      </c>
      <c r="AC157" s="15">
        <f>N157^2</f>
        <v/>
      </c>
      <c r="AD157" s="15">
        <f>ABS(N157)</f>
        <v/>
      </c>
      <c r="AE157" s="15">
        <f>IF(M157&gt;0, ABS(N157)*(L157-$D$16),0)</f>
        <v/>
      </c>
    </row>
    <row r="158">
      <c r="L158" s="15" t="n">
        <v>156</v>
      </c>
      <c r="M158" s="15">
        <f>IF(L158&lt;$D$16,$D$12,IF(L158&lt;$E$16,$E$12,$F$13))</f>
        <v/>
      </c>
      <c r="N158" s="15">
        <f>M158-V158</f>
        <v/>
      </c>
      <c r="O158" s="15">
        <f>IF(MOD(L158,$B$11)=0,OFFSET(O158,-$B$11,0)+ $E$2*N158+$E$3*OFFSET(N158,-$B$11,0)+ $E$4*OFFSET(N158,-2* $B$11,0), O157)</f>
        <v/>
      </c>
      <c r="P158" s="15">
        <f>INT((2^$J$12-1)*O158/100)/(2^$J$12-1)*100</f>
        <v/>
      </c>
      <c r="Q158" s="15" t="n">
        <v>0</v>
      </c>
      <c r="R158" s="15">
        <f>P158+Q158</f>
        <v/>
      </c>
      <c r="S158" s="15">
        <f>$I$1*S157-$I$2*S156+$I$3*R137+$I$4*R136</f>
        <v/>
      </c>
      <c r="T158" s="15" t="n">
        <v>0</v>
      </c>
      <c r="U158" s="15">
        <f>S158+T158</f>
        <v/>
      </c>
      <c r="V158" s="15">
        <f>INT((2^$J$12-1)*U158/100)/(2^$J$12-1)*100</f>
        <v/>
      </c>
      <c r="X158" s="15">
        <f>M158 * 1.05</f>
        <v/>
      </c>
      <c r="Y158" s="15">
        <f>M158 * 0.95</f>
        <v/>
      </c>
      <c r="Z158" s="15">
        <f>IF(AND(V158 &lt;= X158, V158 &gt;= Y158), 1, 0)</f>
        <v/>
      </c>
      <c r="AC158" s="15">
        <f>N158^2</f>
        <v/>
      </c>
      <c r="AD158" s="15">
        <f>ABS(N158)</f>
        <v/>
      </c>
      <c r="AE158" s="15">
        <f>IF(M158&gt;0, ABS(N158)*(L158-$D$16),0)</f>
        <v/>
      </c>
    </row>
    <row r="159">
      <c r="L159" s="15" t="n">
        <v>157</v>
      </c>
      <c r="M159" s="15">
        <f>IF(L159&lt;$D$16,$D$12,IF(L159&lt;$E$16,$E$12,$F$13))</f>
        <v/>
      </c>
      <c r="N159" s="15">
        <f>M159-V159</f>
        <v/>
      </c>
      <c r="O159" s="15">
        <f>IF(MOD(L159,$B$11)=0,OFFSET(O159,-$B$11,0)+ $E$2*N159+$E$3*OFFSET(N159,-$B$11,0)+ $E$4*OFFSET(N159,-2* $B$11,0), O158)</f>
        <v/>
      </c>
      <c r="P159" s="15">
        <f>INT((2^$J$12-1)*O159/100)/(2^$J$12-1)*100</f>
        <v/>
      </c>
      <c r="Q159" s="15" t="n">
        <v>0</v>
      </c>
      <c r="R159" s="15">
        <f>P159+Q159</f>
        <v/>
      </c>
      <c r="S159" s="15">
        <f>$I$1*S158-$I$2*S157+$I$3*R138+$I$4*R137</f>
        <v/>
      </c>
      <c r="T159" s="15" t="n">
        <v>0</v>
      </c>
      <c r="U159" s="15">
        <f>S159+T159</f>
        <v/>
      </c>
      <c r="V159" s="15">
        <f>INT((2^$J$12-1)*U159/100)/(2^$J$12-1)*100</f>
        <v/>
      </c>
      <c r="X159" s="15">
        <f>M159 * 1.05</f>
        <v/>
      </c>
      <c r="Y159" s="15">
        <f>M159 * 0.95</f>
        <v/>
      </c>
      <c r="Z159" s="15">
        <f>IF(AND(V159 &lt;= X159, V159 &gt;= Y159), 1, 0)</f>
        <v/>
      </c>
      <c r="AC159" s="15">
        <f>N159^2</f>
        <v/>
      </c>
      <c r="AD159" s="15">
        <f>ABS(N159)</f>
        <v/>
      </c>
      <c r="AE159" s="15">
        <f>IF(M159&gt;0, ABS(N159)*(L159-$D$16),0)</f>
        <v/>
      </c>
    </row>
    <row r="160">
      <c r="L160" s="15" t="n">
        <v>158</v>
      </c>
      <c r="M160" s="15">
        <f>IF(L160&lt;$D$16,$D$12,IF(L160&lt;$E$16,$E$12,$F$13))</f>
        <v/>
      </c>
      <c r="N160" s="15">
        <f>M160-V160</f>
        <v/>
      </c>
      <c r="O160" s="15">
        <f>IF(MOD(L160,$B$11)=0,OFFSET(O160,-$B$11,0)+ $E$2*N160+$E$3*OFFSET(N160,-$B$11,0)+ $E$4*OFFSET(N160,-2* $B$11,0), O159)</f>
        <v/>
      </c>
      <c r="P160" s="15">
        <f>INT((2^$J$12-1)*O160/100)/(2^$J$12-1)*100</f>
        <v/>
      </c>
      <c r="Q160" s="15" t="n">
        <v>0</v>
      </c>
      <c r="R160" s="15">
        <f>P160+Q160</f>
        <v/>
      </c>
      <c r="S160" s="15">
        <f>$I$1*S159-$I$2*S158+$I$3*R139+$I$4*R138</f>
        <v/>
      </c>
      <c r="T160" s="15" t="n">
        <v>0</v>
      </c>
      <c r="U160" s="15">
        <f>S160+T160</f>
        <v/>
      </c>
      <c r="V160" s="15">
        <f>INT((2^$J$12-1)*U160/100)/(2^$J$12-1)*100</f>
        <v/>
      </c>
      <c r="X160" s="15">
        <f>M160 * 1.05</f>
        <v/>
      </c>
      <c r="Y160" s="15">
        <f>M160 * 0.95</f>
        <v/>
      </c>
      <c r="Z160" s="15">
        <f>IF(AND(V160 &lt;= X160, V160 &gt;= Y160), 1, 0)</f>
        <v/>
      </c>
      <c r="AC160" s="15">
        <f>N160^2</f>
        <v/>
      </c>
      <c r="AD160" s="15">
        <f>ABS(N160)</f>
        <v/>
      </c>
      <c r="AE160" s="15">
        <f>IF(M160&gt;0, ABS(N160)*(L160-$D$16),0)</f>
        <v/>
      </c>
    </row>
    <row r="161">
      <c r="L161" s="15" t="n">
        <v>159</v>
      </c>
      <c r="M161" s="15">
        <f>IF(L161&lt;$D$16,$D$12,IF(L161&lt;$E$16,$E$12,$F$13))</f>
        <v/>
      </c>
      <c r="N161" s="15">
        <f>M161-V161</f>
        <v/>
      </c>
      <c r="O161" s="15">
        <f>IF(MOD(L161,$B$11)=0,OFFSET(O161,-$B$11,0)+ $E$2*N161+$E$3*OFFSET(N161,-$B$11,0)+ $E$4*OFFSET(N161,-2* $B$11,0), O160)</f>
        <v/>
      </c>
      <c r="P161" s="15">
        <f>INT((2^$J$12-1)*O161/100)/(2^$J$12-1)*100</f>
        <v/>
      </c>
      <c r="Q161" s="15" t="n">
        <v>0</v>
      </c>
      <c r="R161" s="15">
        <f>P161+Q161</f>
        <v/>
      </c>
      <c r="S161" s="15">
        <f>$I$1*S160-$I$2*S159+$I$3*R140+$I$4*R139</f>
        <v/>
      </c>
      <c r="T161" s="15" t="n">
        <v>0</v>
      </c>
      <c r="U161" s="15">
        <f>S161+T161</f>
        <v/>
      </c>
      <c r="V161" s="15">
        <f>INT((2^$J$12-1)*U161/100)/(2^$J$12-1)*100</f>
        <v/>
      </c>
      <c r="X161" s="15">
        <f>M161 * 1.05</f>
        <v/>
      </c>
      <c r="Y161" s="15">
        <f>M161 * 0.95</f>
        <v/>
      </c>
      <c r="Z161" s="15">
        <f>IF(AND(V161 &lt;= X161, V161 &gt;= Y161), 1, 0)</f>
        <v/>
      </c>
      <c r="AC161" s="15">
        <f>N161^2</f>
        <v/>
      </c>
      <c r="AD161" s="15">
        <f>ABS(N161)</f>
        <v/>
      </c>
      <c r="AE161" s="15">
        <f>IF(M161&gt;0, ABS(N161)*(L161-$D$16),0)</f>
        <v/>
      </c>
    </row>
    <row r="162">
      <c r="L162" s="15" t="n">
        <v>160</v>
      </c>
      <c r="M162" s="15">
        <f>IF(L162&lt;$D$16,$D$12,IF(L162&lt;$E$16,$E$12,$F$13))</f>
        <v/>
      </c>
      <c r="N162" s="15">
        <f>M162-V162</f>
        <v/>
      </c>
      <c r="O162" s="15">
        <f>IF(MOD(L162,$B$11)=0,OFFSET(O162,-$B$11,0)+ $E$2*N162+$E$3*OFFSET(N162,-$B$11,0)+ $E$4*OFFSET(N162,-2* $B$11,0), O161)</f>
        <v/>
      </c>
      <c r="P162" s="15">
        <f>INT((2^$J$12-1)*O162/100)/(2^$J$12-1)*100</f>
        <v/>
      </c>
      <c r="Q162" s="15" t="n">
        <v>0</v>
      </c>
      <c r="R162" s="15">
        <f>P162+Q162</f>
        <v/>
      </c>
      <c r="S162" s="15">
        <f>$I$1*S161-$I$2*S160+$I$3*R141+$I$4*R140</f>
        <v/>
      </c>
      <c r="T162" s="15" t="n">
        <v>0</v>
      </c>
      <c r="U162" s="15">
        <f>S162+T162</f>
        <v/>
      </c>
      <c r="V162" s="15">
        <f>INT((2^$J$12-1)*U162/100)/(2^$J$12-1)*100</f>
        <v/>
      </c>
      <c r="X162" s="15">
        <f>M162 * 1.05</f>
        <v/>
      </c>
      <c r="Y162" s="15">
        <f>M162 * 0.95</f>
        <v/>
      </c>
      <c r="Z162" s="15">
        <f>IF(AND(V162 &lt;= X162, V162 &gt;= Y162), 1, 0)</f>
        <v/>
      </c>
      <c r="AC162" s="15">
        <f>N162^2</f>
        <v/>
      </c>
      <c r="AD162" s="15">
        <f>ABS(N162)</f>
        <v/>
      </c>
      <c r="AE162" s="15">
        <f>IF(M162&gt;0, ABS(N162)*(L162-$D$16),0)</f>
        <v/>
      </c>
    </row>
    <row r="163">
      <c r="L163" s="15" t="n">
        <v>161</v>
      </c>
      <c r="M163" s="15">
        <f>IF(L163&lt;$D$16,$D$12,IF(L163&lt;$E$16,$E$12,$F$13))</f>
        <v/>
      </c>
      <c r="N163" s="15">
        <f>M163-V163</f>
        <v/>
      </c>
      <c r="O163" s="15">
        <f>IF(MOD(L163,$B$11)=0,OFFSET(O163,-$B$11,0)+ $E$2*N163+$E$3*OFFSET(N163,-$B$11,0)+ $E$4*OFFSET(N163,-2* $B$11,0), O162)</f>
        <v/>
      </c>
      <c r="P163" s="15">
        <f>INT((2^$J$12-1)*O163/100)/(2^$J$12-1)*100</f>
        <v/>
      </c>
      <c r="Q163" s="15" t="n">
        <v>0</v>
      </c>
      <c r="R163" s="15">
        <f>P163+Q163</f>
        <v/>
      </c>
      <c r="S163" s="15">
        <f>$I$1*S162-$I$2*S161+$I$3*R142+$I$4*R141</f>
        <v/>
      </c>
      <c r="T163" s="15" t="n">
        <v>0</v>
      </c>
      <c r="U163" s="15">
        <f>S163+T163</f>
        <v/>
      </c>
      <c r="V163" s="15">
        <f>INT((2^$J$12-1)*U163/100)/(2^$J$12-1)*100</f>
        <v/>
      </c>
      <c r="X163" s="15">
        <f>M163 * 1.05</f>
        <v/>
      </c>
      <c r="Y163" s="15">
        <f>M163 * 0.95</f>
        <v/>
      </c>
      <c r="Z163" s="15">
        <f>IF(AND(V163 &lt;= X163, V163 &gt;= Y163), 1, 0)</f>
        <v/>
      </c>
      <c r="AC163" s="15">
        <f>N163^2</f>
        <v/>
      </c>
      <c r="AD163" s="15">
        <f>ABS(N163)</f>
        <v/>
      </c>
      <c r="AE163" s="15">
        <f>IF(M163&gt;0, ABS(N163)*(L163-$D$16),0)</f>
        <v/>
      </c>
    </row>
    <row r="164">
      <c r="L164" s="15" t="n">
        <v>162</v>
      </c>
      <c r="M164" s="15">
        <f>IF(L164&lt;$D$16,$D$12,IF(L164&lt;$E$16,$E$12,$F$13))</f>
        <v/>
      </c>
      <c r="N164" s="15">
        <f>M164-V164</f>
        <v/>
      </c>
      <c r="O164" s="15">
        <f>IF(MOD(L164,$B$11)=0,OFFSET(O164,-$B$11,0)+ $E$2*N164+$E$3*OFFSET(N164,-$B$11,0)+ $E$4*OFFSET(N164,-2* $B$11,0), O163)</f>
        <v/>
      </c>
      <c r="P164" s="15">
        <f>INT((2^$J$12-1)*O164/100)/(2^$J$12-1)*100</f>
        <v/>
      </c>
      <c r="Q164" s="15" t="n">
        <v>0</v>
      </c>
      <c r="R164" s="15">
        <f>P164+Q164</f>
        <v/>
      </c>
      <c r="S164" s="15">
        <f>$I$1*S163-$I$2*S162+$I$3*R143+$I$4*R142</f>
        <v/>
      </c>
      <c r="T164" s="15" t="n">
        <v>0</v>
      </c>
      <c r="U164" s="15">
        <f>S164+T164</f>
        <v/>
      </c>
      <c r="V164" s="15">
        <f>INT((2^$J$12-1)*U164/100)/(2^$J$12-1)*100</f>
        <v/>
      </c>
      <c r="X164" s="15">
        <f>M164 * 1.05</f>
        <v/>
      </c>
      <c r="Y164" s="15">
        <f>M164 * 0.95</f>
        <v/>
      </c>
      <c r="Z164" s="15">
        <f>IF(AND(V164 &lt;= X164, V164 &gt;= Y164), 1, 0)</f>
        <v/>
      </c>
      <c r="AC164" s="15">
        <f>N164^2</f>
        <v/>
      </c>
      <c r="AD164" s="15">
        <f>ABS(N164)</f>
        <v/>
      </c>
      <c r="AE164" s="15">
        <f>IF(M164&gt;0, ABS(N164)*(L164-$D$16),0)</f>
        <v/>
      </c>
    </row>
    <row r="165">
      <c r="L165" s="15" t="n">
        <v>163</v>
      </c>
      <c r="M165" s="15">
        <f>IF(L165&lt;$D$16,$D$12,IF(L165&lt;$E$16,$E$12,$F$13))</f>
        <v/>
      </c>
      <c r="N165" s="15">
        <f>M165-V165</f>
        <v/>
      </c>
      <c r="O165" s="15">
        <f>IF(MOD(L165,$B$11)=0,OFFSET(O165,-$B$11,0)+ $E$2*N165+$E$3*OFFSET(N165,-$B$11,0)+ $E$4*OFFSET(N165,-2* $B$11,0), O164)</f>
        <v/>
      </c>
      <c r="P165" s="15">
        <f>INT((2^$J$12-1)*O165/100)/(2^$J$12-1)*100</f>
        <v/>
      </c>
      <c r="Q165" s="15" t="n">
        <v>0</v>
      </c>
      <c r="R165" s="15">
        <f>P165+Q165</f>
        <v/>
      </c>
      <c r="S165" s="15">
        <f>$I$1*S164-$I$2*S163+$I$3*R144+$I$4*R143</f>
        <v/>
      </c>
      <c r="T165" s="15" t="n">
        <v>0</v>
      </c>
      <c r="U165" s="15">
        <f>S165+T165</f>
        <v/>
      </c>
      <c r="V165" s="15">
        <f>INT((2^$J$12-1)*U165/100)/(2^$J$12-1)*100</f>
        <v/>
      </c>
      <c r="X165" s="15">
        <f>M165 * 1.05</f>
        <v/>
      </c>
      <c r="Y165" s="15">
        <f>M165 * 0.95</f>
        <v/>
      </c>
      <c r="Z165" s="15">
        <f>IF(AND(V165 &lt;= X165, V165 &gt;= Y165), 1, 0)</f>
        <v/>
      </c>
      <c r="AC165" s="15">
        <f>N165^2</f>
        <v/>
      </c>
      <c r="AD165" s="15">
        <f>ABS(N165)</f>
        <v/>
      </c>
      <c r="AE165" s="15">
        <f>IF(M165&gt;0, ABS(N165)*(L165-$D$16),0)</f>
        <v/>
      </c>
    </row>
    <row r="166">
      <c r="L166" s="15" t="n">
        <v>164</v>
      </c>
      <c r="M166" s="15">
        <f>IF(L166&lt;$D$16,$D$12,IF(L166&lt;$E$16,$E$12,$F$13))</f>
        <v/>
      </c>
      <c r="N166" s="15">
        <f>M166-V166</f>
        <v/>
      </c>
      <c r="O166" s="15">
        <f>IF(MOD(L166,$B$11)=0,OFFSET(O166,-$B$11,0)+ $E$2*N166+$E$3*OFFSET(N166,-$B$11,0)+ $E$4*OFFSET(N166,-2* $B$11,0), O165)</f>
        <v/>
      </c>
      <c r="P166" s="15">
        <f>INT((2^$J$12-1)*O166/100)/(2^$J$12-1)*100</f>
        <v/>
      </c>
      <c r="Q166" s="15" t="n">
        <v>0</v>
      </c>
      <c r="R166" s="15">
        <f>P166+Q166</f>
        <v/>
      </c>
      <c r="S166" s="15">
        <f>$I$1*S165-$I$2*S164+$I$3*R145+$I$4*R144</f>
        <v/>
      </c>
      <c r="T166" s="15" t="n">
        <v>0</v>
      </c>
      <c r="U166" s="15">
        <f>S166+T166</f>
        <v/>
      </c>
      <c r="V166" s="15">
        <f>INT((2^$J$12-1)*U166/100)/(2^$J$12-1)*100</f>
        <v/>
      </c>
      <c r="X166" s="15">
        <f>M166 * 1.05</f>
        <v/>
      </c>
      <c r="Y166" s="15">
        <f>M166 * 0.95</f>
        <v/>
      </c>
      <c r="Z166" s="15">
        <f>IF(AND(V166 &lt;= X166, V166 &gt;= Y166), 1, 0)</f>
        <v/>
      </c>
      <c r="AC166" s="15">
        <f>N166^2</f>
        <v/>
      </c>
      <c r="AD166" s="15">
        <f>ABS(N166)</f>
        <v/>
      </c>
      <c r="AE166" s="15">
        <f>IF(M166&gt;0, ABS(N166)*(L166-$D$16),0)</f>
        <v/>
      </c>
    </row>
    <row r="167">
      <c r="L167" s="15" t="n">
        <v>165</v>
      </c>
      <c r="M167" s="15">
        <f>IF(L167&lt;$D$16,$D$12,IF(L167&lt;$E$16,$E$12,$F$13))</f>
        <v/>
      </c>
      <c r="N167" s="15">
        <f>M167-V167</f>
        <v/>
      </c>
      <c r="O167" s="15">
        <f>IF(MOD(L167,$B$11)=0,OFFSET(O167,-$B$11,0)+ $E$2*N167+$E$3*OFFSET(N167,-$B$11,0)+ $E$4*OFFSET(N167,-2* $B$11,0), O166)</f>
        <v/>
      </c>
      <c r="P167" s="15">
        <f>INT((2^$J$12-1)*O167/100)/(2^$J$12-1)*100</f>
        <v/>
      </c>
      <c r="Q167" s="15" t="n">
        <v>0</v>
      </c>
      <c r="R167" s="15">
        <f>P167+Q167</f>
        <v/>
      </c>
      <c r="S167" s="15">
        <f>$I$1*S166-$I$2*S165+$I$3*R146+$I$4*R145</f>
        <v/>
      </c>
      <c r="T167" s="15" t="n">
        <v>0</v>
      </c>
      <c r="U167" s="15">
        <f>S167+T167</f>
        <v/>
      </c>
      <c r="V167" s="15">
        <f>INT((2^$J$12-1)*U167/100)/(2^$J$12-1)*100</f>
        <v/>
      </c>
      <c r="X167" s="15">
        <f>M167 * 1.05</f>
        <v/>
      </c>
      <c r="Y167" s="15">
        <f>M167 * 0.95</f>
        <v/>
      </c>
      <c r="Z167" s="15">
        <f>IF(AND(V167 &lt;= X167, V167 &gt;= Y167), 1, 0)</f>
        <v/>
      </c>
      <c r="AC167" s="15">
        <f>N167^2</f>
        <v/>
      </c>
      <c r="AD167" s="15">
        <f>ABS(N167)</f>
        <v/>
      </c>
      <c r="AE167" s="15">
        <f>IF(M167&gt;0, ABS(N167)*(L167-$D$16),0)</f>
        <v/>
      </c>
    </row>
    <row r="168">
      <c r="L168" s="15" t="n">
        <v>166</v>
      </c>
      <c r="M168" s="15">
        <f>IF(L168&lt;$D$16,$D$12,IF(L168&lt;$E$16,$E$12,$F$13))</f>
        <v/>
      </c>
      <c r="N168" s="15">
        <f>M168-V168</f>
        <v/>
      </c>
      <c r="O168" s="15">
        <f>IF(MOD(L168,$B$11)=0,OFFSET(O168,-$B$11,0)+ $E$2*N168+$E$3*OFFSET(N168,-$B$11,0)+ $E$4*OFFSET(N168,-2* $B$11,0), O167)</f>
        <v/>
      </c>
      <c r="P168" s="15">
        <f>INT((2^$J$12-1)*O168/100)/(2^$J$12-1)*100</f>
        <v/>
      </c>
      <c r="Q168" s="15" t="n">
        <v>0</v>
      </c>
      <c r="R168" s="15">
        <f>P168+Q168</f>
        <v/>
      </c>
      <c r="S168" s="15">
        <f>$I$1*S167-$I$2*S166+$I$3*R147+$I$4*R146</f>
        <v/>
      </c>
      <c r="T168" s="15" t="n">
        <v>0</v>
      </c>
      <c r="U168" s="15">
        <f>S168+T168</f>
        <v/>
      </c>
      <c r="V168" s="15">
        <f>INT((2^$J$12-1)*U168/100)/(2^$J$12-1)*100</f>
        <v/>
      </c>
      <c r="X168" s="15">
        <f>M168 * 1.05</f>
        <v/>
      </c>
      <c r="Y168" s="15">
        <f>M168 * 0.95</f>
        <v/>
      </c>
      <c r="Z168" s="15">
        <f>IF(AND(V168 &lt;= X168, V168 &gt;= Y168), 1, 0)</f>
        <v/>
      </c>
      <c r="AC168" s="15">
        <f>N168^2</f>
        <v/>
      </c>
      <c r="AD168" s="15">
        <f>ABS(N168)</f>
        <v/>
      </c>
      <c r="AE168" s="15">
        <f>IF(M168&gt;0, ABS(N168)*(L168-$D$16),0)</f>
        <v/>
      </c>
    </row>
    <row r="169">
      <c r="L169" s="15" t="n">
        <v>167</v>
      </c>
      <c r="M169" s="15">
        <f>IF(L169&lt;$D$16,$D$12,IF(L169&lt;$E$16,$E$12,$F$13))</f>
        <v/>
      </c>
      <c r="N169" s="15">
        <f>M169-V169</f>
        <v/>
      </c>
      <c r="O169" s="15">
        <f>IF(MOD(L169,$B$11)=0,OFFSET(O169,-$B$11,0)+ $E$2*N169+$E$3*OFFSET(N169,-$B$11,0)+ $E$4*OFFSET(N169,-2* $B$11,0), O168)</f>
        <v/>
      </c>
      <c r="P169" s="15">
        <f>INT((2^$J$12-1)*O169/100)/(2^$J$12-1)*100</f>
        <v/>
      </c>
      <c r="Q169" s="15" t="n">
        <v>0</v>
      </c>
      <c r="R169" s="15">
        <f>P169+Q169</f>
        <v/>
      </c>
      <c r="S169" s="15">
        <f>$I$1*S168-$I$2*S167+$I$3*R148+$I$4*R147</f>
        <v/>
      </c>
      <c r="T169" s="15" t="n">
        <v>0</v>
      </c>
      <c r="U169" s="15">
        <f>S169+T169</f>
        <v/>
      </c>
      <c r="V169" s="15">
        <f>INT((2^$J$12-1)*U169/100)/(2^$J$12-1)*100</f>
        <v/>
      </c>
      <c r="X169" s="15">
        <f>M169 * 1.05</f>
        <v/>
      </c>
      <c r="Y169" s="15">
        <f>M169 * 0.95</f>
        <v/>
      </c>
      <c r="Z169" s="15">
        <f>IF(AND(V169 &lt;= X169, V169 &gt;= Y169), 1, 0)</f>
        <v/>
      </c>
      <c r="AC169" s="15">
        <f>N169^2</f>
        <v/>
      </c>
      <c r="AD169" s="15">
        <f>ABS(N169)</f>
        <v/>
      </c>
      <c r="AE169" s="15">
        <f>IF(M169&gt;0, ABS(N169)*(L169-$D$16),0)</f>
        <v/>
      </c>
    </row>
    <row r="170">
      <c r="L170" s="15" t="n">
        <v>168</v>
      </c>
      <c r="M170" s="15">
        <f>IF(L170&lt;$D$16,$D$12,IF(L170&lt;$E$16,$E$12,$F$13))</f>
        <v/>
      </c>
      <c r="N170" s="15">
        <f>M170-V170</f>
        <v/>
      </c>
      <c r="O170" s="15">
        <f>IF(MOD(L170,$B$11)=0,OFFSET(O170,-$B$11,0)+ $E$2*N170+$E$3*OFFSET(N170,-$B$11,0)+ $E$4*OFFSET(N170,-2* $B$11,0), O169)</f>
        <v/>
      </c>
      <c r="P170" s="15">
        <f>INT((2^$J$12-1)*O170/100)/(2^$J$12-1)*100</f>
        <v/>
      </c>
      <c r="Q170" s="15" t="n">
        <v>0</v>
      </c>
      <c r="R170" s="15">
        <f>P170+Q170</f>
        <v/>
      </c>
      <c r="S170" s="15">
        <f>$I$1*S169-$I$2*S168+$I$3*R149+$I$4*R148</f>
        <v/>
      </c>
      <c r="T170" s="15" t="n">
        <v>0</v>
      </c>
      <c r="U170" s="15">
        <f>S170+T170</f>
        <v/>
      </c>
      <c r="V170" s="15">
        <f>INT((2^$J$12-1)*U170/100)/(2^$J$12-1)*100</f>
        <v/>
      </c>
      <c r="X170" s="15">
        <f>M170 * 1.05</f>
        <v/>
      </c>
      <c r="Y170" s="15">
        <f>M170 * 0.95</f>
        <v/>
      </c>
      <c r="Z170" s="15">
        <f>IF(AND(V170 &lt;= X170, V170 &gt;= Y170), 1, 0)</f>
        <v/>
      </c>
      <c r="AC170" s="15">
        <f>N170^2</f>
        <v/>
      </c>
      <c r="AD170" s="15">
        <f>ABS(N170)</f>
        <v/>
      </c>
      <c r="AE170" s="15">
        <f>IF(M170&gt;0, ABS(N170)*(L170-$D$16),0)</f>
        <v/>
      </c>
    </row>
    <row r="171">
      <c r="L171" s="15" t="n">
        <v>169</v>
      </c>
      <c r="M171" s="15">
        <f>IF(L171&lt;$D$16,$D$12,IF(L171&lt;$E$16,$E$12,$F$13))</f>
        <v/>
      </c>
      <c r="N171" s="15">
        <f>M171-V171</f>
        <v/>
      </c>
      <c r="O171" s="15">
        <f>IF(MOD(L171,$B$11)=0,OFFSET(O171,-$B$11,0)+ $E$2*N171+$E$3*OFFSET(N171,-$B$11,0)+ $E$4*OFFSET(N171,-2* $B$11,0), O170)</f>
        <v/>
      </c>
      <c r="P171" s="15">
        <f>INT((2^$J$12-1)*O171/100)/(2^$J$12-1)*100</f>
        <v/>
      </c>
      <c r="Q171" s="15" t="n">
        <v>0</v>
      </c>
      <c r="R171" s="15">
        <f>P171+Q171</f>
        <v/>
      </c>
      <c r="S171" s="15">
        <f>$I$1*S170-$I$2*S169+$I$3*R150+$I$4*R149</f>
        <v/>
      </c>
      <c r="T171" s="15" t="n">
        <v>0</v>
      </c>
      <c r="U171" s="15">
        <f>S171+T171</f>
        <v/>
      </c>
      <c r="V171" s="15">
        <f>INT((2^$J$12-1)*U171/100)/(2^$J$12-1)*100</f>
        <v/>
      </c>
      <c r="X171" s="15">
        <f>M171 * 1.05</f>
        <v/>
      </c>
      <c r="Y171" s="15">
        <f>M171 * 0.95</f>
        <v/>
      </c>
      <c r="Z171" s="15">
        <f>IF(AND(V171 &lt;= X171, V171 &gt;= Y171), 1, 0)</f>
        <v/>
      </c>
      <c r="AC171" s="15">
        <f>N171^2</f>
        <v/>
      </c>
      <c r="AD171" s="15">
        <f>ABS(N171)</f>
        <v/>
      </c>
      <c r="AE171" s="15">
        <f>IF(M171&gt;0, ABS(N171)*(L171-$D$16),0)</f>
        <v/>
      </c>
    </row>
    <row r="172">
      <c r="L172" s="15" t="n">
        <v>170</v>
      </c>
      <c r="M172" s="15">
        <f>IF(L172&lt;$D$16,$D$12,IF(L172&lt;$E$16,$E$12,$F$13))</f>
        <v/>
      </c>
      <c r="N172" s="15">
        <f>M172-V172</f>
        <v/>
      </c>
      <c r="O172" s="15">
        <f>IF(MOD(L172,$B$11)=0,OFFSET(O172,-$B$11,0)+ $E$2*N172+$E$3*OFFSET(N172,-$B$11,0)+ $E$4*OFFSET(N172,-2* $B$11,0), O171)</f>
        <v/>
      </c>
      <c r="P172" s="15">
        <f>INT((2^$J$12-1)*O172/100)/(2^$J$12-1)*100</f>
        <v/>
      </c>
      <c r="Q172" s="15" t="n">
        <v>0</v>
      </c>
      <c r="R172" s="15">
        <f>P172+Q172</f>
        <v/>
      </c>
      <c r="S172" s="15">
        <f>$I$1*S171-$I$2*S170+$I$3*R151+$I$4*R150</f>
        <v/>
      </c>
      <c r="T172" s="15" t="n">
        <v>0</v>
      </c>
      <c r="U172" s="15">
        <f>S172+T172</f>
        <v/>
      </c>
      <c r="V172" s="15">
        <f>INT((2^$J$12-1)*U172/100)/(2^$J$12-1)*100</f>
        <v/>
      </c>
      <c r="X172" s="15">
        <f>M172 * 1.05</f>
        <v/>
      </c>
      <c r="Y172" s="15">
        <f>M172 * 0.95</f>
        <v/>
      </c>
      <c r="Z172" s="15">
        <f>IF(AND(V172 &lt;= X172, V172 &gt;= Y172), 1, 0)</f>
        <v/>
      </c>
      <c r="AC172" s="15">
        <f>N172^2</f>
        <v/>
      </c>
      <c r="AD172" s="15">
        <f>ABS(N172)</f>
        <v/>
      </c>
      <c r="AE172" s="15">
        <f>IF(M172&gt;0, ABS(N172)*(L172-$D$16),0)</f>
        <v/>
      </c>
    </row>
    <row r="173">
      <c r="L173" s="15" t="n">
        <v>171</v>
      </c>
      <c r="M173" s="15">
        <f>IF(L173&lt;$D$16,$D$12,IF(L173&lt;$E$16,$E$12,$F$13))</f>
        <v/>
      </c>
      <c r="N173" s="15">
        <f>M173-V173</f>
        <v/>
      </c>
      <c r="O173" s="15">
        <f>IF(MOD(L173,$B$11)=0,OFFSET(O173,-$B$11,0)+ $E$2*N173+$E$3*OFFSET(N173,-$B$11,0)+ $E$4*OFFSET(N173,-2* $B$11,0), O172)</f>
        <v/>
      </c>
      <c r="P173" s="15">
        <f>INT((2^$J$12-1)*O173/100)/(2^$J$12-1)*100</f>
        <v/>
      </c>
      <c r="Q173" s="15" t="n">
        <v>0</v>
      </c>
      <c r="R173" s="15">
        <f>P173+Q173</f>
        <v/>
      </c>
      <c r="S173" s="15">
        <f>$I$1*S172-$I$2*S171+$I$3*R152+$I$4*R151</f>
        <v/>
      </c>
      <c r="T173" s="15" t="n">
        <v>0</v>
      </c>
      <c r="U173" s="15">
        <f>S173+T173</f>
        <v/>
      </c>
      <c r="V173" s="15">
        <f>INT((2^$J$12-1)*U173/100)/(2^$J$12-1)*100</f>
        <v/>
      </c>
      <c r="X173" s="15">
        <f>M173 * 1.05</f>
        <v/>
      </c>
      <c r="Y173" s="15">
        <f>M173 * 0.95</f>
        <v/>
      </c>
      <c r="Z173" s="15">
        <f>IF(AND(V173 &lt;= X173, V173 &gt;= Y173), 1, 0)</f>
        <v/>
      </c>
      <c r="AC173" s="15">
        <f>N173^2</f>
        <v/>
      </c>
      <c r="AD173" s="15">
        <f>ABS(N173)</f>
        <v/>
      </c>
      <c r="AE173" s="15">
        <f>IF(M173&gt;0, ABS(N173)*(L173-$D$16),0)</f>
        <v/>
      </c>
    </row>
    <row r="174">
      <c r="L174" s="15" t="n">
        <v>172</v>
      </c>
      <c r="M174" s="15">
        <f>IF(L174&lt;$D$16,$D$12,IF(L174&lt;$E$16,$E$12,$F$13))</f>
        <v/>
      </c>
      <c r="N174" s="15">
        <f>M174-V174</f>
        <v/>
      </c>
      <c r="O174" s="15">
        <f>IF(MOD(L174,$B$11)=0,OFFSET(O174,-$B$11,0)+ $E$2*N174+$E$3*OFFSET(N174,-$B$11,0)+ $E$4*OFFSET(N174,-2* $B$11,0), O173)</f>
        <v/>
      </c>
      <c r="P174" s="15">
        <f>INT((2^$J$12-1)*O174/100)/(2^$J$12-1)*100</f>
        <v/>
      </c>
      <c r="Q174" s="15" t="n">
        <v>0</v>
      </c>
      <c r="R174" s="15">
        <f>P174+Q174</f>
        <v/>
      </c>
      <c r="S174" s="15">
        <f>$I$1*S173-$I$2*S172+$I$3*R153+$I$4*R152</f>
        <v/>
      </c>
      <c r="T174" s="15" t="n">
        <v>0</v>
      </c>
      <c r="U174" s="15">
        <f>S174+T174</f>
        <v/>
      </c>
      <c r="V174" s="15">
        <f>INT((2^$J$12-1)*U174/100)/(2^$J$12-1)*100</f>
        <v/>
      </c>
      <c r="X174" s="15">
        <f>M174 * 1.05</f>
        <v/>
      </c>
      <c r="Y174" s="15">
        <f>M174 * 0.95</f>
        <v/>
      </c>
      <c r="Z174" s="15">
        <f>IF(AND(V174 &lt;= X174, V174 &gt;= Y174), 1, 0)</f>
        <v/>
      </c>
      <c r="AC174" s="15">
        <f>N174^2</f>
        <v/>
      </c>
      <c r="AD174" s="15">
        <f>ABS(N174)</f>
        <v/>
      </c>
      <c r="AE174" s="15">
        <f>IF(M174&gt;0, ABS(N174)*(L174-$D$16),0)</f>
        <v/>
      </c>
    </row>
    <row r="175">
      <c r="L175" s="15" t="n">
        <v>173</v>
      </c>
      <c r="M175" s="15">
        <f>IF(L175&lt;$D$16,$D$12,IF(L175&lt;$E$16,$E$12,$F$13))</f>
        <v/>
      </c>
      <c r="N175" s="15">
        <f>M175-V175</f>
        <v/>
      </c>
      <c r="O175" s="15">
        <f>IF(MOD(L175,$B$11)=0,OFFSET(O175,-$B$11,0)+ $E$2*N175+$E$3*OFFSET(N175,-$B$11,0)+ $E$4*OFFSET(N175,-2* $B$11,0), O174)</f>
        <v/>
      </c>
      <c r="P175" s="15">
        <f>INT((2^$J$12-1)*O175/100)/(2^$J$12-1)*100</f>
        <v/>
      </c>
      <c r="Q175" s="15" t="n">
        <v>0</v>
      </c>
      <c r="R175" s="15">
        <f>P175+Q175</f>
        <v/>
      </c>
      <c r="S175" s="15">
        <f>$I$1*S174-$I$2*S173+$I$3*R154+$I$4*R153</f>
        <v/>
      </c>
      <c r="T175" s="15" t="n">
        <v>0</v>
      </c>
      <c r="U175" s="15">
        <f>S175+T175</f>
        <v/>
      </c>
      <c r="V175" s="15">
        <f>INT((2^$J$12-1)*U175/100)/(2^$J$12-1)*100</f>
        <v/>
      </c>
      <c r="X175" s="15">
        <f>M175 * 1.05</f>
        <v/>
      </c>
      <c r="Y175" s="15">
        <f>M175 * 0.95</f>
        <v/>
      </c>
      <c r="Z175" s="15">
        <f>IF(AND(V175 &lt;= X175, V175 &gt;= Y175), 1, 0)</f>
        <v/>
      </c>
      <c r="AC175" s="15">
        <f>N175^2</f>
        <v/>
      </c>
      <c r="AD175" s="15">
        <f>ABS(N175)</f>
        <v/>
      </c>
      <c r="AE175" s="15">
        <f>IF(M175&gt;0, ABS(N175)*(L175-$D$16),0)</f>
        <v/>
      </c>
    </row>
    <row r="176">
      <c r="L176" s="15" t="n">
        <v>174</v>
      </c>
      <c r="M176" s="15">
        <f>IF(L176&lt;$D$16,$D$12,IF(L176&lt;$E$16,$E$12,$F$13))</f>
        <v/>
      </c>
      <c r="N176" s="15">
        <f>M176-V176</f>
        <v/>
      </c>
      <c r="O176" s="15">
        <f>IF(MOD(L176,$B$11)=0,OFFSET(O176,-$B$11,0)+ $E$2*N176+$E$3*OFFSET(N176,-$B$11,0)+ $E$4*OFFSET(N176,-2* $B$11,0), O175)</f>
        <v/>
      </c>
      <c r="P176" s="15">
        <f>INT((2^$J$12-1)*O176/100)/(2^$J$12-1)*100</f>
        <v/>
      </c>
      <c r="Q176" s="15" t="n">
        <v>0</v>
      </c>
      <c r="R176" s="15">
        <f>P176+Q176</f>
        <v/>
      </c>
      <c r="S176" s="15">
        <f>$I$1*S175-$I$2*S174+$I$3*R155+$I$4*R154</f>
        <v/>
      </c>
      <c r="T176" s="15" t="n">
        <v>0</v>
      </c>
      <c r="U176" s="15">
        <f>S176+T176</f>
        <v/>
      </c>
      <c r="V176" s="15">
        <f>INT((2^$J$12-1)*U176/100)/(2^$J$12-1)*100</f>
        <v/>
      </c>
      <c r="X176" s="15">
        <f>M176 * 1.05</f>
        <v/>
      </c>
      <c r="Y176" s="15">
        <f>M176 * 0.95</f>
        <v/>
      </c>
      <c r="Z176" s="15">
        <f>IF(AND(V176 &lt;= X176, V176 &gt;= Y176), 1, 0)</f>
        <v/>
      </c>
      <c r="AC176" s="15">
        <f>N176^2</f>
        <v/>
      </c>
      <c r="AD176" s="15">
        <f>ABS(N176)</f>
        <v/>
      </c>
      <c r="AE176" s="15">
        <f>IF(M176&gt;0, ABS(N176)*(L176-$D$16),0)</f>
        <v/>
      </c>
    </row>
    <row r="177">
      <c r="L177" s="15" t="n">
        <v>175</v>
      </c>
      <c r="M177" s="15">
        <f>IF(L177&lt;$D$16,$D$12,IF(L177&lt;$E$16,$E$12,$F$13))</f>
        <v/>
      </c>
      <c r="N177" s="15">
        <f>M177-V177</f>
        <v/>
      </c>
      <c r="O177" s="15">
        <f>IF(MOD(L177,$B$11)=0,OFFSET(O177,-$B$11,0)+ $E$2*N177+$E$3*OFFSET(N177,-$B$11,0)+ $E$4*OFFSET(N177,-2* $B$11,0), O176)</f>
        <v/>
      </c>
      <c r="P177" s="15">
        <f>INT((2^$J$12-1)*O177/100)/(2^$J$12-1)*100</f>
        <v/>
      </c>
      <c r="Q177" s="15" t="n">
        <v>0</v>
      </c>
      <c r="R177" s="15">
        <f>P177+Q177</f>
        <v/>
      </c>
      <c r="S177" s="15">
        <f>$I$1*S176-$I$2*S175+$I$3*R156+$I$4*R155</f>
        <v/>
      </c>
      <c r="T177" s="15" t="n">
        <v>0</v>
      </c>
      <c r="U177" s="15">
        <f>S177+T177</f>
        <v/>
      </c>
      <c r="V177" s="15">
        <f>INT((2^$J$12-1)*U177/100)/(2^$J$12-1)*100</f>
        <v/>
      </c>
      <c r="X177" s="15">
        <f>M177 * 1.05</f>
        <v/>
      </c>
      <c r="Y177" s="15">
        <f>M177 * 0.95</f>
        <v/>
      </c>
      <c r="Z177" s="15">
        <f>IF(AND(V177 &lt;= X177, V177 &gt;= Y177), 1, 0)</f>
        <v/>
      </c>
      <c r="AC177" s="15">
        <f>N177^2</f>
        <v/>
      </c>
      <c r="AD177" s="15">
        <f>ABS(N177)</f>
        <v/>
      </c>
      <c r="AE177" s="15">
        <f>IF(M177&gt;0, ABS(N177)*(L177-$D$16),0)</f>
        <v/>
      </c>
    </row>
    <row r="178">
      <c r="L178" s="15" t="n">
        <v>176</v>
      </c>
      <c r="M178" s="15">
        <f>IF(L178&lt;$D$16,$D$12,IF(L178&lt;$E$16,$E$12,$F$13))</f>
        <v/>
      </c>
      <c r="N178" s="15">
        <f>M178-V178</f>
        <v/>
      </c>
      <c r="O178" s="15">
        <f>IF(MOD(L178,$B$11)=0,OFFSET(O178,-$B$11,0)+ $E$2*N178+$E$3*OFFSET(N178,-$B$11,0)+ $E$4*OFFSET(N178,-2* $B$11,0), O177)</f>
        <v/>
      </c>
      <c r="P178" s="15">
        <f>INT((2^$J$12-1)*O178/100)/(2^$J$12-1)*100</f>
        <v/>
      </c>
      <c r="Q178" s="15" t="n">
        <v>0</v>
      </c>
      <c r="R178" s="15">
        <f>P178+Q178</f>
        <v/>
      </c>
      <c r="S178" s="15">
        <f>$I$1*S177-$I$2*S176+$I$3*R157+$I$4*R156</f>
        <v/>
      </c>
      <c r="T178" s="15" t="n">
        <v>0</v>
      </c>
      <c r="U178" s="15">
        <f>S178+T178</f>
        <v/>
      </c>
      <c r="V178" s="15">
        <f>INT((2^$J$12-1)*U178/100)/(2^$J$12-1)*100</f>
        <v/>
      </c>
      <c r="X178" s="15">
        <f>M178 * 1.05</f>
        <v/>
      </c>
      <c r="Y178" s="15">
        <f>M178 * 0.95</f>
        <v/>
      </c>
      <c r="Z178" s="15">
        <f>IF(AND(V178 &lt;= X178, V178 &gt;= Y178), 1, 0)</f>
        <v/>
      </c>
      <c r="AC178" s="15">
        <f>N178^2</f>
        <v/>
      </c>
      <c r="AD178" s="15">
        <f>ABS(N178)</f>
        <v/>
      </c>
      <c r="AE178" s="15">
        <f>IF(M178&gt;0, ABS(N178)*(L178-$D$16),0)</f>
        <v/>
      </c>
    </row>
    <row r="179">
      <c r="L179" s="15" t="n">
        <v>177</v>
      </c>
      <c r="M179" s="15">
        <f>IF(L179&lt;$D$16,$D$12,IF(L179&lt;$E$16,$E$12,$F$13))</f>
        <v/>
      </c>
      <c r="N179" s="15">
        <f>M179-V179</f>
        <v/>
      </c>
      <c r="O179" s="15">
        <f>IF(MOD(L179,$B$11)=0,OFFSET(O179,-$B$11,0)+ $E$2*N179+$E$3*OFFSET(N179,-$B$11,0)+ $E$4*OFFSET(N179,-2* $B$11,0), O178)</f>
        <v/>
      </c>
      <c r="P179" s="15">
        <f>INT((2^$J$12-1)*O179/100)/(2^$J$12-1)*100</f>
        <v/>
      </c>
      <c r="Q179" s="15" t="n">
        <v>0</v>
      </c>
      <c r="R179" s="15">
        <f>P179+Q179</f>
        <v/>
      </c>
      <c r="S179" s="15">
        <f>$I$1*S178-$I$2*S177+$I$3*R158+$I$4*R157</f>
        <v/>
      </c>
      <c r="T179" s="15" t="n">
        <v>0</v>
      </c>
      <c r="U179" s="15">
        <f>S179+T179</f>
        <v/>
      </c>
      <c r="V179" s="15">
        <f>INT((2^$J$12-1)*U179/100)/(2^$J$12-1)*100</f>
        <v/>
      </c>
      <c r="X179" s="15">
        <f>M179 * 1.05</f>
        <v/>
      </c>
      <c r="Y179" s="15">
        <f>M179 * 0.95</f>
        <v/>
      </c>
      <c r="Z179" s="15">
        <f>IF(AND(V179 &lt;= X179, V179 &gt;= Y179), 1, 0)</f>
        <v/>
      </c>
      <c r="AC179" s="15">
        <f>N179^2</f>
        <v/>
      </c>
      <c r="AD179" s="15">
        <f>ABS(N179)</f>
        <v/>
      </c>
      <c r="AE179" s="15">
        <f>IF(M179&gt;0, ABS(N179)*(L179-$D$16),0)</f>
        <v/>
      </c>
    </row>
    <row r="180">
      <c r="L180" s="15" t="n">
        <v>178</v>
      </c>
      <c r="M180" s="15">
        <f>IF(L180&lt;$D$16,$D$12,IF(L180&lt;$E$16,$E$12,$F$13))</f>
        <v/>
      </c>
      <c r="N180" s="15">
        <f>M180-V180</f>
        <v/>
      </c>
      <c r="O180" s="15">
        <f>IF(MOD(L180,$B$11)=0,OFFSET(O180,-$B$11,0)+ $E$2*N180+$E$3*OFFSET(N180,-$B$11,0)+ $E$4*OFFSET(N180,-2* $B$11,0), O179)</f>
        <v/>
      </c>
      <c r="P180" s="15">
        <f>INT((2^$J$12-1)*O180/100)/(2^$J$12-1)*100</f>
        <v/>
      </c>
      <c r="Q180" s="15" t="n">
        <v>0</v>
      </c>
      <c r="R180" s="15">
        <f>P180+Q180</f>
        <v/>
      </c>
      <c r="S180" s="15">
        <f>$I$1*S179-$I$2*S178+$I$3*R159+$I$4*R158</f>
        <v/>
      </c>
      <c r="T180" s="15" t="n">
        <v>0</v>
      </c>
      <c r="U180" s="15">
        <f>S180+T180</f>
        <v/>
      </c>
      <c r="V180" s="15">
        <f>INT((2^$J$12-1)*U180/100)/(2^$J$12-1)*100</f>
        <v/>
      </c>
      <c r="X180" s="15">
        <f>M180 * 1.05</f>
        <v/>
      </c>
      <c r="Y180" s="15">
        <f>M180 * 0.95</f>
        <v/>
      </c>
      <c r="Z180" s="15">
        <f>IF(AND(V180 &lt;= X180, V180 &gt;= Y180), 1, 0)</f>
        <v/>
      </c>
      <c r="AC180" s="15">
        <f>N180^2</f>
        <v/>
      </c>
      <c r="AD180" s="15">
        <f>ABS(N180)</f>
        <v/>
      </c>
      <c r="AE180" s="15">
        <f>IF(M180&gt;0, ABS(N180)*(L180-$D$16),0)</f>
        <v/>
      </c>
    </row>
    <row r="181">
      <c r="L181" s="15" t="n">
        <v>179</v>
      </c>
      <c r="M181" s="15">
        <f>IF(L181&lt;$D$16,$D$12,IF(L181&lt;$E$16,$E$12,$F$13))</f>
        <v/>
      </c>
      <c r="N181" s="15">
        <f>M181-V181</f>
        <v/>
      </c>
      <c r="O181" s="15">
        <f>IF(MOD(L181,$B$11)=0,OFFSET(O181,-$B$11,0)+ $E$2*N181+$E$3*OFFSET(N181,-$B$11,0)+ $E$4*OFFSET(N181,-2* $B$11,0), O180)</f>
        <v/>
      </c>
      <c r="P181" s="15">
        <f>INT((2^$J$12-1)*O181/100)/(2^$J$12-1)*100</f>
        <v/>
      </c>
      <c r="Q181" s="15" t="n">
        <v>0</v>
      </c>
      <c r="R181" s="15">
        <f>P181+Q181</f>
        <v/>
      </c>
      <c r="S181" s="15">
        <f>$I$1*S180-$I$2*S179+$I$3*R160+$I$4*R159</f>
        <v/>
      </c>
      <c r="T181" s="15" t="n">
        <v>0</v>
      </c>
      <c r="U181" s="15">
        <f>S181+T181</f>
        <v/>
      </c>
      <c r="V181" s="15">
        <f>INT((2^$J$12-1)*U181/100)/(2^$J$12-1)*100</f>
        <v/>
      </c>
      <c r="X181" s="15">
        <f>M181 * 1.05</f>
        <v/>
      </c>
      <c r="Y181" s="15">
        <f>M181 * 0.95</f>
        <v/>
      </c>
      <c r="Z181" s="15">
        <f>IF(AND(V181 &lt;= X181, V181 &gt;= Y181), 1, 0)</f>
        <v/>
      </c>
      <c r="AC181" s="15">
        <f>N181^2</f>
        <v/>
      </c>
      <c r="AD181" s="15">
        <f>ABS(N181)</f>
        <v/>
      </c>
      <c r="AE181" s="15">
        <f>IF(M181&gt;0, ABS(N181)*(L181-$D$16),0)</f>
        <v/>
      </c>
    </row>
    <row r="182">
      <c r="L182" s="15" t="n">
        <v>180</v>
      </c>
      <c r="M182" s="15">
        <f>IF(L182&lt;$D$16,$D$12,IF(L182&lt;$E$16,$E$12,$F$13))</f>
        <v/>
      </c>
      <c r="N182" s="15">
        <f>M182-V182</f>
        <v/>
      </c>
      <c r="O182" s="15">
        <f>IF(MOD(L182,$B$11)=0,OFFSET(O182,-$B$11,0)+ $E$2*N182+$E$3*OFFSET(N182,-$B$11,0)+ $E$4*OFFSET(N182,-2* $B$11,0), O181)</f>
        <v/>
      </c>
      <c r="P182" s="15">
        <f>INT((2^$J$12-1)*O182/100)/(2^$J$12-1)*100</f>
        <v/>
      </c>
      <c r="Q182" s="15" t="n">
        <v>0</v>
      </c>
      <c r="R182" s="15">
        <f>P182+Q182</f>
        <v/>
      </c>
      <c r="S182" s="15">
        <f>$I$1*S181-$I$2*S180+$I$3*R161+$I$4*R160</f>
        <v/>
      </c>
      <c r="T182" s="15" t="n">
        <v>0</v>
      </c>
      <c r="U182" s="15">
        <f>S182+T182</f>
        <v/>
      </c>
      <c r="V182" s="15">
        <f>INT((2^$J$12-1)*U182/100)/(2^$J$12-1)*100</f>
        <v/>
      </c>
      <c r="X182" s="15">
        <f>M182 * 1.05</f>
        <v/>
      </c>
      <c r="Y182" s="15">
        <f>M182 * 0.95</f>
        <v/>
      </c>
      <c r="Z182" s="15">
        <f>IF(AND(V182 &lt;= X182, V182 &gt;= Y182), 1, 0)</f>
        <v/>
      </c>
      <c r="AC182" s="15">
        <f>N182^2</f>
        <v/>
      </c>
      <c r="AD182" s="15">
        <f>ABS(N182)</f>
        <v/>
      </c>
      <c r="AE182" s="15">
        <f>IF(M182&gt;0, ABS(N182)*(L182-$D$16),0)</f>
        <v/>
      </c>
    </row>
    <row r="183">
      <c r="L183" s="15" t="n">
        <v>181</v>
      </c>
      <c r="M183" s="15">
        <f>IF(L183&lt;$D$16,$D$12,IF(L183&lt;$E$16,$E$12,$F$13))</f>
        <v/>
      </c>
      <c r="N183" s="15">
        <f>M183-V183</f>
        <v/>
      </c>
      <c r="O183" s="15">
        <f>IF(MOD(L183,$B$11)=0,OFFSET(O183,-$B$11,0)+ $E$2*N183+$E$3*OFFSET(N183,-$B$11,0)+ $E$4*OFFSET(N183,-2* $B$11,0), O182)</f>
        <v/>
      </c>
      <c r="P183" s="15">
        <f>INT((2^$J$12-1)*O183/100)/(2^$J$12-1)*100</f>
        <v/>
      </c>
      <c r="Q183" s="15" t="n">
        <v>0</v>
      </c>
      <c r="R183" s="15">
        <f>P183+Q183</f>
        <v/>
      </c>
      <c r="S183" s="15">
        <f>$I$1*S182-$I$2*S181+$I$3*R162+$I$4*R161</f>
        <v/>
      </c>
      <c r="T183" s="15" t="n">
        <v>0</v>
      </c>
      <c r="U183" s="15">
        <f>S183+T183</f>
        <v/>
      </c>
      <c r="V183" s="15">
        <f>INT((2^$J$12-1)*U183/100)/(2^$J$12-1)*100</f>
        <v/>
      </c>
      <c r="X183" s="15">
        <f>M183 * 1.05</f>
        <v/>
      </c>
      <c r="Y183" s="15">
        <f>M183 * 0.95</f>
        <v/>
      </c>
      <c r="Z183" s="15">
        <f>IF(AND(V183 &lt;= X183, V183 &gt;= Y183), 1, 0)</f>
        <v/>
      </c>
      <c r="AC183" s="15">
        <f>N183^2</f>
        <v/>
      </c>
      <c r="AD183" s="15">
        <f>ABS(N183)</f>
        <v/>
      </c>
      <c r="AE183" s="15">
        <f>IF(M183&gt;0, ABS(N183)*(L183-$D$16),0)</f>
        <v/>
      </c>
    </row>
    <row r="184">
      <c r="L184" s="15" t="n">
        <v>182</v>
      </c>
      <c r="M184" s="15">
        <f>IF(L184&lt;$D$16,$D$12,IF(L184&lt;$E$16,$E$12,$F$13))</f>
        <v/>
      </c>
      <c r="N184" s="15">
        <f>M184-V184</f>
        <v/>
      </c>
      <c r="O184" s="15">
        <f>IF(MOD(L184,$B$11)=0,OFFSET(O184,-$B$11,0)+ $E$2*N184+$E$3*OFFSET(N184,-$B$11,0)+ $E$4*OFFSET(N184,-2* $B$11,0), O183)</f>
        <v/>
      </c>
      <c r="P184" s="15">
        <f>INT((2^$J$12-1)*O184/100)/(2^$J$12-1)*100</f>
        <v/>
      </c>
      <c r="Q184" s="15" t="n">
        <v>0</v>
      </c>
      <c r="R184" s="15">
        <f>P184+Q184</f>
        <v/>
      </c>
      <c r="S184" s="15">
        <f>$I$1*S183-$I$2*S182+$I$3*R163+$I$4*R162</f>
        <v/>
      </c>
      <c r="T184" s="15" t="n">
        <v>0</v>
      </c>
      <c r="U184" s="15">
        <f>S184+T184</f>
        <v/>
      </c>
      <c r="V184" s="15">
        <f>INT((2^$J$12-1)*U184/100)/(2^$J$12-1)*100</f>
        <v/>
      </c>
      <c r="X184" s="15">
        <f>M184 * 1.05</f>
        <v/>
      </c>
      <c r="Y184" s="15">
        <f>M184 * 0.95</f>
        <v/>
      </c>
      <c r="Z184" s="15">
        <f>IF(AND(V184 &lt;= X184, V184 &gt;= Y184), 1, 0)</f>
        <v/>
      </c>
      <c r="AC184" s="15">
        <f>N184^2</f>
        <v/>
      </c>
      <c r="AD184" s="15">
        <f>ABS(N184)</f>
        <v/>
      </c>
      <c r="AE184" s="15">
        <f>IF(M184&gt;0, ABS(N184)*(L184-$D$16),0)</f>
        <v/>
      </c>
    </row>
    <row r="185">
      <c r="L185" s="15" t="n">
        <v>183</v>
      </c>
      <c r="M185" s="15">
        <f>IF(L185&lt;$D$16,$D$12,IF(L185&lt;$E$16,$E$12,$F$13))</f>
        <v/>
      </c>
      <c r="N185" s="15">
        <f>M185-V185</f>
        <v/>
      </c>
      <c r="O185" s="15">
        <f>IF(MOD(L185,$B$11)=0,OFFSET(O185,-$B$11,0)+ $E$2*N185+$E$3*OFFSET(N185,-$B$11,0)+ $E$4*OFFSET(N185,-2* $B$11,0), O184)</f>
        <v/>
      </c>
      <c r="P185" s="15">
        <f>INT((2^$J$12-1)*O185/100)/(2^$J$12-1)*100</f>
        <v/>
      </c>
      <c r="Q185" s="15" t="n">
        <v>0</v>
      </c>
      <c r="R185" s="15">
        <f>P185+Q185</f>
        <v/>
      </c>
      <c r="S185" s="15">
        <f>$I$1*S184-$I$2*S183+$I$3*R164+$I$4*R163</f>
        <v/>
      </c>
      <c r="T185" s="15" t="n">
        <v>0</v>
      </c>
      <c r="U185" s="15">
        <f>S185+T185</f>
        <v/>
      </c>
      <c r="V185" s="15">
        <f>INT((2^$J$12-1)*U185/100)/(2^$J$12-1)*100</f>
        <v/>
      </c>
      <c r="X185" s="15">
        <f>M185 * 1.05</f>
        <v/>
      </c>
      <c r="Y185" s="15">
        <f>M185 * 0.95</f>
        <v/>
      </c>
      <c r="Z185" s="15">
        <f>IF(AND(V185 &lt;= X185, V185 &gt;= Y185), 1, 0)</f>
        <v/>
      </c>
      <c r="AC185" s="15">
        <f>N185^2</f>
        <v/>
      </c>
      <c r="AD185" s="15">
        <f>ABS(N185)</f>
        <v/>
      </c>
      <c r="AE185" s="15">
        <f>IF(M185&gt;0, ABS(N185)*(L185-$D$16),0)</f>
        <v/>
      </c>
    </row>
    <row r="186">
      <c r="L186" s="15" t="n">
        <v>184</v>
      </c>
      <c r="M186" s="15">
        <f>IF(L186&lt;$D$16,$D$12,IF(L186&lt;$E$16,$E$12,$F$13))</f>
        <v/>
      </c>
      <c r="N186" s="15">
        <f>M186-V186</f>
        <v/>
      </c>
      <c r="O186" s="15">
        <f>IF(MOD(L186,$B$11)=0,OFFSET(O186,-$B$11,0)+ $E$2*N186+$E$3*OFFSET(N186,-$B$11,0)+ $E$4*OFFSET(N186,-2* $B$11,0), O185)</f>
        <v/>
      </c>
      <c r="P186" s="15">
        <f>INT((2^$J$12-1)*O186/100)/(2^$J$12-1)*100</f>
        <v/>
      </c>
      <c r="Q186" s="15" t="n">
        <v>0</v>
      </c>
      <c r="R186" s="15">
        <f>P186+Q186</f>
        <v/>
      </c>
      <c r="S186" s="15">
        <f>$I$1*S185-$I$2*S184+$I$3*R165+$I$4*R164</f>
        <v/>
      </c>
      <c r="T186" s="15" t="n">
        <v>0</v>
      </c>
      <c r="U186" s="15">
        <f>S186+T186</f>
        <v/>
      </c>
      <c r="V186" s="15">
        <f>INT((2^$J$12-1)*U186/100)/(2^$J$12-1)*100</f>
        <v/>
      </c>
      <c r="X186" s="15">
        <f>M186 * 1.05</f>
        <v/>
      </c>
      <c r="Y186" s="15">
        <f>M186 * 0.95</f>
        <v/>
      </c>
      <c r="Z186" s="15">
        <f>IF(AND(V186 &lt;= X186, V186 &gt;= Y186), 1, 0)</f>
        <v/>
      </c>
      <c r="AC186" s="15">
        <f>N186^2</f>
        <v/>
      </c>
      <c r="AD186" s="15">
        <f>ABS(N186)</f>
        <v/>
      </c>
      <c r="AE186" s="15">
        <f>IF(M186&gt;0, ABS(N186)*(L186-$D$16),0)</f>
        <v/>
      </c>
    </row>
    <row r="187">
      <c r="L187" s="15" t="n">
        <v>185</v>
      </c>
      <c r="M187" s="15">
        <f>IF(L187&lt;$D$16,$D$12,IF(L187&lt;$E$16,$E$12,$F$13))</f>
        <v/>
      </c>
      <c r="N187" s="15">
        <f>M187-V187</f>
        <v/>
      </c>
      <c r="O187" s="15">
        <f>IF(MOD(L187,$B$11)=0,OFFSET(O187,-$B$11,0)+ $E$2*N187+$E$3*OFFSET(N187,-$B$11,0)+ $E$4*OFFSET(N187,-2* $B$11,0), O186)</f>
        <v/>
      </c>
      <c r="P187" s="15">
        <f>INT((2^$J$12-1)*O187/100)/(2^$J$12-1)*100</f>
        <v/>
      </c>
      <c r="Q187" s="15" t="n">
        <v>0</v>
      </c>
      <c r="R187" s="15">
        <f>P187+Q187</f>
        <v/>
      </c>
      <c r="S187" s="15">
        <f>$I$1*S186-$I$2*S185+$I$3*R166+$I$4*R165</f>
        <v/>
      </c>
      <c r="T187" s="15" t="n">
        <v>0</v>
      </c>
      <c r="U187" s="15">
        <f>S187+T187</f>
        <v/>
      </c>
      <c r="V187" s="15">
        <f>INT((2^$J$12-1)*U187/100)/(2^$J$12-1)*100</f>
        <v/>
      </c>
      <c r="X187" s="15">
        <f>M187 * 1.05</f>
        <v/>
      </c>
      <c r="Y187" s="15">
        <f>M187 * 0.95</f>
        <v/>
      </c>
      <c r="Z187" s="15">
        <f>IF(AND(V187 &lt;= X187, V187 &gt;= Y187), 1, 0)</f>
        <v/>
      </c>
      <c r="AC187" s="15">
        <f>N187^2</f>
        <v/>
      </c>
      <c r="AD187" s="15">
        <f>ABS(N187)</f>
        <v/>
      </c>
      <c r="AE187" s="15">
        <f>IF(M187&gt;0, ABS(N187)*(L187-$D$16),0)</f>
        <v/>
      </c>
    </row>
    <row r="188">
      <c r="L188" s="15" t="n">
        <v>186</v>
      </c>
      <c r="M188" s="15">
        <f>IF(L188&lt;$D$16,$D$12,IF(L188&lt;$E$16,$E$12,$F$13))</f>
        <v/>
      </c>
      <c r="N188" s="15">
        <f>M188-V188</f>
        <v/>
      </c>
      <c r="O188" s="15">
        <f>IF(MOD(L188,$B$11)=0,OFFSET(O188,-$B$11,0)+ $E$2*N188+$E$3*OFFSET(N188,-$B$11,0)+ $E$4*OFFSET(N188,-2* $B$11,0), O187)</f>
        <v/>
      </c>
      <c r="P188" s="15">
        <f>INT((2^$J$12-1)*O188/100)/(2^$J$12-1)*100</f>
        <v/>
      </c>
      <c r="Q188" s="15" t="n">
        <v>0</v>
      </c>
      <c r="R188" s="15">
        <f>P188+Q188</f>
        <v/>
      </c>
      <c r="S188" s="15">
        <f>$I$1*S187-$I$2*S186+$I$3*R167+$I$4*R166</f>
        <v/>
      </c>
      <c r="T188" s="15" t="n">
        <v>0</v>
      </c>
      <c r="U188" s="15">
        <f>S188+T188</f>
        <v/>
      </c>
      <c r="V188" s="15">
        <f>INT((2^$J$12-1)*U188/100)/(2^$J$12-1)*100</f>
        <v/>
      </c>
      <c r="X188" s="15">
        <f>M188 * 1.05</f>
        <v/>
      </c>
      <c r="Y188" s="15">
        <f>M188 * 0.95</f>
        <v/>
      </c>
      <c r="Z188" s="15">
        <f>IF(AND(V188 &lt;= X188, V188 &gt;= Y188), 1, 0)</f>
        <v/>
      </c>
      <c r="AC188" s="15">
        <f>N188^2</f>
        <v/>
      </c>
      <c r="AD188" s="15">
        <f>ABS(N188)</f>
        <v/>
      </c>
      <c r="AE188" s="15">
        <f>IF(M188&gt;0, ABS(N188)*(L188-$D$16),0)</f>
        <v/>
      </c>
    </row>
    <row r="189">
      <c r="L189" s="15" t="n">
        <v>187</v>
      </c>
      <c r="M189" s="15">
        <f>IF(L189&lt;$D$16,$D$12,IF(L189&lt;$E$16,$E$12,$F$13))</f>
        <v/>
      </c>
      <c r="N189" s="15">
        <f>M189-V189</f>
        <v/>
      </c>
      <c r="O189" s="15">
        <f>IF(MOD(L189,$B$11)=0,OFFSET(O189,-$B$11,0)+ $E$2*N189+$E$3*OFFSET(N189,-$B$11,0)+ $E$4*OFFSET(N189,-2* $B$11,0), O188)</f>
        <v/>
      </c>
      <c r="P189" s="15">
        <f>INT((2^$J$12-1)*O189/100)/(2^$J$12-1)*100</f>
        <v/>
      </c>
      <c r="Q189" s="15" t="n">
        <v>0</v>
      </c>
      <c r="R189" s="15">
        <f>P189+Q189</f>
        <v/>
      </c>
      <c r="S189" s="15">
        <f>$I$1*S188-$I$2*S187+$I$3*R168+$I$4*R167</f>
        <v/>
      </c>
      <c r="T189" s="15" t="n">
        <v>0</v>
      </c>
      <c r="U189" s="15">
        <f>S189+T189</f>
        <v/>
      </c>
      <c r="V189" s="15">
        <f>INT((2^$J$12-1)*U189/100)/(2^$J$12-1)*100</f>
        <v/>
      </c>
      <c r="X189" s="15">
        <f>M189 * 1.05</f>
        <v/>
      </c>
      <c r="Y189" s="15">
        <f>M189 * 0.95</f>
        <v/>
      </c>
      <c r="Z189" s="15">
        <f>IF(AND(V189 &lt;= X189, V189 &gt;= Y189), 1, 0)</f>
        <v/>
      </c>
      <c r="AC189" s="15">
        <f>N189^2</f>
        <v/>
      </c>
      <c r="AD189" s="15">
        <f>ABS(N189)</f>
        <v/>
      </c>
      <c r="AE189" s="15">
        <f>IF(M189&gt;0, ABS(N189)*(L189-$D$16),0)</f>
        <v/>
      </c>
    </row>
    <row r="190">
      <c r="L190" s="15" t="n">
        <v>188</v>
      </c>
      <c r="M190" s="15">
        <f>IF(L190&lt;$D$16,$D$12,IF(L190&lt;$E$16,$E$12,$F$13))</f>
        <v/>
      </c>
      <c r="N190" s="15">
        <f>M190-V190</f>
        <v/>
      </c>
      <c r="O190" s="15">
        <f>IF(MOD(L190,$B$11)=0,OFFSET(O190,-$B$11,0)+ $E$2*N190+$E$3*OFFSET(N190,-$B$11,0)+ $E$4*OFFSET(N190,-2* $B$11,0), O189)</f>
        <v/>
      </c>
      <c r="P190" s="15">
        <f>INT((2^$J$12-1)*O190/100)/(2^$J$12-1)*100</f>
        <v/>
      </c>
      <c r="Q190" s="15" t="n">
        <v>0</v>
      </c>
      <c r="R190" s="15">
        <f>P190+Q190</f>
        <v/>
      </c>
      <c r="S190" s="15">
        <f>$I$1*S189-$I$2*S188+$I$3*R169+$I$4*R168</f>
        <v/>
      </c>
      <c r="T190" s="15" t="n">
        <v>0</v>
      </c>
      <c r="U190" s="15">
        <f>S190+T190</f>
        <v/>
      </c>
      <c r="V190" s="15">
        <f>INT((2^$J$12-1)*U190/100)/(2^$J$12-1)*100</f>
        <v/>
      </c>
      <c r="X190" s="15">
        <f>M190 * 1.05</f>
        <v/>
      </c>
      <c r="Y190" s="15">
        <f>M190 * 0.95</f>
        <v/>
      </c>
      <c r="Z190" s="15">
        <f>IF(AND(V190 &lt;= X190, V190 &gt;= Y190), 1, 0)</f>
        <v/>
      </c>
      <c r="AC190" s="15">
        <f>N190^2</f>
        <v/>
      </c>
      <c r="AD190" s="15">
        <f>ABS(N190)</f>
        <v/>
      </c>
      <c r="AE190" s="15">
        <f>IF(M190&gt;0, ABS(N190)*(L190-$D$16),0)</f>
        <v/>
      </c>
    </row>
    <row r="191">
      <c r="L191" s="15" t="n">
        <v>189</v>
      </c>
      <c r="M191" s="15">
        <f>IF(L191&lt;$D$16,$D$12,IF(L191&lt;$E$16,$E$12,$F$13))</f>
        <v/>
      </c>
      <c r="N191" s="15">
        <f>M191-V191</f>
        <v/>
      </c>
      <c r="O191" s="15">
        <f>IF(MOD(L191,$B$11)=0,OFFSET(O191,-$B$11,0)+ $E$2*N191+$E$3*OFFSET(N191,-$B$11,0)+ $E$4*OFFSET(N191,-2* $B$11,0), O190)</f>
        <v/>
      </c>
      <c r="P191" s="15">
        <f>INT((2^$J$12-1)*O191/100)/(2^$J$12-1)*100</f>
        <v/>
      </c>
      <c r="Q191" s="15" t="n">
        <v>0</v>
      </c>
      <c r="R191" s="15">
        <f>P191+Q191</f>
        <v/>
      </c>
      <c r="S191" s="15">
        <f>$I$1*S190-$I$2*S189+$I$3*R170+$I$4*R169</f>
        <v/>
      </c>
      <c r="T191" s="15" t="n">
        <v>0</v>
      </c>
      <c r="U191" s="15">
        <f>S191+T191</f>
        <v/>
      </c>
      <c r="V191" s="15">
        <f>INT((2^$J$12-1)*U191/100)/(2^$J$12-1)*100</f>
        <v/>
      </c>
      <c r="X191" s="15">
        <f>M191 * 1.05</f>
        <v/>
      </c>
      <c r="Y191" s="15">
        <f>M191 * 0.95</f>
        <v/>
      </c>
      <c r="Z191" s="15">
        <f>IF(AND(V191 &lt;= X191, V191 &gt;= Y191), 1, 0)</f>
        <v/>
      </c>
      <c r="AC191" s="15">
        <f>N191^2</f>
        <v/>
      </c>
      <c r="AD191" s="15">
        <f>ABS(N191)</f>
        <v/>
      </c>
      <c r="AE191" s="15">
        <f>IF(M191&gt;0, ABS(N191)*(L191-$D$16),0)</f>
        <v/>
      </c>
    </row>
    <row r="192">
      <c r="L192" s="15" t="n">
        <v>190</v>
      </c>
      <c r="M192" s="15">
        <f>IF(L192&lt;$D$16,$D$12,IF(L192&lt;$E$16,$E$12,$F$13))</f>
        <v/>
      </c>
      <c r="N192" s="15">
        <f>M192-V192</f>
        <v/>
      </c>
      <c r="O192" s="15">
        <f>IF(MOD(L192,$B$11)=0,OFFSET(O192,-$B$11,0)+ $E$2*N192+$E$3*OFFSET(N192,-$B$11,0)+ $E$4*OFFSET(N192,-2* $B$11,0), O191)</f>
        <v/>
      </c>
      <c r="P192" s="15">
        <f>INT((2^$J$12-1)*O192/100)/(2^$J$12-1)*100</f>
        <v/>
      </c>
      <c r="Q192" s="15" t="n">
        <v>0</v>
      </c>
      <c r="R192" s="15">
        <f>P192+Q192</f>
        <v/>
      </c>
      <c r="S192" s="15">
        <f>$I$1*S191-$I$2*S190+$I$3*R171+$I$4*R170</f>
        <v/>
      </c>
      <c r="T192" s="15" t="n">
        <v>0</v>
      </c>
      <c r="U192" s="15">
        <f>S192+T192</f>
        <v/>
      </c>
      <c r="V192" s="15">
        <f>INT((2^$J$12-1)*U192/100)/(2^$J$12-1)*100</f>
        <v/>
      </c>
      <c r="X192" s="15">
        <f>M192 * 1.05</f>
        <v/>
      </c>
      <c r="Y192" s="15">
        <f>M192 * 0.95</f>
        <v/>
      </c>
      <c r="Z192" s="15">
        <f>IF(AND(V192 &lt;= X192, V192 &gt;= Y192), 1, 0)</f>
        <v/>
      </c>
      <c r="AC192" s="15">
        <f>N192^2</f>
        <v/>
      </c>
      <c r="AD192" s="15">
        <f>ABS(N192)</f>
        <v/>
      </c>
      <c r="AE192" s="15">
        <f>IF(M192&gt;0, ABS(N192)*(L192-$D$16),0)</f>
        <v/>
      </c>
    </row>
    <row r="193">
      <c r="L193" s="15" t="n">
        <v>191</v>
      </c>
      <c r="M193" s="15">
        <f>IF(L193&lt;$D$16,$D$12,IF(L193&lt;$E$16,$E$12,$F$13))</f>
        <v/>
      </c>
      <c r="N193" s="15">
        <f>M193-V193</f>
        <v/>
      </c>
      <c r="O193" s="15">
        <f>IF(MOD(L193,$B$11)=0,OFFSET(O193,-$B$11,0)+ $E$2*N193+$E$3*OFFSET(N193,-$B$11,0)+ $E$4*OFFSET(N193,-2* $B$11,0), O192)</f>
        <v/>
      </c>
      <c r="P193" s="15">
        <f>INT((2^$J$12-1)*O193/100)/(2^$J$12-1)*100</f>
        <v/>
      </c>
      <c r="Q193" s="15" t="n">
        <v>0</v>
      </c>
      <c r="R193" s="15">
        <f>P193+Q193</f>
        <v/>
      </c>
      <c r="S193" s="15">
        <f>$I$1*S192-$I$2*S191+$I$3*R172+$I$4*R171</f>
        <v/>
      </c>
      <c r="T193" s="15" t="n">
        <v>0</v>
      </c>
      <c r="U193" s="15">
        <f>S193+T193</f>
        <v/>
      </c>
      <c r="V193" s="15">
        <f>INT((2^$J$12-1)*U193/100)/(2^$J$12-1)*100</f>
        <v/>
      </c>
      <c r="X193" s="15">
        <f>M193 * 1.05</f>
        <v/>
      </c>
      <c r="Y193" s="15">
        <f>M193 * 0.95</f>
        <v/>
      </c>
      <c r="Z193" s="15">
        <f>IF(AND(V193 &lt;= X193, V193 &gt;= Y193), 1, 0)</f>
        <v/>
      </c>
      <c r="AC193" s="15">
        <f>N193^2</f>
        <v/>
      </c>
      <c r="AD193" s="15">
        <f>ABS(N193)</f>
        <v/>
      </c>
      <c r="AE193" s="15">
        <f>IF(M193&gt;0, ABS(N193)*(L193-$D$16),0)</f>
        <v/>
      </c>
    </row>
    <row r="194">
      <c r="L194" s="15" t="n">
        <v>192</v>
      </c>
      <c r="M194" s="15">
        <f>IF(L194&lt;$D$16,$D$12,IF(L194&lt;$E$16,$E$12,$F$13))</f>
        <v/>
      </c>
      <c r="N194" s="15">
        <f>M194-V194</f>
        <v/>
      </c>
      <c r="O194" s="15">
        <f>IF(MOD(L194,$B$11)=0,OFFSET(O194,-$B$11,0)+ $E$2*N194+$E$3*OFFSET(N194,-$B$11,0)+ $E$4*OFFSET(N194,-2* $B$11,0), O193)</f>
        <v/>
      </c>
      <c r="P194" s="15">
        <f>INT((2^$J$12-1)*O194/100)/(2^$J$12-1)*100</f>
        <v/>
      </c>
      <c r="Q194" s="15" t="n">
        <v>0</v>
      </c>
      <c r="R194" s="15">
        <f>P194+Q194</f>
        <v/>
      </c>
      <c r="S194" s="15">
        <f>$I$1*S193-$I$2*S192+$I$3*R173+$I$4*R172</f>
        <v/>
      </c>
      <c r="T194" s="15" t="n">
        <v>0</v>
      </c>
      <c r="U194" s="15">
        <f>S194+T194</f>
        <v/>
      </c>
      <c r="V194" s="15">
        <f>INT((2^$J$12-1)*U194/100)/(2^$J$12-1)*100</f>
        <v/>
      </c>
      <c r="X194" s="15">
        <f>M194 * 1.05</f>
        <v/>
      </c>
      <c r="Y194" s="15">
        <f>M194 * 0.95</f>
        <v/>
      </c>
      <c r="Z194" s="15">
        <f>IF(AND(V194 &lt;= X194, V194 &gt;= Y194), 1, 0)</f>
        <v/>
      </c>
      <c r="AC194" s="15">
        <f>N194^2</f>
        <v/>
      </c>
      <c r="AD194" s="15">
        <f>ABS(N194)</f>
        <v/>
      </c>
      <c r="AE194" s="15">
        <f>IF(M194&gt;0, ABS(N194)*(L194-$D$16),0)</f>
        <v/>
      </c>
    </row>
    <row r="195">
      <c r="L195" s="15" t="n">
        <v>193</v>
      </c>
      <c r="M195" s="15">
        <f>IF(L195&lt;$D$16,$D$12,IF(L195&lt;$E$16,$E$12,$F$13))</f>
        <v/>
      </c>
      <c r="N195" s="15">
        <f>M195-V195</f>
        <v/>
      </c>
      <c r="O195" s="15">
        <f>IF(MOD(L195,$B$11)=0,OFFSET(O195,-$B$11,0)+ $E$2*N195+$E$3*OFFSET(N195,-$B$11,0)+ $E$4*OFFSET(N195,-2* $B$11,0), O194)</f>
        <v/>
      </c>
      <c r="P195" s="15">
        <f>INT((2^$J$12-1)*O195/100)/(2^$J$12-1)*100</f>
        <v/>
      </c>
      <c r="Q195" s="15" t="n">
        <v>0</v>
      </c>
      <c r="R195" s="15">
        <f>P195+Q195</f>
        <v/>
      </c>
      <c r="S195" s="15">
        <f>$I$1*S194-$I$2*S193+$I$3*R174+$I$4*R173</f>
        <v/>
      </c>
      <c r="T195" s="15" t="n">
        <v>0</v>
      </c>
      <c r="U195" s="15">
        <f>S195+T195</f>
        <v/>
      </c>
      <c r="V195" s="15">
        <f>INT((2^$J$12-1)*U195/100)/(2^$J$12-1)*100</f>
        <v/>
      </c>
      <c r="X195" s="15">
        <f>M195 * 1.05</f>
        <v/>
      </c>
      <c r="Y195" s="15">
        <f>M195 * 0.95</f>
        <v/>
      </c>
      <c r="Z195" s="15">
        <f>IF(AND(V195 &lt;= X195, V195 &gt;= Y195), 1, 0)</f>
        <v/>
      </c>
      <c r="AC195" s="15">
        <f>N195^2</f>
        <v/>
      </c>
      <c r="AD195" s="15">
        <f>ABS(N195)</f>
        <v/>
      </c>
      <c r="AE195" s="15">
        <f>IF(M195&gt;0, ABS(N195)*(L195-$D$16),0)</f>
        <v/>
      </c>
    </row>
    <row r="196">
      <c r="L196" s="15" t="n">
        <v>194</v>
      </c>
      <c r="M196" s="15">
        <f>IF(L196&lt;$D$16,$D$12,IF(L196&lt;$E$16,$E$12,$F$13))</f>
        <v/>
      </c>
      <c r="N196" s="15">
        <f>M196-V196</f>
        <v/>
      </c>
      <c r="O196" s="15">
        <f>IF(MOD(L196,$B$11)=0,OFFSET(O196,-$B$11,0)+ $E$2*N196+$E$3*OFFSET(N196,-$B$11,0)+ $E$4*OFFSET(N196,-2* $B$11,0), O195)</f>
        <v/>
      </c>
      <c r="P196" s="15">
        <f>INT((2^$J$12-1)*O196/100)/(2^$J$12-1)*100</f>
        <v/>
      </c>
      <c r="Q196" s="15" t="n">
        <v>0</v>
      </c>
      <c r="R196" s="15">
        <f>P196+Q196</f>
        <v/>
      </c>
      <c r="S196" s="15">
        <f>$I$1*S195-$I$2*S194+$I$3*R175+$I$4*R174</f>
        <v/>
      </c>
      <c r="T196" s="15" t="n">
        <v>0</v>
      </c>
      <c r="U196" s="15">
        <f>S196+T196</f>
        <v/>
      </c>
      <c r="V196" s="15">
        <f>INT((2^$J$12-1)*U196/100)/(2^$J$12-1)*100</f>
        <v/>
      </c>
      <c r="X196" s="15">
        <f>M196 * 1.05</f>
        <v/>
      </c>
      <c r="Y196" s="15">
        <f>M196 * 0.95</f>
        <v/>
      </c>
      <c r="Z196" s="15">
        <f>IF(AND(V196 &lt;= X196, V196 &gt;= Y196), 1, 0)</f>
        <v/>
      </c>
      <c r="AC196" s="15">
        <f>N196^2</f>
        <v/>
      </c>
      <c r="AD196" s="15">
        <f>ABS(N196)</f>
        <v/>
      </c>
      <c r="AE196" s="15">
        <f>IF(M196&gt;0, ABS(N196)*(L196-$D$16),0)</f>
        <v/>
      </c>
    </row>
    <row r="197">
      <c r="L197" s="15" t="n">
        <v>195</v>
      </c>
      <c r="M197" s="15">
        <f>IF(L197&lt;$D$16,$D$12,IF(L197&lt;$E$16,$E$12,$F$13))</f>
        <v/>
      </c>
      <c r="N197" s="15">
        <f>M197-V197</f>
        <v/>
      </c>
      <c r="O197" s="15">
        <f>IF(MOD(L197,$B$11)=0,OFFSET(O197,-$B$11,0)+ $E$2*N197+$E$3*OFFSET(N197,-$B$11,0)+ $E$4*OFFSET(N197,-2* $B$11,0), O196)</f>
        <v/>
      </c>
      <c r="P197" s="15">
        <f>INT((2^$J$12-1)*O197/100)/(2^$J$12-1)*100</f>
        <v/>
      </c>
      <c r="Q197" s="15" t="n">
        <v>0</v>
      </c>
      <c r="R197" s="15">
        <f>P197+Q197</f>
        <v/>
      </c>
      <c r="S197" s="15">
        <f>$I$1*S196-$I$2*S195+$I$3*R176+$I$4*R175</f>
        <v/>
      </c>
      <c r="T197" s="15" t="n">
        <v>0</v>
      </c>
      <c r="U197" s="15">
        <f>S197+T197</f>
        <v/>
      </c>
      <c r="V197" s="15">
        <f>INT((2^$J$12-1)*U197/100)/(2^$J$12-1)*100</f>
        <v/>
      </c>
      <c r="X197" s="15">
        <f>M197 * 1.05</f>
        <v/>
      </c>
      <c r="Y197" s="15">
        <f>M197 * 0.95</f>
        <v/>
      </c>
      <c r="Z197" s="15">
        <f>IF(AND(V197 &lt;= X197, V197 &gt;= Y197), 1, 0)</f>
        <v/>
      </c>
      <c r="AC197" s="15">
        <f>N197^2</f>
        <v/>
      </c>
      <c r="AD197" s="15">
        <f>ABS(N197)</f>
        <v/>
      </c>
      <c r="AE197" s="15">
        <f>IF(M197&gt;0, ABS(N197)*(L197-$D$16),0)</f>
        <v/>
      </c>
    </row>
    <row r="198">
      <c r="L198" s="15" t="n">
        <v>196</v>
      </c>
      <c r="M198" s="15">
        <f>IF(L198&lt;$D$16,$D$12,IF(L198&lt;$E$16,$E$12,$F$13))</f>
        <v/>
      </c>
      <c r="N198" s="15">
        <f>M198-V198</f>
        <v/>
      </c>
      <c r="O198" s="15">
        <f>IF(MOD(L198,$B$11)=0,OFFSET(O198,-$B$11,0)+ $E$2*N198+$E$3*OFFSET(N198,-$B$11,0)+ $E$4*OFFSET(N198,-2* $B$11,0), O197)</f>
        <v/>
      </c>
      <c r="P198" s="15">
        <f>INT((2^$J$12-1)*O198/100)/(2^$J$12-1)*100</f>
        <v/>
      </c>
      <c r="Q198" s="15" t="n">
        <v>0</v>
      </c>
      <c r="R198" s="15">
        <f>P198+Q198</f>
        <v/>
      </c>
      <c r="S198" s="15">
        <f>$I$1*S197-$I$2*S196+$I$3*R177+$I$4*R176</f>
        <v/>
      </c>
      <c r="T198" s="15" t="n">
        <v>0</v>
      </c>
      <c r="U198" s="15">
        <f>S198+T198</f>
        <v/>
      </c>
      <c r="V198" s="15">
        <f>INT((2^$J$12-1)*U198/100)/(2^$J$12-1)*100</f>
        <v/>
      </c>
      <c r="X198" s="15">
        <f>M198 * 1.05</f>
        <v/>
      </c>
      <c r="Y198" s="15">
        <f>M198 * 0.95</f>
        <v/>
      </c>
      <c r="Z198" s="15">
        <f>IF(AND(V198 &lt;= X198, V198 &gt;= Y198), 1, 0)</f>
        <v/>
      </c>
      <c r="AC198" s="15">
        <f>N198^2</f>
        <v/>
      </c>
      <c r="AD198" s="15">
        <f>ABS(N198)</f>
        <v/>
      </c>
      <c r="AE198" s="15">
        <f>IF(M198&gt;0, ABS(N198)*(L198-$D$16),0)</f>
        <v/>
      </c>
    </row>
    <row r="199">
      <c r="L199" s="15" t="n">
        <v>197</v>
      </c>
      <c r="M199" s="15">
        <f>IF(L199&lt;$D$16,$D$12,IF(L199&lt;$E$16,$E$12,$F$13))</f>
        <v/>
      </c>
      <c r="N199" s="15">
        <f>M199-V199</f>
        <v/>
      </c>
      <c r="O199" s="15">
        <f>IF(MOD(L199,$B$11)=0,OFFSET(O199,-$B$11,0)+ $E$2*N199+$E$3*OFFSET(N199,-$B$11,0)+ $E$4*OFFSET(N199,-2* $B$11,0), O198)</f>
        <v/>
      </c>
      <c r="P199" s="15">
        <f>INT((2^$J$12-1)*O199/100)/(2^$J$12-1)*100</f>
        <v/>
      </c>
      <c r="Q199" s="15" t="n">
        <v>0</v>
      </c>
      <c r="R199" s="15">
        <f>P199+Q199</f>
        <v/>
      </c>
      <c r="S199" s="15">
        <f>$I$1*S198-$I$2*S197+$I$3*R178+$I$4*R177</f>
        <v/>
      </c>
      <c r="T199" s="15" t="n">
        <v>0</v>
      </c>
      <c r="U199" s="15">
        <f>S199+T199</f>
        <v/>
      </c>
      <c r="V199" s="15">
        <f>INT((2^$J$12-1)*U199/100)/(2^$J$12-1)*100</f>
        <v/>
      </c>
      <c r="X199" s="15">
        <f>M199 * 1.05</f>
        <v/>
      </c>
      <c r="Y199" s="15">
        <f>M199 * 0.95</f>
        <v/>
      </c>
      <c r="Z199" s="15">
        <f>IF(AND(V199 &lt;= X199, V199 &gt;= Y199), 1, 0)</f>
        <v/>
      </c>
      <c r="AC199" s="15">
        <f>N199^2</f>
        <v/>
      </c>
      <c r="AD199" s="15">
        <f>ABS(N199)</f>
        <v/>
      </c>
      <c r="AE199" s="15">
        <f>IF(M199&gt;0, ABS(N199)*(L199-$D$16),0)</f>
        <v/>
      </c>
    </row>
    <row r="200">
      <c r="L200" s="15" t="n">
        <v>198</v>
      </c>
      <c r="M200" s="15">
        <f>IF(L200&lt;$D$16,$D$12,IF(L200&lt;$E$16,$E$12,$F$13))</f>
        <v/>
      </c>
      <c r="N200" s="15">
        <f>M200-V200</f>
        <v/>
      </c>
      <c r="O200" s="15">
        <f>IF(MOD(L200,$B$11)=0,OFFSET(O200,-$B$11,0)+ $E$2*N200+$E$3*OFFSET(N200,-$B$11,0)+ $E$4*OFFSET(N200,-2* $B$11,0), O199)</f>
        <v/>
      </c>
      <c r="P200" s="15">
        <f>INT((2^$J$12-1)*O200/100)/(2^$J$12-1)*100</f>
        <v/>
      </c>
      <c r="Q200" s="15" t="n">
        <v>0</v>
      </c>
      <c r="R200" s="15">
        <f>P200+Q200</f>
        <v/>
      </c>
      <c r="S200" s="15">
        <f>$I$1*S199-$I$2*S198+$I$3*R179+$I$4*R178</f>
        <v/>
      </c>
      <c r="T200" s="15" t="n">
        <v>0</v>
      </c>
      <c r="U200" s="15">
        <f>S200+T200</f>
        <v/>
      </c>
      <c r="V200" s="15">
        <f>INT((2^$J$12-1)*U200/100)/(2^$J$12-1)*100</f>
        <v/>
      </c>
      <c r="X200" s="15">
        <f>M200 * 1.05</f>
        <v/>
      </c>
      <c r="Y200" s="15">
        <f>M200 * 0.95</f>
        <v/>
      </c>
      <c r="Z200" s="15">
        <f>IF(AND(V200 &lt;= X200, V200 &gt;= Y200), 1, 0)</f>
        <v/>
      </c>
      <c r="AC200" s="15">
        <f>N200^2</f>
        <v/>
      </c>
      <c r="AD200" s="15">
        <f>ABS(N200)</f>
        <v/>
      </c>
      <c r="AE200" s="15">
        <f>IF(M200&gt;0, ABS(N200)*(L200-$D$16),0)</f>
        <v/>
      </c>
    </row>
    <row r="201">
      <c r="L201" s="15" t="n">
        <v>199</v>
      </c>
      <c r="M201" s="15">
        <f>IF(L201&lt;$D$16,$D$12,IF(L201&lt;$E$16,$E$12,$F$13))</f>
        <v/>
      </c>
      <c r="N201" s="15">
        <f>M201-V201</f>
        <v/>
      </c>
      <c r="O201" s="15">
        <f>IF(MOD(L201,$B$11)=0,OFFSET(O201,-$B$11,0)+ $E$2*N201+$E$3*OFFSET(N201,-$B$11,0)+ $E$4*OFFSET(N201,-2* $B$11,0), O200)</f>
        <v/>
      </c>
      <c r="P201" s="15">
        <f>INT((2^$J$12-1)*O201/100)/(2^$J$12-1)*100</f>
        <v/>
      </c>
      <c r="Q201" s="15" t="n">
        <v>0</v>
      </c>
      <c r="R201" s="15">
        <f>P201+Q201</f>
        <v/>
      </c>
      <c r="S201" s="15">
        <f>$I$1*S200-$I$2*S199+$I$3*R180+$I$4*R179</f>
        <v/>
      </c>
      <c r="T201" s="15" t="n">
        <v>0</v>
      </c>
      <c r="U201" s="15">
        <f>S201+T201</f>
        <v/>
      </c>
      <c r="V201" s="15">
        <f>INT((2^$J$12-1)*U201/100)/(2^$J$12-1)*100</f>
        <v/>
      </c>
      <c r="X201" s="15">
        <f>M201 * 1.05</f>
        <v/>
      </c>
      <c r="Y201" s="15">
        <f>M201 * 0.95</f>
        <v/>
      </c>
      <c r="Z201" s="15">
        <f>IF(AND(V201 &lt;= X201, V201 &gt;= Y201), 1, 0)</f>
        <v/>
      </c>
      <c r="AC201" s="15">
        <f>N201^2</f>
        <v/>
      </c>
      <c r="AD201" s="15">
        <f>ABS(N201)</f>
        <v/>
      </c>
      <c r="AE201" s="15">
        <f>IF(M201&gt;0, ABS(N201)*(L201-$D$16),0)</f>
        <v/>
      </c>
    </row>
    <row r="202">
      <c r="L202" s="15" t="n">
        <v>200</v>
      </c>
      <c r="M202" s="15">
        <f>IF(L202&lt;$D$16,$D$12,IF(L202&lt;$E$16,$E$12,$F$13))</f>
        <v/>
      </c>
      <c r="N202" s="15">
        <f>M202-V202</f>
        <v/>
      </c>
      <c r="O202" s="15">
        <f>IF(MOD(L202,$B$11)=0,OFFSET(O202,-$B$11,0)+ $E$2*N202+$E$3*OFFSET(N202,-$B$11,0)+ $E$4*OFFSET(N202,-2* $B$11,0), O201)</f>
        <v/>
      </c>
      <c r="P202" s="15">
        <f>INT((2^$J$12-1)*O202/100)/(2^$J$12-1)*100</f>
        <v/>
      </c>
      <c r="Q202" s="15" t="n">
        <v>0</v>
      </c>
      <c r="R202" s="15">
        <f>P202+Q202</f>
        <v/>
      </c>
      <c r="S202" s="15">
        <f>$I$1*S201-$I$2*S200+$I$3*R181+$I$4*R180</f>
        <v/>
      </c>
      <c r="T202" s="15" t="n">
        <v>0</v>
      </c>
      <c r="U202" s="15">
        <f>S202+T202</f>
        <v/>
      </c>
      <c r="V202" s="15">
        <f>INT((2^$J$12-1)*U202/100)/(2^$J$12-1)*100</f>
        <v/>
      </c>
      <c r="X202" s="15">
        <f>M202 * 1.05</f>
        <v/>
      </c>
      <c r="Y202" s="15">
        <f>M202 * 0.95</f>
        <v/>
      </c>
      <c r="Z202" s="15">
        <f>IF(AND(V202 &lt;= X202, V202 &gt;= Y202), 1, 0)</f>
        <v/>
      </c>
      <c r="AC202" s="15">
        <f>N202^2</f>
        <v/>
      </c>
      <c r="AD202" s="15">
        <f>ABS(N202)</f>
        <v/>
      </c>
      <c r="AE202" s="15">
        <f>IF(M202&gt;0, ABS(N202)*(L202-$D$16),0)</f>
        <v/>
      </c>
    </row>
    <row r="203">
      <c r="L203" s="15" t="n">
        <v>201</v>
      </c>
      <c r="M203" s="15">
        <f>IF(L203&lt;$D$16,$D$12,IF(L203&lt;$E$16,$E$12,$F$13))</f>
        <v/>
      </c>
      <c r="N203" s="15">
        <f>M203-V203</f>
        <v/>
      </c>
      <c r="O203" s="15">
        <f>IF(MOD(L203,$B$11)=0,OFFSET(O203,-$B$11,0)+ $E$2*N203+$E$3*OFFSET(N203,-$B$11,0)+ $E$4*OFFSET(N203,-2* $B$11,0), O202)</f>
        <v/>
      </c>
      <c r="P203" s="15">
        <f>INT((2^$J$12-1)*O203/100)/(2^$J$12-1)*100</f>
        <v/>
      </c>
      <c r="Q203" s="15" t="n">
        <v>0</v>
      </c>
      <c r="R203" s="15">
        <f>P203+Q203</f>
        <v/>
      </c>
      <c r="S203" s="15">
        <f>$I$1*S202-$I$2*S201+$I$3*R182+$I$4*R181</f>
        <v/>
      </c>
      <c r="T203" s="15" t="n">
        <v>0</v>
      </c>
      <c r="U203" s="15">
        <f>S203+T203</f>
        <v/>
      </c>
      <c r="V203" s="15">
        <f>INT((2^$J$12-1)*U203/100)/(2^$J$12-1)*100</f>
        <v/>
      </c>
      <c r="X203" s="15">
        <f>M203 * 1.05</f>
        <v/>
      </c>
      <c r="Y203" s="15">
        <f>M203 * 0.95</f>
        <v/>
      </c>
      <c r="Z203" s="15">
        <f>IF(AND(V203 &lt;= X203, V203 &gt;= Y203), 1, 0)</f>
        <v/>
      </c>
      <c r="AC203" s="15">
        <f>N203^2</f>
        <v/>
      </c>
      <c r="AD203" s="15">
        <f>ABS(N203)</f>
        <v/>
      </c>
      <c r="AE203" s="15">
        <f>IF(M203&gt;0, ABS(N203)*(L203-$D$16),0)</f>
        <v/>
      </c>
    </row>
    <row r="204">
      <c r="L204" s="15" t="n">
        <v>202</v>
      </c>
      <c r="M204" s="15">
        <f>IF(L204&lt;$D$16,$D$12,IF(L204&lt;$E$16,$E$12,$F$13))</f>
        <v/>
      </c>
      <c r="N204" s="15">
        <f>M204-V204</f>
        <v/>
      </c>
      <c r="O204" s="15">
        <f>IF(MOD(L204,$B$11)=0,OFFSET(O204,-$B$11,0)+ $E$2*N204+$E$3*OFFSET(N204,-$B$11,0)+ $E$4*OFFSET(N204,-2* $B$11,0), O203)</f>
        <v/>
      </c>
      <c r="P204" s="15">
        <f>INT((2^$J$12-1)*O204/100)/(2^$J$12-1)*100</f>
        <v/>
      </c>
      <c r="Q204" s="15" t="n">
        <v>0</v>
      </c>
      <c r="R204" s="15">
        <f>P204+Q204</f>
        <v/>
      </c>
      <c r="S204" s="15">
        <f>$I$1*S203-$I$2*S202+$I$3*R183+$I$4*R182</f>
        <v/>
      </c>
      <c r="T204" s="15" t="n">
        <v>0</v>
      </c>
      <c r="U204" s="15">
        <f>S204+T204</f>
        <v/>
      </c>
      <c r="V204" s="15">
        <f>INT((2^$J$12-1)*U204/100)/(2^$J$12-1)*100</f>
        <v/>
      </c>
      <c r="X204" s="15">
        <f>M204 * 1.05</f>
        <v/>
      </c>
      <c r="Y204" s="15">
        <f>M204 * 0.95</f>
        <v/>
      </c>
      <c r="Z204" s="15">
        <f>IF(AND(V204 &lt;= X204, V204 &gt;= Y204), 1, 0)</f>
        <v/>
      </c>
      <c r="AC204" s="15">
        <f>N204^2</f>
        <v/>
      </c>
      <c r="AD204" s="15">
        <f>ABS(N204)</f>
        <v/>
      </c>
      <c r="AE204" s="15">
        <f>IF(M204&gt;0, ABS(N204)*(L204-$D$16),0)</f>
        <v/>
      </c>
    </row>
    <row r="205">
      <c r="L205" s="15" t="n">
        <v>203</v>
      </c>
      <c r="M205" s="15">
        <f>IF(L205&lt;$D$16,$D$12,IF(L205&lt;$E$16,$E$12,$F$13))</f>
        <v/>
      </c>
      <c r="N205" s="15">
        <f>M205-V205</f>
        <v/>
      </c>
      <c r="O205" s="15">
        <f>IF(MOD(L205,$B$11)=0,OFFSET(O205,-$B$11,0)+ $E$2*N205+$E$3*OFFSET(N205,-$B$11,0)+ $E$4*OFFSET(N205,-2* $B$11,0), O204)</f>
        <v/>
      </c>
      <c r="P205" s="15">
        <f>INT((2^$J$12-1)*O205/100)/(2^$J$12-1)*100</f>
        <v/>
      </c>
      <c r="Q205" s="15" t="n">
        <v>0</v>
      </c>
      <c r="R205" s="15">
        <f>P205+Q205</f>
        <v/>
      </c>
      <c r="S205" s="15">
        <f>$I$1*S204-$I$2*S203+$I$3*R184+$I$4*R183</f>
        <v/>
      </c>
      <c r="T205" s="15" t="n">
        <v>0</v>
      </c>
      <c r="U205" s="15">
        <f>S205+T205</f>
        <v/>
      </c>
      <c r="V205" s="15">
        <f>INT((2^$J$12-1)*U205/100)/(2^$J$12-1)*100</f>
        <v/>
      </c>
      <c r="X205" s="15">
        <f>M205 * 1.05</f>
        <v/>
      </c>
      <c r="Y205" s="15">
        <f>M205 * 0.95</f>
        <v/>
      </c>
      <c r="Z205" s="15">
        <f>IF(AND(V205 &lt;= X205, V205 &gt;= Y205), 1, 0)</f>
        <v/>
      </c>
      <c r="AC205" s="15">
        <f>N205^2</f>
        <v/>
      </c>
      <c r="AD205" s="15">
        <f>ABS(N205)</f>
        <v/>
      </c>
      <c r="AE205" s="15">
        <f>IF(M205&gt;0, ABS(N205)*(L205-$D$16),0)</f>
        <v/>
      </c>
    </row>
    <row r="206">
      <c r="L206" s="15" t="n">
        <v>204</v>
      </c>
      <c r="M206" s="15">
        <f>IF(L206&lt;$D$16,$D$12,IF(L206&lt;$E$16,$E$12,$F$13))</f>
        <v/>
      </c>
      <c r="N206" s="15">
        <f>M206-V206</f>
        <v/>
      </c>
      <c r="O206" s="15">
        <f>IF(MOD(L206,$B$11)=0,OFFSET(O206,-$B$11,0)+ $E$2*N206+$E$3*OFFSET(N206,-$B$11,0)+ $E$4*OFFSET(N206,-2* $B$11,0), O205)</f>
        <v/>
      </c>
      <c r="P206" s="15">
        <f>INT((2^$J$12-1)*O206/100)/(2^$J$12-1)*100</f>
        <v/>
      </c>
      <c r="Q206" s="15" t="n">
        <v>0</v>
      </c>
      <c r="R206" s="15">
        <f>P206+Q206</f>
        <v/>
      </c>
      <c r="S206" s="15">
        <f>$I$1*S205-$I$2*S204+$I$3*R185+$I$4*R184</f>
        <v/>
      </c>
      <c r="T206" s="15" t="n">
        <v>0</v>
      </c>
      <c r="U206" s="15">
        <f>S206+T206</f>
        <v/>
      </c>
      <c r="V206" s="15">
        <f>INT((2^$J$12-1)*U206/100)/(2^$J$12-1)*100</f>
        <v/>
      </c>
      <c r="X206" s="15">
        <f>M206 * 1.05</f>
        <v/>
      </c>
      <c r="Y206" s="15">
        <f>M206 * 0.95</f>
        <v/>
      </c>
      <c r="Z206" s="15">
        <f>IF(AND(V206 &lt;= X206, V206 &gt;= Y206), 1, 0)</f>
        <v/>
      </c>
      <c r="AC206" s="15">
        <f>N206^2</f>
        <v/>
      </c>
      <c r="AD206" s="15">
        <f>ABS(N206)</f>
        <v/>
      </c>
      <c r="AE206" s="15">
        <f>IF(M206&gt;0, ABS(N206)*(L206-$D$16),0)</f>
        <v/>
      </c>
    </row>
    <row r="207">
      <c r="L207" s="15" t="n">
        <v>205</v>
      </c>
      <c r="M207" s="15">
        <f>IF(L207&lt;$D$16,$D$12,IF(L207&lt;$E$16,$E$12,$F$13))</f>
        <v/>
      </c>
      <c r="N207" s="15">
        <f>M207-V207</f>
        <v/>
      </c>
      <c r="O207" s="15">
        <f>IF(MOD(L207,$B$11)=0,OFFSET(O207,-$B$11,0)+ $E$2*N207+$E$3*OFFSET(N207,-$B$11,0)+ $E$4*OFFSET(N207,-2* $B$11,0), O206)</f>
        <v/>
      </c>
      <c r="P207" s="15">
        <f>INT((2^$J$12-1)*O207/100)/(2^$J$12-1)*100</f>
        <v/>
      </c>
      <c r="Q207" s="15" t="n">
        <v>0</v>
      </c>
      <c r="R207" s="15">
        <f>P207+Q207</f>
        <v/>
      </c>
      <c r="S207" s="15">
        <f>$I$1*S206-$I$2*S205+$I$3*R186+$I$4*R185</f>
        <v/>
      </c>
      <c r="T207" s="15" t="n">
        <v>0</v>
      </c>
      <c r="U207" s="15">
        <f>S207+T207</f>
        <v/>
      </c>
      <c r="V207" s="15">
        <f>INT((2^$J$12-1)*U207/100)/(2^$J$12-1)*100</f>
        <v/>
      </c>
      <c r="X207" s="15">
        <f>M207 * 1.05</f>
        <v/>
      </c>
      <c r="Y207" s="15">
        <f>M207 * 0.95</f>
        <v/>
      </c>
      <c r="Z207" s="15">
        <f>IF(AND(V207 &lt;= X207, V207 &gt;= Y207), 1, 0)</f>
        <v/>
      </c>
      <c r="AC207" s="15">
        <f>N207^2</f>
        <v/>
      </c>
      <c r="AD207" s="15">
        <f>ABS(N207)</f>
        <v/>
      </c>
      <c r="AE207" s="15">
        <f>IF(M207&gt;0, ABS(N207)*(L207-$D$16),0)</f>
        <v/>
      </c>
    </row>
    <row r="208">
      <c r="L208" s="15" t="n">
        <v>206</v>
      </c>
      <c r="M208" s="15">
        <f>IF(L208&lt;$D$16,$D$12,IF(L208&lt;$E$16,$E$12,$F$13))</f>
        <v/>
      </c>
      <c r="N208" s="15">
        <f>M208-V208</f>
        <v/>
      </c>
      <c r="O208" s="15">
        <f>IF(MOD(L208,$B$11)=0,OFFSET(O208,-$B$11,0)+ $E$2*N208+$E$3*OFFSET(N208,-$B$11,0)+ $E$4*OFFSET(N208,-2* $B$11,0), O207)</f>
        <v/>
      </c>
      <c r="P208" s="15">
        <f>INT((2^$J$12-1)*O208/100)/(2^$J$12-1)*100</f>
        <v/>
      </c>
      <c r="Q208" s="15" t="n">
        <v>0</v>
      </c>
      <c r="R208" s="15">
        <f>P208+Q208</f>
        <v/>
      </c>
      <c r="S208" s="15">
        <f>$I$1*S207-$I$2*S206+$I$3*R187+$I$4*R186</f>
        <v/>
      </c>
      <c r="T208" s="15" t="n">
        <v>0</v>
      </c>
      <c r="U208" s="15">
        <f>S208+T208</f>
        <v/>
      </c>
      <c r="V208" s="15">
        <f>INT((2^$J$12-1)*U208/100)/(2^$J$12-1)*100</f>
        <v/>
      </c>
      <c r="X208" s="15">
        <f>M208 * 1.05</f>
        <v/>
      </c>
      <c r="Y208" s="15">
        <f>M208 * 0.95</f>
        <v/>
      </c>
      <c r="Z208" s="15">
        <f>IF(AND(V208 &lt;= X208, V208 &gt;= Y208), 1, 0)</f>
        <v/>
      </c>
      <c r="AC208" s="15">
        <f>N208^2</f>
        <v/>
      </c>
      <c r="AD208" s="15">
        <f>ABS(N208)</f>
        <v/>
      </c>
      <c r="AE208" s="15">
        <f>IF(M208&gt;0, ABS(N208)*(L208-$D$16),0)</f>
        <v/>
      </c>
    </row>
    <row r="209">
      <c r="L209" s="15" t="n">
        <v>207</v>
      </c>
      <c r="M209" s="15">
        <f>IF(L209&lt;$D$16,$D$12,IF(L209&lt;$E$16,$E$12,$F$13))</f>
        <v/>
      </c>
      <c r="N209" s="15">
        <f>M209-V209</f>
        <v/>
      </c>
      <c r="O209" s="15">
        <f>IF(MOD(L209,$B$11)=0,OFFSET(O209,-$B$11,0)+ $E$2*N209+$E$3*OFFSET(N209,-$B$11,0)+ $E$4*OFFSET(N209,-2* $B$11,0), O208)</f>
        <v/>
      </c>
      <c r="P209" s="15">
        <f>INT((2^$J$12-1)*O209/100)/(2^$J$12-1)*100</f>
        <v/>
      </c>
      <c r="Q209" s="15" t="n">
        <v>0</v>
      </c>
      <c r="R209" s="15">
        <f>P209+Q209</f>
        <v/>
      </c>
      <c r="S209" s="15">
        <f>$I$1*S208-$I$2*S207+$I$3*R188+$I$4*R187</f>
        <v/>
      </c>
      <c r="T209" s="15" t="n">
        <v>0</v>
      </c>
      <c r="U209" s="15">
        <f>S209+T209</f>
        <v/>
      </c>
      <c r="V209" s="15">
        <f>INT((2^$J$12-1)*U209/100)/(2^$J$12-1)*100</f>
        <v/>
      </c>
      <c r="X209" s="15">
        <f>M209 * 1.05</f>
        <v/>
      </c>
      <c r="Y209" s="15">
        <f>M209 * 0.95</f>
        <v/>
      </c>
      <c r="Z209" s="15">
        <f>IF(AND(V209 &lt;= X209, V209 &gt;= Y209), 1, 0)</f>
        <v/>
      </c>
      <c r="AC209" s="15">
        <f>N209^2</f>
        <v/>
      </c>
      <c r="AD209" s="15">
        <f>ABS(N209)</f>
        <v/>
      </c>
      <c r="AE209" s="15">
        <f>IF(M209&gt;0, ABS(N209)*(L209-$D$16),0)</f>
        <v/>
      </c>
    </row>
    <row r="210">
      <c r="L210" s="15" t="n">
        <v>208</v>
      </c>
      <c r="M210" s="15">
        <f>IF(L210&lt;$D$16,$D$12,IF(L210&lt;$E$16,$E$12,$F$13))</f>
        <v/>
      </c>
      <c r="N210" s="15">
        <f>M210-V210</f>
        <v/>
      </c>
      <c r="O210" s="15">
        <f>IF(MOD(L210,$B$11)=0,OFFSET(O210,-$B$11,0)+ $E$2*N210+$E$3*OFFSET(N210,-$B$11,0)+ $E$4*OFFSET(N210,-2* $B$11,0), O209)</f>
        <v/>
      </c>
      <c r="P210" s="15">
        <f>INT((2^$J$12-1)*O210/100)/(2^$J$12-1)*100</f>
        <v/>
      </c>
      <c r="Q210" s="15" t="n">
        <v>0</v>
      </c>
      <c r="R210" s="15">
        <f>P210+Q210</f>
        <v/>
      </c>
      <c r="S210" s="15">
        <f>$I$1*S209-$I$2*S208+$I$3*R189+$I$4*R188</f>
        <v/>
      </c>
      <c r="T210" s="15" t="n">
        <v>0</v>
      </c>
      <c r="U210" s="15">
        <f>S210+T210</f>
        <v/>
      </c>
      <c r="V210" s="15">
        <f>INT((2^$J$12-1)*U210/100)/(2^$J$12-1)*100</f>
        <v/>
      </c>
      <c r="X210" s="15">
        <f>M210 * 1.05</f>
        <v/>
      </c>
      <c r="Y210" s="15">
        <f>M210 * 0.95</f>
        <v/>
      </c>
      <c r="Z210" s="15">
        <f>IF(AND(V210 &lt;= X210, V210 &gt;= Y210), 1, 0)</f>
        <v/>
      </c>
      <c r="AC210" s="15">
        <f>N210^2</f>
        <v/>
      </c>
      <c r="AD210" s="15">
        <f>ABS(N210)</f>
        <v/>
      </c>
      <c r="AE210" s="15">
        <f>IF(M210&gt;0, ABS(N210)*(L210-$D$16),0)</f>
        <v/>
      </c>
    </row>
    <row r="211">
      <c r="L211" s="15" t="n">
        <v>209</v>
      </c>
      <c r="M211" s="15">
        <f>IF(L211&lt;$D$16,$D$12,IF(L211&lt;$E$16,$E$12,$F$13))</f>
        <v/>
      </c>
      <c r="N211" s="15">
        <f>M211-V211</f>
        <v/>
      </c>
      <c r="O211" s="15">
        <f>IF(MOD(L211,$B$11)=0,OFFSET(O211,-$B$11,0)+ $E$2*N211+$E$3*OFFSET(N211,-$B$11,0)+ $E$4*OFFSET(N211,-2* $B$11,0), O210)</f>
        <v/>
      </c>
      <c r="P211" s="15">
        <f>INT((2^$J$12-1)*O211/100)/(2^$J$12-1)*100</f>
        <v/>
      </c>
      <c r="Q211" s="15" t="n">
        <v>0</v>
      </c>
      <c r="R211" s="15">
        <f>P211+Q211</f>
        <v/>
      </c>
      <c r="S211" s="15">
        <f>$I$1*S210-$I$2*S209+$I$3*R190+$I$4*R189</f>
        <v/>
      </c>
      <c r="T211" s="15" t="n">
        <v>0</v>
      </c>
      <c r="U211" s="15">
        <f>S211+T211</f>
        <v/>
      </c>
      <c r="V211" s="15">
        <f>INT((2^$J$12-1)*U211/100)/(2^$J$12-1)*100</f>
        <v/>
      </c>
      <c r="X211" s="15">
        <f>M211 * 1.05</f>
        <v/>
      </c>
      <c r="Y211" s="15">
        <f>M211 * 0.95</f>
        <v/>
      </c>
      <c r="Z211" s="15">
        <f>IF(AND(V211 &lt;= X211, V211 &gt;= Y211), 1, 0)</f>
        <v/>
      </c>
      <c r="AC211" s="15">
        <f>N211^2</f>
        <v/>
      </c>
      <c r="AD211" s="15">
        <f>ABS(N211)</f>
        <v/>
      </c>
      <c r="AE211" s="15">
        <f>IF(M211&gt;0, ABS(N211)*(L211-$D$16),0)</f>
        <v/>
      </c>
    </row>
    <row r="212">
      <c r="L212" s="15" t="n">
        <v>210</v>
      </c>
      <c r="M212" s="15">
        <f>IF(L212&lt;$D$16,$D$12,IF(L212&lt;$E$16,$E$12,$F$13))</f>
        <v/>
      </c>
      <c r="N212" s="15">
        <f>M212-V212</f>
        <v/>
      </c>
      <c r="O212" s="15">
        <f>IF(MOD(L212,$B$11)=0,OFFSET(O212,-$B$11,0)+ $E$2*N212+$E$3*OFFSET(N212,-$B$11,0)+ $E$4*OFFSET(N212,-2* $B$11,0), O211)</f>
        <v/>
      </c>
      <c r="P212" s="15">
        <f>INT((2^$J$12-1)*O212/100)/(2^$J$12-1)*100</f>
        <v/>
      </c>
      <c r="Q212" s="15" t="n">
        <v>0</v>
      </c>
      <c r="R212" s="15">
        <f>P212+Q212</f>
        <v/>
      </c>
      <c r="S212" s="15">
        <f>$I$1*S211-$I$2*S210+$I$3*R191+$I$4*R190</f>
        <v/>
      </c>
      <c r="T212" s="15" t="n">
        <v>0</v>
      </c>
      <c r="U212" s="15">
        <f>S212+T212</f>
        <v/>
      </c>
      <c r="V212" s="15">
        <f>INT((2^$J$12-1)*U212/100)/(2^$J$12-1)*100</f>
        <v/>
      </c>
      <c r="X212" s="15">
        <f>M212 * 1.05</f>
        <v/>
      </c>
      <c r="Y212" s="15">
        <f>M212 * 0.95</f>
        <v/>
      </c>
      <c r="Z212" s="15">
        <f>IF(AND(V212 &lt;= X212, V212 &gt;= Y212), 1, 0)</f>
        <v/>
      </c>
      <c r="AC212" s="15">
        <f>N212^2</f>
        <v/>
      </c>
      <c r="AD212" s="15">
        <f>ABS(N212)</f>
        <v/>
      </c>
      <c r="AE212" s="15">
        <f>IF(M212&gt;0, ABS(N212)*(L212-$D$16),0)</f>
        <v/>
      </c>
    </row>
    <row r="213">
      <c r="L213" s="15" t="n">
        <v>211</v>
      </c>
      <c r="M213" s="15">
        <f>IF(L213&lt;$D$16,$D$12,IF(L213&lt;$E$16,$E$12,$F$13))</f>
        <v/>
      </c>
      <c r="N213" s="15">
        <f>M213-V213</f>
        <v/>
      </c>
      <c r="O213" s="15">
        <f>IF(MOD(L213,$B$11)=0,OFFSET(O213,-$B$11,0)+ $E$2*N213+$E$3*OFFSET(N213,-$B$11,0)+ $E$4*OFFSET(N213,-2* $B$11,0), O212)</f>
        <v/>
      </c>
      <c r="P213" s="15">
        <f>INT((2^$J$12-1)*O213/100)/(2^$J$12-1)*100</f>
        <v/>
      </c>
      <c r="Q213" s="15" t="n">
        <v>0</v>
      </c>
      <c r="R213" s="15">
        <f>P213+Q213</f>
        <v/>
      </c>
      <c r="S213" s="15">
        <f>$I$1*S212-$I$2*S211+$I$3*R192+$I$4*R191</f>
        <v/>
      </c>
      <c r="T213" s="15" t="n">
        <v>0</v>
      </c>
      <c r="U213" s="15">
        <f>S213+T213</f>
        <v/>
      </c>
      <c r="V213" s="15">
        <f>INT((2^$J$12-1)*U213/100)/(2^$J$12-1)*100</f>
        <v/>
      </c>
      <c r="X213" s="15">
        <f>M213 * 1.05</f>
        <v/>
      </c>
      <c r="Y213" s="15">
        <f>M213 * 0.95</f>
        <v/>
      </c>
      <c r="Z213" s="15">
        <f>IF(AND(V213 &lt;= X213, V213 &gt;= Y213), 1, 0)</f>
        <v/>
      </c>
      <c r="AC213" s="15">
        <f>N213^2</f>
        <v/>
      </c>
      <c r="AD213" s="15">
        <f>ABS(N213)</f>
        <v/>
      </c>
      <c r="AE213" s="15">
        <f>IF(M213&gt;0, ABS(N213)*(L213-$D$16),0)</f>
        <v/>
      </c>
    </row>
    <row r="214">
      <c r="L214" s="15" t="n">
        <v>212</v>
      </c>
      <c r="M214" s="15">
        <f>IF(L214&lt;$D$16,$D$12,IF(L214&lt;$E$16,$E$12,$F$13))</f>
        <v/>
      </c>
      <c r="N214" s="15">
        <f>M214-V214</f>
        <v/>
      </c>
      <c r="O214" s="15">
        <f>IF(MOD(L214,$B$11)=0,OFFSET(O214,-$B$11,0)+ $E$2*N214+$E$3*OFFSET(N214,-$B$11,0)+ $E$4*OFFSET(N214,-2* $B$11,0), O213)</f>
        <v/>
      </c>
      <c r="P214" s="15">
        <f>INT((2^$J$12-1)*O214/100)/(2^$J$12-1)*100</f>
        <v/>
      </c>
      <c r="Q214" s="15" t="n">
        <v>0</v>
      </c>
      <c r="R214" s="15">
        <f>P214+Q214</f>
        <v/>
      </c>
      <c r="S214" s="15">
        <f>$I$1*S213-$I$2*S212+$I$3*R193+$I$4*R192</f>
        <v/>
      </c>
      <c r="T214" s="15" t="n">
        <v>0</v>
      </c>
      <c r="U214" s="15">
        <f>S214+T214</f>
        <v/>
      </c>
      <c r="V214" s="15">
        <f>INT((2^$J$12-1)*U214/100)/(2^$J$12-1)*100</f>
        <v/>
      </c>
      <c r="X214" s="15">
        <f>M214 * 1.05</f>
        <v/>
      </c>
      <c r="Y214" s="15">
        <f>M214 * 0.95</f>
        <v/>
      </c>
      <c r="Z214" s="15">
        <f>IF(AND(V214 &lt;= X214, V214 &gt;= Y214), 1, 0)</f>
        <v/>
      </c>
      <c r="AC214" s="15">
        <f>N214^2</f>
        <v/>
      </c>
      <c r="AD214" s="15">
        <f>ABS(N214)</f>
        <v/>
      </c>
      <c r="AE214" s="15">
        <f>IF(M214&gt;0, ABS(N214)*(L214-$D$16),0)</f>
        <v/>
      </c>
    </row>
    <row r="215">
      <c r="L215" s="15" t="n">
        <v>213</v>
      </c>
      <c r="M215" s="15">
        <f>IF(L215&lt;$D$16,$D$12,IF(L215&lt;$E$16,$E$12,$F$13))</f>
        <v/>
      </c>
      <c r="N215" s="15">
        <f>M215-V215</f>
        <v/>
      </c>
      <c r="O215" s="15">
        <f>IF(MOD(L215,$B$11)=0,OFFSET(O215,-$B$11,0)+ $E$2*N215+$E$3*OFFSET(N215,-$B$11,0)+ $E$4*OFFSET(N215,-2* $B$11,0), O214)</f>
        <v/>
      </c>
      <c r="P215" s="15">
        <f>INT((2^$J$12-1)*O215/100)/(2^$J$12-1)*100</f>
        <v/>
      </c>
      <c r="Q215" s="15" t="n">
        <v>0</v>
      </c>
      <c r="R215" s="15">
        <f>P215+Q215</f>
        <v/>
      </c>
      <c r="S215" s="15">
        <f>$I$1*S214-$I$2*S213+$I$3*R194+$I$4*R193</f>
        <v/>
      </c>
      <c r="T215" s="15" t="n">
        <v>0</v>
      </c>
      <c r="U215" s="15">
        <f>S215+T215</f>
        <v/>
      </c>
      <c r="V215" s="15">
        <f>INT((2^$J$12-1)*U215/100)/(2^$J$12-1)*100</f>
        <v/>
      </c>
      <c r="X215" s="15">
        <f>M215 * 1.05</f>
        <v/>
      </c>
      <c r="Y215" s="15">
        <f>M215 * 0.95</f>
        <v/>
      </c>
      <c r="Z215" s="15">
        <f>IF(AND(V215 &lt;= X215, V215 &gt;= Y215), 1, 0)</f>
        <v/>
      </c>
      <c r="AC215" s="15">
        <f>N215^2</f>
        <v/>
      </c>
      <c r="AD215" s="15">
        <f>ABS(N215)</f>
        <v/>
      </c>
      <c r="AE215" s="15">
        <f>IF(M215&gt;0, ABS(N215)*(L215-$D$16),0)</f>
        <v/>
      </c>
    </row>
    <row r="216">
      <c r="L216" s="15" t="n">
        <v>214</v>
      </c>
      <c r="M216" s="15">
        <f>IF(L216&lt;$D$16,$D$12,IF(L216&lt;$E$16,$E$12,$F$13))</f>
        <v/>
      </c>
      <c r="N216" s="15">
        <f>M216-V216</f>
        <v/>
      </c>
      <c r="O216" s="15">
        <f>IF(MOD(L216,$B$11)=0,OFFSET(O216,-$B$11,0)+ $E$2*N216+$E$3*OFFSET(N216,-$B$11,0)+ $E$4*OFFSET(N216,-2* $B$11,0), O215)</f>
        <v/>
      </c>
      <c r="P216" s="15">
        <f>INT((2^$J$12-1)*O216/100)/(2^$J$12-1)*100</f>
        <v/>
      </c>
      <c r="Q216" s="15" t="n">
        <v>0</v>
      </c>
      <c r="R216" s="15">
        <f>P216+Q216</f>
        <v/>
      </c>
      <c r="S216" s="15">
        <f>$I$1*S215-$I$2*S214+$I$3*R195+$I$4*R194</f>
        <v/>
      </c>
      <c r="T216" s="15" t="n">
        <v>0</v>
      </c>
      <c r="U216" s="15">
        <f>S216+T216</f>
        <v/>
      </c>
      <c r="V216" s="15">
        <f>INT((2^$J$12-1)*U216/100)/(2^$J$12-1)*100</f>
        <v/>
      </c>
      <c r="X216" s="15">
        <f>M216 * 1.05</f>
        <v/>
      </c>
      <c r="Y216" s="15">
        <f>M216 * 0.95</f>
        <v/>
      </c>
      <c r="Z216" s="15">
        <f>IF(AND(V216 &lt;= X216, V216 &gt;= Y216), 1, 0)</f>
        <v/>
      </c>
      <c r="AC216" s="15">
        <f>N216^2</f>
        <v/>
      </c>
      <c r="AD216" s="15">
        <f>ABS(N216)</f>
        <v/>
      </c>
      <c r="AE216" s="15">
        <f>IF(M216&gt;0, ABS(N216)*(L216-$D$16),0)</f>
        <v/>
      </c>
    </row>
    <row r="217">
      <c r="L217" s="15" t="n">
        <v>215</v>
      </c>
      <c r="M217" s="15">
        <f>IF(L217&lt;$D$16,$D$12,IF(L217&lt;$E$16,$E$12,$F$13))</f>
        <v/>
      </c>
      <c r="N217" s="15">
        <f>M217-V217</f>
        <v/>
      </c>
      <c r="O217" s="15">
        <f>IF(MOD(L217,$B$11)=0,OFFSET(O217,-$B$11,0)+ $E$2*N217+$E$3*OFFSET(N217,-$B$11,0)+ $E$4*OFFSET(N217,-2* $B$11,0), O216)</f>
        <v/>
      </c>
      <c r="P217" s="15">
        <f>INT((2^$J$12-1)*O217/100)/(2^$J$12-1)*100</f>
        <v/>
      </c>
      <c r="Q217" s="15" t="n">
        <v>0</v>
      </c>
      <c r="R217" s="15">
        <f>P217+Q217</f>
        <v/>
      </c>
      <c r="S217" s="15">
        <f>$I$1*S216-$I$2*S215+$I$3*R196+$I$4*R195</f>
        <v/>
      </c>
      <c r="T217" s="15" t="n">
        <v>0</v>
      </c>
      <c r="U217" s="15">
        <f>S217+T217</f>
        <v/>
      </c>
      <c r="V217" s="15">
        <f>INT((2^$J$12-1)*U217/100)/(2^$J$12-1)*100</f>
        <v/>
      </c>
      <c r="X217" s="15">
        <f>M217 * 1.05</f>
        <v/>
      </c>
      <c r="Y217" s="15">
        <f>M217 * 0.95</f>
        <v/>
      </c>
      <c r="Z217" s="15">
        <f>IF(AND(V217 &lt;= X217, V217 &gt;= Y217), 1, 0)</f>
        <v/>
      </c>
      <c r="AC217" s="15">
        <f>N217^2</f>
        <v/>
      </c>
      <c r="AD217" s="15">
        <f>ABS(N217)</f>
        <v/>
      </c>
      <c r="AE217" s="15">
        <f>IF(M217&gt;0, ABS(N217)*(L217-$D$16),0)</f>
        <v/>
      </c>
    </row>
    <row r="218">
      <c r="L218" s="15" t="n">
        <v>216</v>
      </c>
      <c r="M218" s="15">
        <f>IF(L218&lt;$D$16,$D$12,IF(L218&lt;$E$16,$E$12,$F$13))</f>
        <v/>
      </c>
      <c r="N218" s="15">
        <f>M218-V218</f>
        <v/>
      </c>
      <c r="O218" s="15">
        <f>IF(MOD(L218,$B$11)=0,OFFSET(O218,-$B$11,0)+ $E$2*N218+$E$3*OFFSET(N218,-$B$11,0)+ $E$4*OFFSET(N218,-2* $B$11,0), O217)</f>
        <v/>
      </c>
      <c r="P218" s="15">
        <f>INT((2^$J$12-1)*O218/100)/(2^$J$12-1)*100</f>
        <v/>
      </c>
      <c r="Q218" s="15" t="n">
        <v>0</v>
      </c>
      <c r="R218" s="15">
        <f>P218+Q218</f>
        <v/>
      </c>
      <c r="S218" s="15">
        <f>$I$1*S217-$I$2*S216+$I$3*R197+$I$4*R196</f>
        <v/>
      </c>
      <c r="T218" s="15" t="n">
        <v>0</v>
      </c>
      <c r="U218" s="15">
        <f>S218+T218</f>
        <v/>
      </c>
      <c r="V218" s="15">
        <f>INT((2^$J$12-1)*U218/100)/(2^$J$12-1)*100</f>
        <v/>
      </c>
      <c r="X218" s="15">
        <f>M218 * 1.05</f>
        <v/>
      </c>
      <c r="Y218" s="15">
        <f>M218 * 0.95</f>
        <v/>
      </c>
      <c r="Z218" s="15">
        <f>IF(AND(V218 &lt;= X218, V218 &gt;= Y218), 1, 0)</f>
        <v/>
      </c>
      <c r="AC218" s="15">
        <f>N218^2</f>
        <v/>
      </c>
      <c r="AD218" s="15">
        <f>ABS(N218)</f>
        <v/>
      </c>
      <c r="AE218" s="15">
        <f>IF(M218&gt;0, ABS(N218)*(L218-$D$16),0)</f>
        <v/>
      </c>
    </row>
    <row r="219">
      <c r="L219" s="15" t="n">
        <v>217</v>
      </c>
      <c r="M219" s="15">
        <f>IF(L219&lt;$D$16,$D$12,IF(L219&lt;$E$16,$E$12,$F$13))</f>
        <v/>
      </c>
      <c r="N219" s="15">
        <f>M219-V219</f>
        <v/>
      </c>
      <c r="O219" s="15">
        <f>IF(MOD(L219,$B$11)=0,OFFSET(O219,-$B$11,0)+ $E$2*N219+$E$3*OFFSET(N219,-$B$11,0)+ $E$4*OFFSET(N219,-2* $B$11,0), O218)</f>
        <v/>
      </c>
      <c r="P219" s="15">
        <f>INT((2^$J$12-1)*O219/100)/(2^$J$12-1)*100</f>
        <v/>
      </c>
      <c r="Q219" s="15" t="n">
        <v>0</v>
      </c>
      <c r="R219" s="15">
        <f>P219+Q219</f>
        <v/>
      </c>
      <c r="S219" s="15">
        <f>$I$1*S218-$I$2*S217+$I$3*R198+$I$4*R197</f>
        <v/>
      </c>
      <c r="T219" s="15" t="n">
        <v>0</v>
      </c>
      <c r="U219" s="15">
        <f>S219+T219</f>
        <v/>
      </c>
      <c r="V219" s="15">
        <f>INT((2^$J$12-1)*U219/100)/(2^$J$12-1)*100</f>
        <v/>
      </c>
      <c r="X219" s="15">
        <f>M219 * 1.05</f>
        <v/>
      </c>
      <c r="Y219" s="15">
        <f>M219 * 0.95</f>
        <v/>
      </c>
      <c r="Z219" s="15">
        <f>IF(AND(V219 &lt;= X219, V219 &gt;= Y219), 1, 0)</f>
        <v/>
      </c>
      <c r="AC219" s="15">
        <f>N219^2</f>
        <v/>
      </c>
      <c r="AD219" s="15">
        <f>ABS(N219)</f>
        <v/>
      </c>
      <c r="AE219" s="15">
        <f>IF(M219&gt;0, ABS(N219)*(L219-$D$16),0)</f>
        <v/>
      </c>
    </row>
    <row r="220">
      <c r="L220" s="15" t="n">
        <v>218</v>
      </c>
      <c r="M220" s="15">
        <f>IF(L220&lt;$D$16,$D$12,IF(L220&lt;$E$16,$E$12,$F$13))</f>
        <v/>
      </c>
      <c r="N220" s="15">
        <f>M220-V220</f>
        <v/>
      </c>
      <c r="O220" s="15">
        <f>IF(MOD(L220,$B$11)=0,OFFSET(O220,-$B$11,0)+ $E$2*N220+$E$3*OFFSET(N220,-$B$11,0)+ $E$4*OFFSET(N220,-2* $B$11,0), O219)</f>
        <v/>
      </c>
      <c r="P220" s="15">
        <f>INT((2^$J$12-1)*O220/100)/(2^$J$12-1)*100</f>
        <v/>
      </c>
      <c r="Q220" s="15" t="n">
        <v>0</v>
      </c>
      <c r="R220" s="15">
        <f>P220+Q220</f>
        <v/>
      </c>
      <c r="S220" s="15">
        <f>$I$1*S219-$I$2*S218+$I$3*R199+$I$4*R198</f>
        <v/>
      </c>
      <c r="T220" s="15" t="n">
        <v>0</v>
      </c>
      <c r="U220" s="15">
        <f>S220+T220</f>
        <v/>
      </c>
      <c r="V220" s="15">
        <f>INT((2^$J$12-1)*U220/100)/(2^$J$12-1)*100</f>
        <v/>
      </c>
      <c r="X220" s="15">
        <f>M220 * 1.05</f>
        <v/>
      </c>
      <c r="Y220" s="15">
        <f>M220 * 0.95</f>
        <v/>
      </c>
      <c r="Z220" s="15">
        <f>IF(AND(V220 &lt;= X220, V220 &gt;= Y220), 1, 0)</f>
        <v/>
      </c>
      <c r="AC220" s="15">
        <f>N220^2</f>
        <v/>
      </c>
      <c r="AD220" s="15">
        <f>ABS(N220)</f>
        <v/>
      </c>
      <c r="AE220" s="15">
        <f>IF(M220&gt;0, ABS(N220)*(L220-$D$16),0)</f>
        <v/>
      </c>
    </row>
    <row r="221">
      <c r="L221" s="15" t="n">
        <v>219</v>
      </c>
      <c r="M221" s="15">
        <f>IF(L221&lt;$D$16,$D$12,IF(L221&lt;$E$16,$E$12,$F$13))</f>
        <v/>
      </c>
      <c r="N221" s="15">
        <f>M221-V221</f>
        <v/>
      </c>
      <c r="O221" s="15">
        <f>IF(MOD(L221,$B$11)=0,OFFSET(O221,-$B$11,0)+ $E$2*N221+$E$3*OFFSET(N221,-$B$11,0)+ $E$4*OFFSET(N221,-2* $B$11,0), O220)</f>
        <v/>
      </c>
      <c r="P221" s="15">
        <f>INT((2^$J$12-1)*O221/100)/(2^$J$12-1)*100</f>
        <v/>
      </c>
      <c r="Q221" s="15" t="n">
        <v>0</v>
      </c>
      <c r="R221" s="15">
        <f>P221+Q221</f>
        <v/>
      </c>
      <c r="S221" s="15">
        <f>$I$1*S220-$I$2*S219+$I$3*R200+$I$4*R199</f>
        <v/>
      </c>
      <c r="T221" s="15" t="n">
        <v>0</v>
      </c>
      <c r="U221" s="15">
        <f>S221+T221</f>
        <v/>
      </c>
      <c r="V221" s="15">
        <f>INT((2^$J$12-1)*U221/100)/(2^$J$12-1)*100</f>
        <v/>
      </c>
      <c r="X221" s="15">
        <f>M221 * 1.05</f>
        <v/>
      </c>
      <c r="Y221" s="15">
        <f>M221 * 0.95</f>
        <v/>
      </c>
      <c r="Z221" s="15">
        <f>IF(AND(V221 &lt;= X221, V221 &gt;= Y221), 1, 0)</f>
        <v/>
      </c>
      <c r="AC221" s="15">
        <f>N221^2</f>
        <v/>
      </c>
      <c r="AD221" s="15">
        <f>ABS(N221)</f>
        <v/>
      </c>
      <c r="AE221" s="15">
        <f>IF(M221&gt;0, ABS(N221)*(L221-$D$16),0)</f>
        <v/>
      </c>
    </row>
    <row r="222">
      <c r="L222" s="15" t="n">
        <v>220</v>
      </c>
      <c r="M222" s="15">
        <f>IF(L222&lt;$D$16,$D$12,IF(L222&lt;$E$16,$E$12,$F$13))</f>
        <v/>
      </c>
      <c r="N222" s="15">
        <f>M222-V222</f>
        <v/>
      </c>
      <c r="O222" s="15">
        <f>IF(MOD(L222,$B$11)=0,OFFSET(O222,-$B$11,0)+ $E$2*N222+$E$3*OFFSET(N222,-$B$11,0)+ $E$4*OFFSET(N222,-2* $B$11,0), O221)</f>
        <v/>
      </c>
      <c r="P222" s="15">
        <f>INT((2^$J$12-1)*O222/100)/(2^$J$12-1)*100</f>
        <v/>
      </c>
      <c r="Q222" s="15" t="n">
        <v>0</v>
      </c>
      <c r="R222" s="15">
        <f>P222+Q222</f>
        <v/>
      </c>
      <c r="S222" s="15">
        <f>$I$1*S221-$I$2*S220+$I$3*R201+$I$4*R200</f>
        <v/>
      </c>
      <c r="T222" s="15" t="n">
        <v>0</v>
      </c>
      <c r="U222" s="15">
        <f>S222+T222</f>
        <v/>
      </c>
      <c r="V222" s="15">
        <f>INT((2^$J$12-1)*U222/100)/(2^$J$12-1)*100</f>
        <v/>
      </c>
      <c r="X222" s="15">
        <f>M222 * 1.05</f>
        <v/>
      </c>
      <c r="Y222" s="15">
        <f>M222 * 0.95</f>
        <v/>
      </c>
      <c r="Z222" s="15">
        <f>IF(AND(V222 &lt;= X222, V222 &gt;= Y222), 1, 0)</f>
        <v/>
      </c>
      <c r="AC222" s="15">
        <f>N222^2</f>
        <v/>
      </c>
      <c r="AD222" s="15">
        <f>ABS(N222)</f>
        <v/>
      </c>
      <c r="AE222" s="15">
        <f>IF(M222&gt;0, ABS(N222)*(L222-$D$16),0)</f>
        <v/>
      </c>
    </row>
    <row r="223">
      <c r="L223" s="15" t="n">
        <v>221</v>
      </c>
      <c r="M223" s="15">
        <f>IF(L223&lt;$D$16,$D$12,IF(L223&lt;$E$16,$E$12,$F$13))</f>
        <v/>
      </c>
      <c r="N223" s="15">
        <f>M223-V223</f>
        <v/>
      </c>
      <c r="O223" s="15">
        <f>IF(MOD(L223,$B$11)=0,OFFSET(O223,-$B$11,0)+ $E$2*N223+$E$3*OFFSET(N223,-$B$11,0)+ $E$4*OFFSET(N223,-2* $B$11,0), O222)</f>
        <v/>
      </c>
      <c r="P223" s="15">
        <f>INT((2^$J$12-1)*O223/100)/(2^$J$12-1)*100</f>
        <v/>
      </c>
      <c r="Q223" s="15" t="n">
        <v>0</v>
      </c>
      <c r="R223" s="15">
        <f>P223+Q223</f>
        <v/>
      </c>
      <c r="S223" s="15">
        <f>$I$1*S222-$I$2*S221+$I$3*R202+$I$4*R201</f>
        <v/>
      </c>
      <c r="T223" s="15" t="n">
        <v>0</v>
      </c>
      <c r="U223" s="15">
        <f>S223+T223</f>
        <v/>
      </c>
      <c r="V223" s="15">
        <f>INT((2^$J$12-1)*U223/100)/(2^$J$12-1)*100</f>
        <v/>
      </c>
      <c r="X223" s="15">
        <f>M223 * 1.05</f>
        <v/>
      </c>
      <c r="Y223" s="15">
        <f>M223 * 0.95</f>
        <v/>
      </c>
      <c r="Z223" s="15">
        <f>IF(AND(V223 &lt;= X223, V223 &gt;= Y223), 1, 0)</f>
        <v/>
      </c>
      <c r="AC223" s="15">
        <f>N223^2</f>
        <v/>
      </c>
      <c r="AD223" s="15">
        <f>ABS(N223)</f>
        <v/>
      </c>
      <c r="AE223" s="15">
        <f>IF(M223&gt;0, ABS(N223)*(L223-$D$16),0)</f>
        <v/>
      </c>
    </row>
    <row r="224">
      <c r="L224" s="15" t="n">
        <v>222</v>
      </c>
      <c r="M224" s="15">
        <f>IF(L224&lt;$D$16,$D$12,IF(L224&lt;$E$16,$E$12,$F$13))</f>
        <v/>
      </c>
      <c r="N224" s="15">
        <f>M224-V224</f>
        <v/>
      </c>
      <c r="O224" s="15">
        <f>IF(MOD(L224,$B$11)=0,OFFSET(O224,-$B$11,0)+ $E$2*N224+$E$3*OFFSET(N224,-$B$11,0)+ $E$4*OFFSET(N224,-2* $B$11,0), O223)</f>
        <v/>
      </c>
      <c r="P224" s="15">
        <f>INT((2^$J$12-1)*O224/100)/(2^$J$12-1)*100</f>
        <v/>
      </c>
      <c r="Q224" s="15" t="n">
        <v>0</v>
      </c>
      <c r="R224" s="15">
        <f>P224+Q224</f>
        <v/>
      </c>
      <c r="S224" s="15">
        <f>$I$1*S223-$I$2*S222+$I$3*R203+$I$4*R202</f>
        <v/>
      </c>
      <c r="T224" s="15" t="n">
        <v>0</v>
      </c>
      <c r="U224" s="15">
        <f>S224+T224</f>
        <v/>
      </c>
      <c r="V224" s="15">
        <f>INT((2^$J$12-1)*U224/100)/(2^$J$12-1)*100</f>
        <v/>
      </c>
      <c r="X224" s="15">
        <f>M224 * 1.05</f>
        <v/>
      </c>
      <c r="Y224" s="15">
        <f>M224 * 0.95</f>
        <v/>
      </c>
      <c r="Z224" s="15">
        <f>IF(AND(V224 &lt;= X224, V224 &gt;= Y224), 1, 0)</f>
        <v/>
      </c>
      <c r="AC224" s="15">
        <f>N224^2</f>
        <v/>
      </c>
      <c r="AD224" s="15">
        <f>ABS(N224)</f>
        <v/>
      </c>
      <c r="AE224" s="15">
        <f>IF(M224&gt;0, ABS(N224)*(L224-$D$16),0)</f>
        <v/>
      </c>
    </row>
    <row r="225">
      <c r="L225" s="15" t="n">
        <v>223</v>
      </c>
      <c r="M225" s="15">
        <f>IF(L225&lt;$D$16,$D$12,IF(L225&lt;$E$16,$E$12,$F$13))</f>
        <v/>
      </c>
      <c r="N225" s="15">
        <f>M225-V225</f>
        <v/>
      </c>
      <c r="O225" s="15">
        <f>IF(MOD(L225,$B$11)=0,OFFSET(O225,-$B$11,0)+ $E$2*N225+$E$3*OFFSET(N225,-$B$11,0)+ $E$4*OFFSET(N225,-2* $B$11,0), O224)</f>
        <v/>
      </c>
      <c r="P225" s="15">
        <f>INT((2^$J$12-1)*O225/100)/(2^$J$12-1)*100</f>
        <v/>
      </c>
      <c r="Q225" s="15" t="n">
        <v>0</v>
      </c>
      <c r="R225" s="15">
        <f>P225+Q225</f>
        <v/>
      </c>
      <c r="S225" s="15">
        <f>$I$1*S224-$I$2*S223+$I$3*R204+$I$4*R203</f>
        <v/>
      </c>
      <c r="T225" s="15" t="n">
        <v>0</v>
      </c>
      <c r="U225" s="15">
        <f>S225+T225</f>
        <v/>
      </c>
      <c r="V225" s="15">
        <f>INT((2^$J$12-1)*U225/100)/(2^$J$12-1)*100</f>
        <v/>
      </c>
      <c r="X225" s="15">
        <f>M225 * 1.05</f>
        <v/>
      </c>
      <c r="Y225" s="15">
        <f>M225 * 0.95</f>
        <v/>
      </c>
      <c r="Z225" s="15">
        <f>IF(AND(V225 &lt;= X225, V225 &gt;= Y225), 1, 0)</f>
        <v/>
      </c>
      <c r="AC225" s="15">
        <f>N225^2</f>
        <v/>
      </c>
      <c r="AD225" s="15">
        <f>ABS(N225)</f>
        <v/>
      </c>
      <c r="AE225" s="15">
        <f>IF(M225&gt;0, ABS(N225)*(L225-$D$16),0)</f>
        <v/>
      </c>
    </row>
    <row r="226">
      <c r="L226" s="15" t="n">
        <v>224</v>
      </c>
      <c r="M226" s="15">
        <f>IF(L226&lt;$D$16,$D$12,IF(L226&lt;$E$16,$E$12,$F$13))</f>
        <v/>
      </c>
      <c r="N226" s="15">
        <f>M226-V226</f>
        <v/>
      </c>
      <c r="O226" s="15">
        <f>IF(MOD(L226,$B$11)=0,OFFSET(O226,-$B$11,0)+ $E$2*N226+$E$3*OFFSET(N226,-$B$11,0)+ $E$4*OFFSET(N226,-2* $B$11,0), O225)</f>
        <v/>
      </c>
      <c r="P226" s="15">
        <f>INT((2^$J$12-1)*O226/100)/(2^$J$12-1)*100</f>
        <v/>
      </c>
      <c r="Q226" s="15" t="n">
        <v>0</v>
      </c>
      <c r="R226" s="15">
        <f>P226+Q226</f>
        <v/>
      </c>
      <c r="S226" s="15">
        <f>$I$1*S225-$I$2*S224+$I$3*R205+$I$4*R204</f>
        <v/>
      </c>
      <c r="T226" s="15" t="n">
        <v>0</v>
      </c>
      <c r="U226" s="15">
        <f>S226+T226</f>
        <v/>
      </c>
      <c r="V226" s="15">
        <f>INT((2^$J$12-1)*U226/100)/(2^$J$12-1)*100</f>
        <v/>
      </c>
      <c r="X226" s="15">
        <f>M226 * 1.05</f>
        <v/>
      </c>
      <c r="Y226" s="15">
        <f>M226 * 0.95</f>
        <v/>
      </c>
      <c r="Z226" s="15">
        <f>IF(AND(V226 &lt;= X226, V226 &gt;= Y226), 1, 0)</f>
        <v/>
      </c>
      <c r="AC226" s="15">
        <f>N226^2</f>
        <v/>
      </c>
      <c r="AD226" s="15">
        <f>ABS(N226)</f>
        <v/>
      </c>
      <c r="AE226" s="15">
        <f>IF(M226&gt;0, ABS(N226)*(L226-$D$16),0)</f>
        <v/>
      </c>
    </row>
    <row r="227">
      <c r="L227" s="15" t="n">
        <v>225</v>
      </c>
      <c r="M227" s="15">
        <f>IF(L227&lt;$D$16,$D$12,IF(L227&lt;$E$16,$E$12,$F$13))</f>
        <v/>
      </c>
      <c r="N227" s="15">
        <f>M227-V227</f>
        <v/>
      </c>
      <c r="O227" s="15">
        <f>IF(MOD(L227,$B$11)=0,OFFSET(O227,-$B$11,0)+ $E$2*N227+$E$3*OFFSET(N227,-$B$11,0)+ $E$4*OFFSET(N227,-2* $B$11,0), O226)</f>
        <v/>
      </c>
      <c r="P227" s="15">
        <f>INT((2^$J$12-1)*O227/100)/(2^$J$12-1)*100</f>
        <v/>
      </c>
      <c r="Q227" s="15" t="n">
        <v>0</v>
      </c>
      <c r="R227" s="15">
        <f>P227+Q227</f>
        <v/>
      </c>
      <c r="S227" s="15">
        <f>$I$1*S226-$I$2*S225+$I$3*R206+$I$4*R205</f>
        <v/>
      </c>
      <c r="T227" s="15" t="n">
        <v>0</v>
      </c>
      <c r="U227" s="15">
        <f>S227+T227</f>
        <v/>
      </c>
      <c r="V227" s="15">
        <f>INT((2^$J$12-1)*U227/100)/(2^$J$12-1)*100</f>
        <v/>
      </c>
      <c r="X227" s="15">
        <f>M227 * 1.05</f>
        <v/>
      </c>
      <c r="Y227" s="15">
        <f>M227 * 0.95</f>
        <v/>
      </c>
      <c r="Z227" s="15">
        <f>IF(AND(V227 &lt;= X227, V227 &gt;= Y227), 1, 0)</f>
        <v/>
      </c>
      <c r="AC227" s="15">
        <f>N227^2</f>
        <v/>
      </c>
      <c r="AD227" s="15">
        <f>ABS(N227)</f>
        <v/>
      </c>
      <c r="AE227" s="15">
        <f>IF(M227&gt;0, ABS(N227)*(L227-$D$16),0)</f>
        <v/>
      </c>
    </row>
    <row r="228">
      <c r="L228" s="15" t="n">
        <v>226</v>
      </c>
      <c r="M228" s="15">
        <f>IF(L228&lt;$D$16,$D$12,IF(L228&lt;$E$16,$E$12,$F$13))</f>
        <v/>
      </c>
      <c r="N228" s="15">
        <f>M228-V228</f>
        <v/>
      </c>
      <c r="O228" s="15">
        <f>IF(MOD(L228,$B$11)=0,OFFSET(O228,-$B$11,0)+ $E$2*N228+$E$3*OFFSET(N228,-$B$11,0)+ $E$4*OFFSET(N228,-2* $B$11,0), O227)</f>
        <v/>
      </c>
      <c r="P228" s="15">
        <f>INT((2^$J$12-1)*O228/100)/(2^$J$12-1)*100</f>
        <v/>
      </c>
      <c r="Q228" s="15" t="n">
        <v>0</v>
      </c>
      <c r="R228" s="15">
        <f>P228+Q228</f>
        <v/>
      </c>
      <c r="S228" s="15">
        <f>$I$1*S227-$I$2*S226+$I$3*R207+$I$4*R206</f>
        <v/>
      </c>
      <c r="T228" s="15" t="n">
        <v>0</v>
      </c>
      <c r="U228" s="15">
        <f>S228+T228</f>
        <v/>
      </c>
      <c r="V228" s="15">
        <f>INT((2^$J$12-1)*U228/100)/(2^$J$12-1)*100</f>
        <v/>
      </c>
      <c r="X228" s="15">
        <f>M228 * 1.05</f>
        <v/>
      </c>
      <c r="Y228" s="15">
        <f>M228 * 0.95</f>
        <v/>
      </c>
      <c r="Z228" s="15">
        <f>IF(AND(V228 &lt;= X228, V228 &gt;= Y228), 1, 0)</f>
        <v/>
      </c>
      <c r="AC228" s="15">
        <f>N228^2</f>
        <v/>
      </c>
      <c r="AD228" s="15">
        <f>ABS(N228)</f>
        <v/>
      </c>
      <c r="AE228" s="15">
        <f>IF(M228&gt;0, ABS(N228)*(L228-$D$16),0)</f>
        <v/>
      </c>
    </row>
    <row r="229">
      <c r="L229" s="15" t="n">
        <v>227</v>
      </c>
      <c r="M229" s="15">
        <f>IF(L229&lt;$D$16,$D$12,IF(L229&lt;$E$16,$E$12,$F$13))</f>
        <v/>
      </c>
      <c r="N229" s="15">
        <f>M229-V229</f>
        <v/>
      </c>
      <c r="O229" s="15">
        <f>IF(MOD(L229,$B$11)=0,OFFSET(O229,-$B$11,0)+ $E$2*N229+$E$3*OFFSET(N229,-$B$11,0)+ $E$4*OFFSET(N229,-2* $B$11,0), O228)</f>
        <v/>
      </c>
      <c r="P229" s="15">
        <f>INT((2^$J$12-1)*O229/100)/(2^$J$12-1)*100</f>
        <v/>
      </c>
      <c r="Q229" s="15" t="n">
        <v>0</v>
      </c>
      <c r="R229" s="15">
        <f>P229+Q229</f>
        <v/>
      </c>
      <c r="S229" s="15">
        <f>$I$1*S228-$I$2*S227+$I$3*R208+$I$4*R207</f>
        <v/>
      </c>
      <c r="T229" s="15" t="n">
        <v>0</v>
      </c>
      <c r="U229" s="15">
        <f>S229+T229</f>
        <v/>
      </c>
      <c r="V229" s="15">
        <f>INT((2^$J$12-1)*U229/100)/(2^$J$12-1)*100</f>
        <v/>
      </c>
      <c r="X229" s="15">
        <f>M229 * 1.05</f>
        <v/>
      </c>
      <c r="Y229" s="15">
        <f>M229 * 0.95</f>
        <v/>
      </c>
      <c r="Z229" s="15">
        <f>IF(AND(V229 &lt;= X229, V229 &gt;= Y229), 1, 0)</f>
        <v/>
      </c>
      <c r="AC229" s="15">
        <f>N229^2</f>
        <v/>
      </c>
      <c r="AD229" s="15">
        <f>ABS(N229)</f>
        <v/>
      </c>
      <c r="AE229" s="15">
        <f>IF(M229&gt;0, ABS(N229)*(L229-$D$16),0)</f>
        <v/>
      </c>
    </row>
    <row r="230">
      <c r="L230" s="15" t="n">
        <v>228</v>
      </c>
      <c r="M230" s="15">
        <f>IF(L230&lt;$D$16,$D$12,IF(L230&lt;$E$16,$E$12,$F$13))</f>
        <v/>
      </c>
      <c r="N230" s="15">
        <f>M230-V230</f>
        <v/>
      </c>
      <c r="O230" s="15">
        <f>IF(MOD(L230,$B$11)=0,OFFSET(O230,-$B$11,0)+ $E$2*N230+$E$3*OFFSET(N230,-$B$11,0)+ $E$4*OFFSET(N230,-2* $B$11,0), O229)</f>
        <v/>
      </c>
      <c r="P230" s="15">
        <f>INT((2^$J$12-1)*O230/100)/(2^$J$12-1)*100</f>
        <v/>
      </c>
      <c r="Q230" s="15" t="n">
        <v>0</v>
      </c>
      <c r="R230" s="15">
        <f>P230+Q230</f>
        <v/>
      </c>
      <c r="S230" s="15">
        <f>$I$1*S229-$I$2*S228+$I$3*R209+$I$4*R208</f>
        <v/>
      </c>
      <c r="T230" s="15" t="n">
        <v>0</v>
      </c>
      <c r="U230" s="15">
        <f>S230+T230</f>
        <v/>
      </c>
      <c r="V230" s="15">
        <f>INT((2^$J$12-1)*U230/100)/(2^$J$12-1)*100</f>
        <v/>
      </c>
      <c r="X230" s="15">
        <f>M230 * 1.05</f>
        <v/>
      </c>
      <c r="Y230" s="15">
        <f>M230 * 0.95</f>
        <v/>
      </c>
      <c r="Z230" s="15">
        <f>IF(AND(V230 &lt;= X230, V230 &gt;= Y230), 1, 0)</f>
        <v/>
      </c>
      <c r="AC230" s="15">
        <f>N230^2</f>
        <v/>
      </c>
      <c r="AD230" s="15">
        <f>ABS(N230)</f>
        <v/>
      </c>
      <c r="AE230" s="15">
        <f>IF(M230&gt;0, ABS(N230)*(L230-$D$16),0)</f>
        <v/>
      </c>
    </row>
    <row r="231">
      <c r="L231" s="15" t="n">
        <v>229</v>
      </c>
      <c r="M231" s="15">
        <f>IF(L231&lt;$D$16,$D$12,IF(L231&lt;$E$16,$E$12,$F$13))</f>
        <v/>
      </c>
      <c r="N231" s="15">
        <f>M231-V231</f>
        <v/>
      </c>
      <c r="O231" s="15">
        <f>IF(MOD(L231,$B$11)=0,OFFSET(O231,-$B$11,0)+ $E$2*N231+$E$3*OFFSET(N231,-$B$11,0)+ $E$4*OFFSET(N231,-2* $B$11,0), O230)</f>
        <v/>
      </c>
      <c r="P231" s="15">
        <f>INT((2^$J$12-1)*O231/100)/(2^$J$12-1)*100</f>
        <v/>
      </c>
      <c r="Q231" s="15" t="n">
        <v>0</v>
      </c>
      <c r="R231" s="15">
        <f>P231+Q231</f>
        <v/>
      </c>
      <c r="S231" s="15">
        <f>$I$1*S230-$I$2*S229+$I$3*R210+$I$4*R209</f>
        <v/>
      </c>
      <c r="T231" s="15" t="n">
        <v>0</v>
      </c>
      <c r="U231" s="15">
        <f>S231+T231</f>
        <v/>
      </c>
      <c r="V231" s="15">
        <f>INT((2^$J$12-1)*U231/100)/(2^$J$12-1)*100</f>
        <v/>
      </c>
      <c r="X231" s="15">
        <f>M231 * 1.05</f>
        <v/>
      </c>
      <c r="Y231" s="15">
        <f>M231 * 0.95</f>
        <v/>
      </c>
      <c r="Z231" s="15">
        <f>IF(AND(V231 &lt;= X231, V231 &gt;= Y231), 1, 0)</f>
        <v/>
      </c>
      <c r="AC231" s="15">
        <f>N231^2</f>
        <v/>
      </c>
      <c r="AD231" s="15">
        <f>ABS(N231)</f>
        <v/>
      </c>
      <c r="AE231" s="15">
        <f>IF(M231&gt;0, ABS(N231)*(L231-$D$16),0)</f>
        <v/>
      </c>
    </row>
    <row r="232">
      <c r="L232" s="15" t="n">
        <v>230</v>
      </c>
      <c r="M232" s="15">
        <f>IF(L232&lt;$D$16,$D$12,IF(L232&lt;$E$16,$E$12,$F$13))</f>
        <v/>
      </c>
      <c r="N232" s="15">
        <f>M232-V232</f>
        <v/>
      </c>
      <c r="O232" s="15">
        <f>IF(MOD(L232,$B$11)=0,OFFSET(O232,-$B$11,0)+ $E$2*N232+$E$3*OFFSET(N232,-$B$11,0)+ $E$4*OFFSET(N232,-2* $B$11,0), O231)</f>
        <v/>
      </c>
      <c r="P232" s="15">
        <f>INT((2^$J$12-1)*O232/100)/(2^$J$12-1)*100</f>
        <v/>
      </c>
      <c r="Q232" s="15" t="n">
        <v>0</v>
      </c>
      <c r="R232" s="15">
        <f>P232+Q232</f>
        <v/>
      </c>
      <c r="S232" s="15">
        <f>$I$1*S231-$I$2*S230+$I$3*R211+$I$4*R210</f>
        <v/>
      </c>
      <c r="T232" s="15" t="n">
        <v>0</v>
      </c>
      <c r="U232" s="15">
        <f>S232+T232</f>
        <v/>
      </c>
      <c r="V232" s="15">
        <f>INT((2^$J$12-1)*U232/100)/(2^$J$12-1)*100</f>
        <v/>
      </c>
      <c r="X232" s="15">
        <f>M232 * 1.05</f>
        <v/>
      </c>
      <c r="Y232" s="15">
        <f>M232 * 0.95</f>
        <v/>
      </c>
      <c r="Z232" s="15">
        <f>IF(AND(V232 &lt;= X232, V232 &gt;= Y232), 1, 0)</f>
        <v/>
      </c>
      <c r="AC232" s="15">
        <f>N232^2</f>
        <v/>
      </c>
      <c r="AD232" s="15">
        <f>ABS(N232)</f>
        <v/>
      </c>
      <c r="AE232" s="15">
        <f>IF(M232&gt;0, ABS(N232)*(L232-$D$16),0)</f>
        <v/>
      </c>
    </row>
    <row r="233">
      <c r="L233" s="15" t="n">
        <v>231</v>
      </c>
      <c r="M233" s="15">
        <f>IF(L233&lt;$D$16,$D$12,IF(L233&lt;$E$16,$E$12,$F$13))</f>
        <v/>
      </c>
      <c r="N233" s="15">
        <f>M233-V233</f>
        <v/>
      </c>
      <c r="O233" s="15">
        <f>IF(MOD(L233,$B$11)=0,OFFSET(O233,-$B$11,0)+ $E$2*N233+$E$3*OFFSET(N233,-$B$11,0)+ $E$4*OFFSET(N233,-2* $B$11,0), O232)</f>
        <v/>
      </c>
      <c r="P233" s="15">
        <f>INT((2^$J$12-1)*O233/100)/(2^$J$12-1)*100</f>
        <v/>
      </c>
      <c r="Q233" s="15" t="n">
        <v>0</v>
      </c>
      <c r="R233" s="15">
        <f>P233+Q233</f>
        <v/>
      </c>
      <c r="S233" s="15">
        <f>$I$1*S232-$I$2*S231+$I$3*R212+$I$4*R211</f>
        <v/>
      </c>
      <c r="T233" s="15" t="n">
        <v>0</v>
      </c>
      <c r="U233" s="15">
        <f>S233+T233</f>
        <v/>
      </c>
      <c r="V233" s="15">
        <f>INT((2^$J$12-1)*U233/100)/(2^$J$12-1)*100</f>
        <v/>
      </c>
      <c r="X233" s="15">
        <f>M233 * 1.05</f>
        <v/>
      </c>
      <c r="Y233" s="15">
        <f>M233 * 0.95</f>
        <v/>
      </c>
      <c r="Z233" s="15">
        <f>IF(AND(V233 &lt;= X233, V233 &gt;= Y233), 1, 0)</f>
        <v/>
      </c>
      <c r="AC233" s="15">
        <f>N233^2</f>
        <v/>
      </c>
      <c r="AD233" s="15">
        <f>ABS(N233)</f>
        <v/>
      </c>
      <c r="AE233" s="15">
        <f>IF(M233&gt;0, ABS(N233)*(L233-$D$16),0)</f>
        <v/>
      </c>
    </row>
    <row r="234">
      <c r="L234" s="15" t="n">
        <v>232</v>
      </c>
      <c r="M234" s="15">
        <f>IF(L234&lt;$D$16,$D$12,IF(L234&lt;$E$16,$E$12,$F$13))</f>
        <v/>
      </c>
      <c r="N234" s="15">
        <f>M234-V234</f>
        <v/>
      </c>
      <c r="O234" s="15">
        <f>IF(MOD(L234,$B$11)=0,OFFSET(O234,-$B$11,0)+ $E$2*N234+$E$3*OFFSET(N234,-$B$11,0)+ $E$4*OFFSET(N234,-2* $B$11,0), O233)</f>
        <v/>
      </c>
      <c r="P234" s="15">
        <f>INT((2^$J$12-1)*O234/100)/(2^$J$12-1)*100</f>
        <v/>
      </c>
      <c r="Q234" s="15" t="n">
        <v>0</v>
      </c>
      <c r="R234" s="15">
        <f>P234+Q234</f>
        <v/>
      </c>
      <c r="S234" s="15">
        <f>$I$1*S233-$I$2*S232+$I$3*R213+$I$4*R212</f>
        <v/>
      </c>
      <c r="T234" s="15" t="n">
        <v>0</v>
      </c>
      <c r="U234" s="15">
        <f>S234+T234</f>
        <v/>
      </c>
      <c r="V234" s="15">
        <f>INT((2^$J$12-1)*U234/100)/(2^$J$12-1)*100</f>
        <v/>
      </c>
      <c r="X234" s="15">
        <f>M234 * 1.05</f>
        <v/>
      </c>
      <c r="Y234" s="15">
        <f>M234 * 0.95</f>
        <v/>
      </c>
      <c r="Z234" s="15">
        <f>IF(AND(V234 &lt;= X234, V234 &gt;= Y234), 1, 0)</f>
        <v/>
      </c>
      <c r="AC234" s="15">
        <f>N234^2</f>
        <v/>
      </c>
      <c r="AD234" s="15">
        <f>ABS(N234)</f>
        <v/>
      </c>
      <c r="AE234" s="15">
        <f>IF(M234&gt;0, ABS(N234)*(L234-$D$16),0)</f>
        <v/>
      </c>
    </row>
    <row r="235">
      <c r="L235" s="15" t="n">
        <v>233</v>
      </c>
      <c r="M235" s="15">
        <f>IF(L235&lt;$D$16,$D$12,IF(L235&lt;$E$16,$E$12,$F$13))</f>
        <v/>
      </c>
      <c r="N235" s="15">
        <f>M235-V235</f>
        <v/>
      </c>
      <c r="O235" s="15">
        <f>IF(MOD(L235,$B$11)=0,OFFSET(O235,-$B$11,0)+ $E$2*N235+$E$3*OFFSET(N235,-$B$11,0)+ $E$4*OFFSET(N235,-2* $B$11,0), O234)</f>
        <v/>
      </c>
      <c r="P235" s="15">
        <f>INT((2^$J$12-1)*O235/100)/(2^$J$12-1)*100</f>
        <v/>
      </c>
      <c r="Q235" s="15" t="n">
        <v>0</v>
      </c>
      <c r="R235" s="15">
        <f>P235+Q235</f>
        <v/>
      </c>
      <c r="S235" s="15">
        <f>$I$1*S234-$I$2*S233+$I$3*R214+$I$4*R213</f>
        <v/>
      </c>
      <c r="T235" s="15" t="n">
        <v>0</v>
      </c>
      <c r="U235" s="15">
        <f>S235+T235</f>
        <v/>
      </c>
      <c r="V235" s="15">
        <f>INT((2^$J$12-1)*U235/100)/(2^$J$12-1)*100</f>
        <v/>
      </c>
      <c r="X235" s="15">
        <f>M235 * 1.05</f>
        <v/>
      </c>
      <c r="Y235" s="15">
        <f>M235 * 0.95</f>
        <v/>
      </c>
      <c r="Z235" s="15">
        <f>IF(AND(V235 &lt;= X235, V235 &gt;= Y235), 1, 0)</f>
        <v/>
      </c>
      <c r="AC235" s="15">
        <f>N235^2</f>
        <v/>
      </c>
      <c r="AD235" s="15">
        <f>ABS(N235)</f>
        <v/>
      </c>
      <c r="AE235" s="15">
        <f>IF(M235&gt;0, ABS(N235)*(L235-$D$16),0)</f>
        <v/>
      </c>
    </row>
    <row r="236">
      <c r="L236" s="15" t="n">
        <v>234</v>
      </c>
      <c r="M236" s="15">
        <f>IF(L236&lt;$D$16,$D$12,IF(L236&lt;$E$16,$E$12,$F$13))</f>
        <v/>
      </c>
      <c r="N236" s="15">
        <f>M236-V236</f>
        <v/>
      </c>
      <c r="O236" s="15">
        <f>IF(MOD(L236,$B$11)=0,OFFSET(O236,-$B$11,0)+ $E$2*N236+$E$3*OFFSET(N236,-$B$11,0)+ $E$4*OFFSET(N236,-2* $B$11,0), O235)</f>
        <v/>
      </c>
      <c r="P236" s="15">
        <f>INT((2^$J$12-1)*O236/100)/(2^$J$12-1)*100</f>
        <v/>
      </c>
      <c r="Q236" s="15" t="n">
        <v>0</v>
      </c>
      <c r="R236" s="15">
        <f>P236+Q236</f>
        <v/>
      </c>
      <c r="S236" s="15">
        <f>$I$1*S235-$I$2*S234+$I$3*R215+$I$4*R214</f>
        <v/>
      </c>
      <c r="T236" s="15" t="n">
        <v>0</v>
      </c>
      <c r="U236" s="15">
        <f>S236+T236</f>
        <v/>
      </c>
      <c r="V236" s="15">
        <f>INT((2^$J$12-1)*U236/100)/(2^$J$12-1)*100</f>
        <v/>
      </c>
      <c r="X236" s="15">
        <f>M236 * 1.05</f>
        <v/>
      </c>
      <c r="Y236" s="15">
        <f>M236 * 0.95</f>
        <v/>
      </c>
      <c r="Z236" s="15">
        <f>IF(AND(V236 &lt;= X236, V236 &gt;= Y236), 1, 0)</f>
        <v/>
      </c>
      <c r="AC236" s="15">
        <f>N236^2</f>
        <v/>
      </c>
      <c r="AD236" s="15">
        <f>ABS(N236)</f>
        <v/>
      </c>
      <c r="AE236" s="15">
        <f>IF(M236&gt;0, ABS(N236)*(L236-$D$16),0)</f>
        <v/>
      </c>
    </row>
    <row r="237">
      <c r="L237" s="15" t="n">
        <v>235</v>
      </c>
      <c r="M237" s="15">
        <f>IF(L237&lt;$D$16,$D$12,IF(L237&lt;$E$16,$E$12,$F$13))</f>
        <v/>
      </c>
      <c r="N237" s="15">
        <f>M237-V237</f>
        <v/>
      </c>
      <c r="O237" s="15">
        <f>IF(MOD(L237,$B$11)=0,OFFSET(O237,-$B$11,0)+ $E$2*N237+$E$3*OFFSET(N237,-$B$11,0)+ $E$4*OFFSET(N237,-2* $B$11,0), O236)</f>
        <v/>
      </c>
      <c r="P237" s="15">
        <f>INT((2^$J$12-1)*O237/100)/(2^$J$12-1)*100</f>
        <v/>
      </c>
      <c r="Q237" s="15" t="n">
        <v>0</v>
      </c>
      <c r="R237" s="15">
        <f>P237+Q237</f>
        <v/>
      </c>
      <c r="S237" s="15">
        <f>$I$1*S236-$I$2*S235+$I$3*R216+$I$4*R215</f>
        <v/>
      </c>
      <c r="T237" s="15" t="n">
        <v>0</v>
      </c>
      <c r="U237" s="15">
        <f>S237+T237</f>
        <v/>
      </c>
      <c r="V237" s="15">
        <f>INT((2^$J$12-1)*U237/100)/(2^$J$12-1)*100</f>
        <v/>
      </c>
      <c r="X237" s="15">
        <f>M237 * 1.05</f>
        <v/>
      </c>
      <c r="Y237" s="15">
        <f>M237 * 0.95</f>
        <v/>
      </c>
      <c r="Z237" s="15">
        <f>IF(AND(V237 &lt;= X237, V237 &gt;= Y237), 1, 0)</f>
        <v/>
      </c>
      <c r="AC237" s="15">
        <f>N237^2</f>
        <v/>
      </c>
      <c r="AD237" s="15">
        <f>ABS(N237)</f>
        <v/>
      </c>
      <c r="AE237" s="15">
        <f>IF(M237&gt;0, ABS(N237)*(L237-$D$16),0)</f>
        <v/>
      </c>
    </row>
    <row r="238">
      <c r="L238" s="15" t="n">
        <v>236</v>
      </c>
      <c r="M238" s="15">
        <f>IF(L238&lt;$D$16,$D$12,IF(L238&lt;$E$16,$E$12,$F$13))</f>
        <v/>
      </c>
      <c r="N238" s="15">
        <f>M238-V238</f>
        <v/>
      </c>
      <c r="O238" s="15">
        <f>IF(MOD(L238,$B$11)=0,OFFSET(O238,-$B$11,0)+ $E$2*N238+$E$3*OFFSET(N238,-$B$11,0)+ $E$4*OFFSET(N238,-2* $B$11,0), O237)</f>
        <v/>
      </c>
      <c r="P238" s="15">
        <f>INT((2^$J$12-1)*O238/100)/(2^$J$12-1)*100</f>
        <v/>
      </c>
      <c r="Q238" s="15" t="n">
        <v>0</v>
      </c>
      <c r="R238" s="15">
        <f>P238+Q238</f>
        <v/>
      </c>
      <c r="S238" s="15">
        <f>$I$1*S237-$I$2*S236+$I$3*R217+$I$4*R216</f>
        <v/>
      </c>
      <c r="T238" s="15" t="n">
        <v>0</v>
      </c>
      <c r="U238" s="15">
        <f>S238+T238</f>
        <v/>
      </c>
      <c r="V238" s="15">
        <f>INT((2^$J$12-1)*U238/100)/(2^$J$12-1)*100</f>
        <v/>
      </c>
      <c r="X238" s="15">
        <f>M238 * 1.05</f>
        <v/>
      </c>
      <c r="Y238" s="15">
        <f>M238 * 0.95</f>
        <v/>
      </c>
      <c r="Z238" s="15">
        <f>IF(AND(V238 &lt;= X238, V238 &gt;= Y238), 1, 0)</f>
        <v/>
      </c>
      <c r="AC238" s="15">
        <f>N238^2</f>
        <v/>
      </c>
      <c r="AD238" s="15">
        <f>ABS(N238)</f>
        <v/>
      </c>
      <c r="AE238" s="15">
        <f>IF(M238&gt;0, ABS(N238)*(L238-$D$16),0)</f>
        <v/>
      </c>
    </row>
    <row r="239">
      <c r="L239" s="15" t="n">
        <v>237</v>
      </c>
      <c r="M239" s="15">
        <f>IF(L239&lt;$D$16,$D$12,IF(L239&lt;$E$16,$E$12,$F$13))</f>
        <v/>
      </c>
      <c r="N239" s="15">
        <f>M239-V239</f>
        <v/>
      </c>
      <c r="O239" s="15">
        <f>IF(MOD(L239,$B$11)=0,OFFSET(O239,-$B$11,0)+ $E$2*N239+$E$3*OFFSET(N239,-$B$11,0)+ $E$4*OFFSET(N239,-2* $B$11,0), O238)</f>
        <v/>
      </c>
      <c r="P239" s="15">
        <f>INT((2^$J$12-1)*O239/100)/(2^$J$12-1)*100</f>
        <v/>
      </c>
      <c r="Q239" s="15" t="n">
        <v>0</v>
      </c>
      <c r="R239" s="15">
        <f>P239+Q239</f>
        <v/>
      </c>
      <c r="S239" s="15">
        <f>$I$1*S238-$I$2*S237+$I$3*R218+$I$4*R217</f>
        <v/>
      </c>
      <c r="T239" s="15" t="n">
        <v>0</v>
      </c>
      <c r="U239" s="15">
        <f>S239+T239</f>
        <v/>
      </c>
      <c r="V239" s="15">
        <f>INT((2^$J$12-1)*U239/100)/(2^$J$12-1)*100</f>
        <v/>
      </c>
      <c r="X239" s="15">
        <f>M239 * 1.05</f>
        <v/>
      </c>
      <c r="Y239" s="15">
        <f>M239 * 0.95</f>
        <v/>
      </c>
      <c r="Z239" s="15">
        <f>IF(AND(V239 &lt;= X239, V239 &gt;= Y239), 1, 0)</f>
        <v/>
      </c>
      <c r="AC239" s="15">
        <f>N239^2</f>
        <v/>
      </c>
      <c r="AD239" s="15">
        <f>ABS(N239)</f>
        <v/>
      </c>
      <c r="AE239" s="15">
        <f>IF(M239&gt;0, ABS(N239)*(L239-$D$16),0)</f>
        <v/>
      </c>
    </row>
    <row r="240">
      <c r="L240" s="15" t="n">
        <v>238</v>
      </c>
      <c r="M240" s="15">
        <f>IF(L240&lt;$D$16,$D$12,IF(L240&lt;$E$16,$E$12,$F$13))</f>
        <v/>
      </c>
      <c r="N240" s="15">
        <f>M240-V240</f>
        <v/>
      </c>
      <c r="O240" s="15">
        <f>IF(MOD(L240,$B$11)=0,OFFSET(O240,-$B$11,0)+ $E$2*N240+$E$3*OFFSET(N240,-$B$11,0)+ $E$4*OFFSET(N240,-2* $B$11,0), O239)</f>
        <v/>
      </c>
      <c r="P240" s="15">
        <f>INT((2^$J$12-1)*O240/100)/(2^$J$12-1)*100</f>
        <v/>
      </c>
      <c r="Q240" s="15" t="n">
        <v>0</v>
      </c>
      <c r="R240" s="15">
        <f>P240+Q240</f>
        <v/>
      </c>
      <c r="S240" s="15">
        <f>$I$1*S239-$I$2*S238+$I$3*R219+$I$4*R218</f>
        <v/>
      </c>
      <c r="T240" s="15" t="n">
        <v>0</v>
      </c>
      <c r="U240" s="15">
        <f>S240+T240</f>
        <v/>
      </c>
      <c r="V240" s="15">
        <f>INT((2^$J$12-1)*U240/100)/(2^$J$12-1)*100</f>
        <v/>
      </c>
      <c r="X240" s="15">
        <f>M240 * 1.05</f>
        <v/>
      </c>
      <c r="Y240" s="15">
        <f>M240 * 0.95</f>
        <v/>
      </c>
      <c r="Z240" s="15">
        <f>IF(AND(V240 &lt;= X240, V240 &gt;= Y240), 1, 0)</f>
        <v/>
      </c>
      <c r="AC240" s="15">
        <f>N240^2</f>
        <v/>
      </c>
      <c r="AD240" s="15">
        <f>ABS(N240)</f>
        <v/>
      </c>
      <c r="AE240" s="15">
        <f>IF(M240&gt;0, ABS(N240)*(L240-$D$16),0)</f>
        <v/>
      </c>
    </row>
    <row r="241">
      <c r="L241" s="15" t="n">
        <v>239</v>
      </c>
      <c r="M241" s="15">
        <f>IF(L241&lt;$D$16,$D$12,IF(L241&lt;$E$16,$E$12,$F$13))</f>
        <v/>
      </c>
      <c r="N241" s="15">
        <f>M241-V241</f>
        <v/>
      </c>
      <c r="O241" s="15">
        <f>IF(MOD(L241,$B$11)=0,OFFSET(O241,-$B$11,0)+ $E$2*N241+$E$3*OFFSET(N241,-$B$11,0)+ $E$4*OFFSET(N241,-2* $B$11,0), O240)</f>
        <v/>
      </c>
      <c r="P241" s="15">
        <f>INT((2^$J$12-1)*O241/100)/(2^$J$12-1)*100</f>
        <v/>
      </c>
      <c r="Q241" s="15" t="n">
        <v>0</v>
      </c>
      <c r="R241" s="15">
        <f>P241+Q241</f>
        <v/>
      </c>
      <c r="S241" s="15">
        <f>$I$1*S240-$I$2*S239+$I$3*R220+$I$4*R219</f>
        <v/>
      </c>
      <c r="T241" s="15" t="n">
        <v>0</v>
      </c>
      <c r="U241" s="15">
        <f>S241+T241</f>
        <v/>
      </c>
      <c r="V241" s="15">
        <f>INT((2^$J$12-1)*U241/100)/(2^$J$12-1)*100</f>
        <v/>
      </c>
      <c r="X241" s="15">
        <f>M241 * 1.05</f>
        <v/>
      </c>
      <c r="Y241" s="15">
        <f>M241 * 0.95</f>
        <v/>
      </c>
      <c r="Z241" s="15">
        <f>IF(AND(V241 &lt;= X241, V241 &gt;= Y241), 1, 0)</f>
        <v/>
      </c>
      <c r="AC241" s="15">
        <f>N241^2</f>
        <v/>
      </c>
      <c r="AD241" s="15">
        <f>ABS(N241)</f>
        <v/>
      </c>
      <c r="AE241" s="15">
        <f>IF(M241&gt;0, ABS(N241)*(L241-$D$16),0)</f>
        <v/>
      </c>
    </row>
    <row r="242">
      <c r="L242" s="15" t="n">
        <v>240</v>
      </c>
      <c r="M242" s="15">
        <f>IF(L242&lt;$D$16,$D$12,IF(L242&lt;$E$16,$E$12,$F$13))</f>
        <v/>
      </c>
      <c r="N242" s="15">
        <f>M242-V242</f>
        <v/>
      </c>
      <c r="O242" s="15">
        <f>IF(MOD(L242,$B$11)=0,OFFSET(O242,-$B$11,0)+ $E$2*N242+$E$3*OFFSET(N242,-$B$11,0)+ $E$4*OFFSET(N242,-2* $B$11,0), O241)</f>
        <v/>
      </c>
      <c r="P242" s="15">
        <f>INT((2^$J$12-1)*O242/100)/(2^$J$12-1)*100</f>
        <v/>
      </c>
      <c r="Q242" s="15" t="n">
        <v>0</v>
      </c>
      <c r="R242" s="15">
        <f>P242+Q242</f>
        <v/>
      </c>
      <c r="S242" s="15">
        <f>$I$1*S241-$I$2*S240+$I$3*R221+$I$4*R220</f>
        <v/>
      </c>
      <c r="T242" s="15" t="n">
        <v>0</v>
      </c>
      <c r="U242" s="15">
        <f>S242+T242</f>
        <v/>
      </c>
      <c r="V242" s="15">
        <f>INT((2^$J$12-1)*U242/100)/(2^$J$12-1)*100</f>
        <v/>
      </c>
      <c r="X242" s="15">
        <f>M242 * 1.05</f>
        <v/>
      </c>
      <c r="Y242" s="15">
        <f>M242 * 0.95</f>
        <v/>
      </c>
      <c r="Z242" s="15">
        <f>IF(AND(V242 &lt;= X242, V242 &gt;= Y242), 1, 0)</f>
        <v/>
      </c>
      <c r="AC242" s="15">
        <f>N242^2</f>
        <v/>
      </c>
      <c r="AD242" s="15">
        <f>ABS(N242)</f>
        <v/>
      </c>
      <c r="AE242" s="15">
        <f>IF(M242&gt;0, ABS(N242)*(L242-$D$16),0)</f>
        <v/>
      </c>
    </row>
    <row r="243">
      <c r="L243" s="15" t="n">
        <v>241</v>
      </c>
      <c r="M243" s="15">
        <f>IF(L243&lt;$D$16,$D$12,IF(L243&lt;$E$16,$E$12,$F$13))</f>
        <v/>
      </c>
      <c r="N243" s="15">
        <f>M243-V243</f>
        <v/>
      </c>
      <c r="O243" s="15">
        <f>IF(MOD(L243,$B$11)=0,OFFSET(O243,-$B$11,0)+ $E$2*N243+$E$3*OFFSET(N243,-$B$11,0)+ $E$4*OFFSET(N243,-2* $B$11,0), O242)</f>
        <v/>
      </c>
      <c r="P243" s="15">
        <f>INT((2^$J$12-1)*O243/100)/(2^$J$12-1)*100</f>
        <v/>
      </c>
      <c r="Q243" s="15" t="n">
        <v>0</v>
      </c>
      <c r="R243" s="15">
        <f>P243+Q243</f>
        <v/>
      </c>
      <c r="S243" s="15">
        <f>$I$1*S242-$I$2*S241+$I$3*R222+$I$4*R221</f>
        <v/>
      </c>
      <c r="T243" s="15" t="n">
        <v>0</v>
      </c>
      <c r="U243" s="15">
        <f>S243+T243</f>
        <v/>
      </c>
      <c r="V243" s="15">
        <f>INT((2^$J$12-1)*U243/100)/(2^$J$12-1)*100</f>
        <v/>
      </c>
      <c r="X243" s="15">
        <f>M243 * 1.05</f>
        <v/>
      </c>
      <c r="Y243" s="15">
        <f>M243 * 0.95</f>
        <v/>
      </c>
      <c r="Z243" s="15">
        <f>IF(AND(V243 &lt;= X243, V243 &gt;= Y243), 1, 0)</f>
        <v/>
      </c>
      <c r="AC243" s="15">
        <f>N243^2</f>
        <v/>
      </c>
      <c r="AD243" s="15">
        <f>ABS(N243)</f>
        <v/>
      </c>
      <c r="AE243" s="15">
        <f>IF(M243&gt;0, ABS(N243)*(L243-$D$16),0)</f>
        <v/>
      </c>
    </row>
    <row r="244">
      <c r="L244" s="15" t="n">
        <v>242</v>
      </c>
      <c r="M244" s="15">
        <f>IF(L244&lt;$D$16,$D$12,IF(L244&lt;$E$16,$E$12,$F$13))</f>
        <v/>
      </c>
      <c r="N244" s="15">
        <f>M244-V244</f>
        <v/>
      </c>
      <c r="O244" s="15">
        <f>IF(MOD(L244,$B$11)=0,OFFSET(O244,-$B$11,0)+ $E$2*N244+$E$3*OFFSET(N244,-$B$11,0)+ $E$4*OFFSET(N244,-2* $B$11,0), O243)</f>
        <v/>
      </c>
      <c r="P244" s="15">
        <f>INT((2^$J$12-1)*O244/100)/(2^$J$12-1)*100</f>
        <v/>
      </c>
      <c r="Q244" s="15" t="n">
        <v>0</v>
      </c>
      <c r="R244" s="15">
        <f>P244+Q244</f>
        <v/>
      </c>
      <c r="S244" s="15">
        <f>$I$1*S243-$I$2*S242+$I$3*R223+$I$4*R222</f>
        <v/>
      </c>
      <c r="T244" s="15" t="n">
        <v>0</v>
      </c>
      <c r="U244" s="15">
        <f>S244+T244</f>
        <v/>
      </c>
      <c r="V244" s="15">
        <f>INT((2^$J$12-1)*U244/100)/(2^$J$12-1)*100</f>
        <v/>
      </c>
      <c r="X244" s="15">
        <f>M244 * 1.05</f>
        <v/>
      </c>
      <c r="Y244" s="15">
        <f>M244 * 0.95</f>
        <v/>
      </c>
      <c r="Z244" s="15">
        <f>IF(AND(V244 &lt;= X244, V244 &gt;= Y244), 1, 0)</f>
        <v/>
      </c>
      <c r="AC244" s="15">
        <f>N244^2</f>
        <v/>
      </c>
      <c r="AD244" s="15">
        <f>ABS(N244)</f>
        <v/>
      </c>
      <c r="AE244" s="15">
        <f>IF(M244&gt;0, ABS(N244)*(L244-$D$16),0)</f>
        <v/>
      </c>
    </row>
    <row r="245">
      <c r="L245" s="15" t="n">
        <v>243</v>
      </c>
      <c r="M245" s="15">
        <f>IF(L245&lt;$D$16,$D$12,IF(L245&lt;$E$16,$E$12,$F$13))</f>
        <v/>
      </c>
      <c r="N245" s="15">
        <f>M245-V245</f>
        <v/>
      </c>
      <c r="O245" s="15">
        <f>IF(MOD(L245,$B$11)=0,OFFSET(O245,-$B$11,0)+ $E$2*N245+$E$3*OFFSET(N245,-$B$11,0)+ $E$4*OFFSET(N245,-2* $B$11,0), O244)</f>
        <v/>
      </c>
      <c r="P245" s="15">
        <f>INT((2^$J$12-1)*O245/100)/(2^$J$12-1)*100</f>
        <v/>
      </c>
      <c r="Q245" s="15" t="n">
        <v>0</v>
      </c>
      <c r="R245" s="15">
        <f>P245+Q245</f>
        <v/>
      </c>
      <c r="S245" s="15">
        <f>$I$1*S244-$I$2*S243+$I$3*R224+$I$4*R223</f>
        <v/>
      </c>
      <c r="T245" s="15" t="n">
        <v>0</v>
      </c>
      <c r="U245" s="15">
        <f>S245+T245</f>
        <v/>
      </c>
      <c r="V245" s="15">
        <f>INT((2^$J$12-1)*U245/100)/(2^$J$12-1)*100</f>
        <v/>
      </c>
      <c r="X245" s="15">
        <f>M245 * 1.05</f>
        <v/>
      </c>
      <c r="Y245" s="15">
        <f>M245 * 0.95</f>
        <v/>
      </c>
      <c r="Z245" s="15">
        <f>IF(AND(V245 &lt;= X245, V245 &gt;= Y245), 1, 0)</f>
        <v/>
      </c>
      <c r="AC245" s="15">
        <f>N245^2</f>
        <v/>
      </c>
      <c r="AD245" s="15">
        <f>ABS(N245)</f>
        <v/>
      </c>
      <c r="AE245" s="15">
        <f>IF(M245&gt;0, ABS(N245)*(L245-$D$16),0)</f>
        <v/>
      </c>
    </row>
    <row r="246">
      <c r="L246" s="15" t="n">
        <v>244</v>
      </c>
      <c r="M246" s="15">
        <f>IF(L246&lt;$D$16,$D$12,IF(L246&lt;$E$16,$E$12,$F$13))</f>
        <v/>
      </c>
      <c r="N246" s="15">
        <f>M246-V246</f>
        <v/>
      </c>
      <c r="O246" s="15">
        <f>IF(MOD(L246,$B$11)=0,OFFSET(O246,-$B$11,0)+ $E$2*N246+$E$3*OFFSET(N246,-$B$11,0)+ $E$4*OFFSET(N246,-2* $B$11,0), O245)</f>
        <v/>
      </c>
      <c r="P246" s="15">
        <f>INT((2^$J$12-1)*O246/100)/(2^$J$12-1)*100</f>
        <v/>
      </c>
      <c r="Q246" s="15" t="n">
        <v>0</v>
      </c>
      <c r="R246" s="15">
        <f>P246+Q246</f>
        <v/>
      </c>
      <c r="S246" s="15">
        <f>$I$1*S245-$I$2*S244+$I$3*R225+$I$4*R224</f>
        <v/>
      </c>
      <c r="T246" s="15" t="n">
        <v>0</v>
      </c>
      <c r="U246" s="15">
        <f>S246+T246</f>
        <v/>
      </c>
      <c r="V246" s="15">
        <f>INT((2^$J$12-1)*U246/100)/(2^$J$12-1)*100</f>
        <v/>
      </c>
      <c r="X246" s="15">
        <f>M246 * 1.05</f>
        <v/>
      </c>
      <c r="Y246" s="15">
        <f>M246 * 0.95</f>
        <v/>
      </c>
      <c r="Z246" s="15">
        <f>IF(AND(V246 &lt;= X246, V246 &gt;= Y246), 1, 0)</f>
        <v/>
      </c>
      <c r="AC246" s="15">
        <f>N246^2</f>
        <v/>
      </c>
      <c r="AD246" s="15">
        <f>ABS(N246)</f>
        <v/>
      </c>
      <c r="AE246" s="15">
        <f>IF(M246&gt;0, ABS(N246)*(L246-$D$16),0)</f>
        <v/>
      </c>
    </row>
    <row r="247">
      <c r="L247" s="15" t="n">
        <v>245</v>
      </c>
      <c r="M247" s="15">
        <f>IF(L247&lt;$D$16,$D$12,IF(L247&lt;$E$16,$E$12,$F$13))</f>
        <v/>
      </c>
      <c r="N247" s="15">
        <f>M247-V247</f>
        <v/>
      </c>
      <c r="O247" s="15">
        <f>IF(MOD(L247,$B$11)=0,OFFSET(O247,-$B$11,0)+ $E$2*N247+$E$3*OFFSET(N247,-$B$11,0)+ $E$4*OFFSET(N247,-2* $B$11,0), O246)</f>
        <v/>
      </c>
      <c r="P247" s="15">
        <f>INT((2^$J$12-1)*O247/100)/(2^$J$12-1)*100</f>
        <v/>
      </c>
      <c r="Q247" s="15" t="n">
        <v>0</v>
      </c>
      <c r="R247" s="15">
        <f>P247+Q247</f>
        <v/>
      </c>
      <c r="S247" s="15">
        <f>$I$1*S246-$I$2*S245+$I$3*R226+$I$4*R225</f>
        <v/>
      </c>
      <c r="T247" s="15" t="n">
        <v>0</v>
      </c>
      <c r="U247" s="15">
        <f>S247+T247</f>
        <v/>
      </c>
      <c r="V247" s="15">
        <f>INT((2^$J$12-1)*U247/100)/(2^$J$12-1)*100</f>
        <v/>
      </c>
      <c r="X247" s="15">
        <f>M247 * 1.05</f>
        <v/>
      </c>
      <c r="Y247" s="15">
        <f>M247 * 0.95</f>
        <v/>
      </c>
      <c r="Z247" s="15">
        <f>IF(AND(V247 &lt;= X247, V247 &gt;= Y247), 1, 0)</f>
        <v/>
      </c>
      <c r="AC247" s="15">
        <f>N247^2</f>
        <v/>
      </c>
      <c r="AD247" s="15">
        <f>ABS(N247)</f>
        <v/>
      </c>
      <c r="AE247" s="15">
        <f>IF(M247&gt;0, ABS(N247)*(L247-$D$16),0)</f>
        <v/>
      </c>
    </row>
    <row r="248">
      <c r="L248" s="15" t="n">
        <v>246</v>
      </c>
      <c r="M248" s="15">
        <f>IF(L248&lt;$D$16,$D$12,IF(L248&lt;$E$16,$E$12,$F$13))</f>
        <v/>
      </c>
      <c r="N248" s="15">
        <f>M248-V248</f>
        <v/>
      </c>
      <c r="O248" s="15">
        <f>IF(MOD(L248,$B$11)=0,OFFSET(O248,-$B$11,0)+ $E$2*N248+$E$3*OFFSET(N248,-$B$11,0)+ $E$4*OFFSET(N248,-2* $B$11,0), O247)</f>
        <v/>
      </c>
      <c r="P248" s="15">
        <f>INT((2^$J$12-1)*O248/100)/(2^$J$12-1)*100</f>
        <v/>
      </c>
      <c r="Q248" s="15" t="n">
        <v>0</v>
      </c>
      <c r="R248" s="15">
        <f>P248+Q248</f>
        <v/>
      </c>
      <c r="S248" s="15">
        <f>$I$1*S247-$I$2*S246+$I$3*R227+$I$4*R226</f>
        <v/>
      </c>
      <c r="T248" s="15" t="n">
        <v>0</v>
      </c>
      <c r="U248" s="15">
        <f>S248+T248</f>
        <v/>
      </c>
      <c r="V248" s="15">
        <f>INT((2^$J$12-1)*U248/100)/(2^$J$12-1)*100</f>
        <v/>
      </c>
      <c r="X248" s="15">
        <f>M248 * 1.05</f>
        <v/>
      </c>
      <c r="Y248" s="15">
        <f>M248 * 0.95</f>
        <v/>
      </c>
      <c r="Z248" s="15">
        <f>IF(AND(V248 &lt;= X248, V248 &gt;= Y248), 1, 0)</f>
        <v/>
      </c>
      <c r="AC248" s="15">
        <f>N248^2</f>
        <v/>
      </c>
      <c r="AD248" s="15">
        <f>ABS(N248)</f>
        <v/>
      </c>
      <c r="AE248" s="15">
        <f>IF(M248&gt;0, ABS(N248)*(L248-$D$16),0)</f>
        <v/>
      </c>
    </row>
    <row r="249">
      <c r="L249" s="15" t="n">
        <v>247</v>
      </c>
      <c r="M249" s="15">
        <f>IF(L249&lt;$D$16,$D$12,IF(L249&lt;$E$16,$E$12,$F$13))</f>
        <v/>
      </c>
      <c r="N249" s="15">
        <f>M249-V249</f>
        <v/>
      </c>
      <c r="O249" s="15">
        <f>IF(MOD(L249,$B$11)=0,OFFSET(O249,-$B$11,0)+ $E$2*N249+$E$3*OFFSET(N249,-$B$11,0)+ $E$4*OFFSET(N249,-2* $B$11,0), O248)</f>
        <v/>
      </c>
      <c r="P249" s="15">
        <f>INT((2^$J$12-1)*O249/100)/(2^$J$12-1)*100</f>
        <v/>
      </c>
      <c r="Q249" s="15" t="n">
        <v>0</v>
      </c>
      <c r="R249" s="15">
        <f>P249+Q249</f>
        <v/>
      </c>
      <c r="S249" s="15">
        <f>$I$1*S248-$I$2*S247+$I$3*R228+$I$4*R227</f>
        <v/>
      </c>
      <c r="T249" s="15" t="n">
        <v>0</v>
      </c>
      <c r="U249" s="15">
        <f>S249+T249</f>
        <v/>
      </c>
      <c r="V249" s="15">
        <f>INT((2^$J$12-1)*U249/100)/(2^$J$12-1)*100</f>
        <v/>
      </c>
      <c r="X249" s="15">
        <f>M249 * 1.05</f>
        <v/>
      </c>
      <c r="Y249" s="15">
        <f>M249 * 0.95</f>
        <v/>
      </c>
      <c r="Z249" s="15">
        <f>IF(AND(V249 &lt;= X249, V249 &gt;= Y249), 1, 0)</f>
        <v/>
      </c>
      <c r="AC249" s="15">
        <f>N249^2</f>
        <v/>
      </c>
      <c r="AD249" s="15">
        <f>ABS(N249)</f>
        <v/>
      </c>
      <c r="AE249" s="15">
        <f>IF(M249&gt;0, ABS(N249)*(L249-$D$16),0)</f>
        <v/>
      </c>
    </row>
    <row r="250">
      <c r="L250" s="15" t="n">
        <v>248</v>
      </c>
      <c r="M250" s="15">
        <f>IF(L250&lt;$D$16,$D$12,IF(L250&lt;$E$16,$E$12,$F$13))</f>
        <v/>
      </c>
      <c r="N250" s="15">
        <f>M250-V250</f>
        <v/>
      </c>
      <c r="O250" s="15">
        <f>IF(MOD(L250,$B$11)=0,OFFSET(O250,-$B$11,0)+ $E$2*N250+$E$3*OFFSET(N250,-$B$11,0)+ $E$4*OFFSET(N250,-2* $B$11,0), O249)</f>
        <v/>
      </c>
      <c r="P250" s="15">
        <f>INT((2^$J$12-1)*O250/100)/(2^$J$12-1)*100</f>
        <v/>
      </c>
      <c r="Q250" s="15" t="n">
        <v>0</v>
      </c>
      <c r="R250" s="15">
        <f>P250+Q250</f>
        <v/>
      </c>
      <c r="S250" s="15">
        <f>$I$1*S249-$I$2*S248+$I$3*R229+$I$4*R228</f>
        <v/>
      </c>
      <c r="T250" s="15" t="n">
        <v>0</v>
      </c>
      <c r="U250" s="15">
        <f>S250+T250</f>
        <v/>
      </c>
      <c r="V250" s="15">
        <f>INT((2^$J$12-1)*U250/100)/(2^$J$12-1)*100</f>
        <v/>
      </c>
      <c r="X250" s="15">
        <f>M250 * 1.05</f>
        <v/>
      </c>
      <c r="Y250" s="15">
        <f>M250 * 0.95</f>
        <v/>
      </c>
      <c r="Z250" s="15">
        <f>IF(AND(V250 &lt;= X250, V250 &gt;= Y250), 1, 0)</f>
        <v/>
      </c>
      <c r="AC250" s="15">
        <f>N250^2</f>
        <v/>
      </c>
      <c r="AD250" s="15">
        <f>ABS(N250)</f>
        <v/>
      </c>
      <c r="AE250" s="15">
        <f>IF(M250&gt;0, ABS(N250)*(L250-$D$16),0)</f>
        <v/>
      </c>
    </row>
    <row r="251">
      <c r="L251" s="15" t="n">
        <v>249</v>
      </c>
      <c r="M251" s="15">
        <f>IF(L251&lt;$D$16,$D$12,IF(L251&lt;$E$16,$E$12,$F$13))</f>
        <v/>
      </c>
      <c r="N251" s="15">
        <f>M251-V251</f>
        <v/>
      </c>
      <c r="O251" s="15">
        <f>IF(MOD(L251,$B$11)=0,OFFSET(O251,-$B$11,0)+ $E$2*N251+$E$3*OFFSET(N251,-$B$11,0)+ $E$4*OFFSET(N251,-2* $B$11,0), O250)</f>
        <v/>
      </c>
      <c r="P251" s="15">
        <f>INT((2^$J$12-1)*O251/100)/(2^$J$12-1)*100</f>
        <v/>
      </c>
      <c r="Q251" s="15" t="n">
        <v>0</v>
      </c>
      <c r="R251" s="15">
        <f>P251+Q251</f>
        <v/>
      </c>
      <c r="S251" s="15">
        <f>$I$1*S250-$I$2*S249+$I$3*R230+$I$4*R229</f>
        <v/>
      </c>
      <c r="T251" s="15" t="n">
        <v>0</v>
      </c>
      <c r="U251" s="15">
        <f>S251+T251</f>
        <v/>
      </c>
      <c r="V251" s="15">
        <f>INT((2^$J$12-1)*U251/100)/(2^$J$12-1)*100</f>
        <v/>
      </c>
      <c r="X251" s="15">
        <f>M251 * 1.05</f>
        <v/>
      </c>
      <c r="Y251" s="15">
        <f>M251 * 0.95</f>
        <v/>
      </c>
      <c r="Z251" s="15">
        <f>IF(AND(V251 &lt;= X251, V251 &gt;= Y251), 1, 0)</f>
        <v/>
      </c>
      <c r="AC251" s="15">
        <f>N251^2</f>
        <v/>
      </c>
      <c r="AD251" s="15">
        <f>ABS(N251)</f>
        <v/>
      </c>
      <c r="AE251" s="15">
        <f>IF(M251&gt;0, ABS(N251)*(L251-$D$16),0)</f>
        <v/>
      </c>
    </row>
    <row r="252">
      <c r="L252" s="15" t="n">
        <v>250</v>
      </c>
      <c r="M252" s="15">
        <f>IF(L252&lt;$D$16,$D$12,IF(L252&lt;$E$16,$E$12,$F$13))</f>
        <v/>
      </c>
      <c r="N252" s="15">
        <f>M252-V252</f>
        <v/>
      </c>
      <c r="O252" s="15">
        <f>IF(MOD(L252,$B$11)=0,OFFSET(O252,-$B$11,0)+ $E$2*N252+$E$3*OFFSET(N252,-$B$11,0)+ $E$4*OFFSET(N252,-2* $B$11,0), O251)</f>
        <v/>
      </c>
      <c r="P252" s="15">
        <f>INT((2^$J$12-1)*O252/100)/(2^$J$12-1)*100</f>
        <v/>
      </c>
      <c r="Q252" s="15" t="n">
        <v>0</v>
      </c>
      <c r="R252" s="15">
        <f>P252+Q252</f>
        <v/>
      </c>
      <c r="S252" s="15">
        <f>$I$1*S251-$I$2*S250+$I$3*R231+$I$4*R230</f>
        <v/>
      </c>
      <c r="T252" s="15" t="n">
        <v>0</v>
      </c>
      <c r="U252" s="15">
        <f>S252+T252</f>
        <v/>
      </c>
      <c r="V252" s="15">
        <f>INT((2^$J$12-1)*U252/100)/(2^$J$12-1)*100</f>
        <v/>
      </c>
      <c r="X252" s="15">
        <f>M252 * 1.05</f>
        <v/>
      </c>
      <c r="Y252" s="15">
        <f>M252 * 0.95</f>
        <v/>
      </c>
      <c r="Z252" s="15">
        <f>IF(AND(V252 &lt;= X252, V252 &gt;= Y252), 1, 0)</f>
        <v/>
      </c>
      <c r="AC252" s="15">
        <f>N252^2</f>
        <v/>
      </c>
      <c r="AD252" s="15">
        <f>ABS(N252)</f>
        <v/>
      </c>
      <c r="AE252" s="15">
        <f>IF(M252&gt;0, ABS(N252)*(L252-$D$16),0)</f>
        <v/>
      </c>
    </row>
    <row r="253">
      <c r="L253" s="15" t="n">
        <v>251</v>
      </c>
      <c r="M253" s="15">
        <f>IF(L253&lt;$D$16,$D$12,IF(L253&lt;$E$16,$E$12,$F$13))</f>
        <v/>
      </c>
      <c r="N253" s="15">
        <f>M253-V253</f>
        <v/>
      </c>
      <c r="O253" s="15">
        <f>IF(MOD(L253,$B$11)=0,OFFSET(O253,-$B$11,0)+ $E$2*N253+$E$3*OFFSET(N253,-$B$11,0)+ $E$4*OFFSET(N253,-2* $B$11,0), O252)</f>
        <v/>
      </c>
      <c r="P253" s="15">
        <f>INT((2^$J$12-1)*O253/100)/(2^$J$12-1)*100</f>
        <v/>
      </c>
      <c r="Q253" s="15" t="n">
        <v>0</v>
      </c>
      <c r="R253" s="15">
        <f>P253+Q253</f>
        <v/>
      </c>
      <c r="S253" s="15">
        <f>$I$1*S252-$I$2*S251+$I$3*R232+$I$4*R231</f>
        <v/>
      </c>
      <c r="T253" s="15" t="n">
        <v>0</v>
      </c>
      <c r="U253" s="15">
        <f>S253+T253</f>
        <v/>
      </c>
      <c r="V253" s="15">
        <f>INT((2^$J$12-1)*U253/100)/(2^$J$12-1)*100</f>
        <v/>
      </c>
      <c r="X253" s="15">
        <f>M253 * 1.05</f>
        <v/>
      </c>
      <c r="Y253" s="15">
        <f>M253 * 0.95</f>
        <v/>
      </c>
      <c r="Z253" s="15">
        <f>IF(AND(V253 &lt;= X253, V253 &gt;= Y253), 1, 0)</f>
        <v/>
      </c>
      <c r="AC253" s="15">
        <f>N253^2</f>
        <v/>
      </c>
      <c r="AD253" s="15">
        <f>ABS(N253)</f>
        <v/>
      </c>
      <c r="AE253" s="15">
        <f>IF(M253&gt;0, ABS(N253)*(L253-$D$16),0)</f>
        <v/>
      </c>
    </row>
    <row r="254">
      <c r="L254" s="15" t="n">
        <v>252</v>
      </c>
      <c r="M254" s="15">
        <f>IF(L254&lt;$D$16,$D$12,IF(L254&lt;$E$16,$E$12,$F$13))</f>
        <v/>
      </c>
      <c r="N254" s="15">
        <f>M254-V254</f>
        <v/>
      </c>
      <c r="O254" s="15">
        <f>IF(MOD(L254,$B$11)=0,OFFSET(O254,-$B$11,0)+ $E$2*N254+$E$3*OFFSET(N254,-$B$11,0)+ $E$4*OFFSET(N254,-2* $B$11,0), O253)</f>
        <v/>
      </c>
      <c r="P254" s="15">
        <f>INT((2^$J$12-1)*O254/100)/(2^$J$12-1)*100</f>
        <v/>
      </c>
      <c r="Q254" s="15" t="n">
        <v>0</v>
      </c>
      <c r="R254" s="15">
        <f>P254+Q254</f>
        <v/>
      </c>
      <c r="S254" s="15">
        <f>$I$1*S253-$I$2*S252+$I$3*R233+$I$4*R232</f>
        <v/>
      </c>
      <c r="T254" s="15" t="n">
        <v>0</v>
      </c>
      <c r="U254" s="15">
        <f>S254+T254</f>
        <v/>
      </c>
      <c r="V254" s="15">
        <f>INT((2^$J$12-1)*U254/100)/(2^$J$12-1)*100</f>
        <v/>
      </c>
      <c r="X254" s="15">
        <f>M254 * 1.05</f>
        <v/>
      </c>
      <c r="Y254" s="15">
        <f>M254 * 0.95</f>
        <v/>
      </c>
      <c r="Z254" s="15">
        <f>IF(AND(V254 &lt;= X254, V254 &gt;= Y254), 1, 0)</f>
        <v/>
      </c>
      <c r="AC254" s="15">
        <f>N254^2</f>
        <v/>
      </c>
      <c r="AD254" s="15">
        <f>ABS(N254)</f>
        <v/>
      </c>
      <c r="AE254" s="15">
        <f>IF(M254&gt;0, ABS(N254)*(L254-$D$16),0)</f>
        <v/>
      </c>
    </row>
    <row r="255">
      <c r="L255" s="15" t="n">
        <v>253</v>
      </c>
      <c r="M255" s="15">
        <f>IF(L255&lt;$D$16,$D$12,IF(L255&lt;$E$16,$E$12,$F$13))</f>
        <v/>
      </c>
      <c r="N255" s="15">
        <f>M255-V255</f>
        <v/>
      </c>
      <c r="O255" s="15">
        <f>IF(MOD(L255,$B$11)=0,OFFSET(O255,-$B$11,0)+ $E$2*N255+$E$3*OFFSET(N255,-$B$11,0)+ $E$4*OFFSET(N255,-2* $B$11,0), O254)</f>
        <v/>
      </c>
      <c r="P255" s="15">
        <f>INT((2^$J$12-1)*O255/100)/(2^$J$12-1)*100</f>
        <v/>
      </c>
      <c r="Q255" s="15" t="n">
        <v>0</v>
      </c>
      <c r="R255" s="15">
        <f>P255+Q255</f>
        <v/>
      </c>
      <c r="S255" s="15">
        <f>$I$1*S254-$I$2*S253+$I$3*R234+$I$4*R233</f>
        <v/>
      </c>
      <c r="T255" s="15" t="n">
        <v>0</v>
      </c>
      <c r="U255" s="15">
        <f>S255+T255</f>
        <v/>
      </c>
      <c r="V255" s="15">
        <f>INT((2^$J$12-1)*U255/100)/(2^$J$12-1)*100</f>
        <v/>
      </c>
      <c r="X255" s="15">
        <f>M255 * 1.05</f>
        <v/>
      </c>
      <c r="Y255" s="15">
        <f>M255 * 0.95</f>
        <v/>
      </c>
      <c r="Z255" s="15">
        <f>IF(AND(V255 &lt;= X255, V255 &gt;= Y255), 1, 0)</f>
        <v/>
      </c>
      <c r="AC255" s="15">
        <f>N255^2</f>
        <v/>
      </c>
      <c r="AD255" s="15">
        <f>ABS(N255)</f>
        <v/>
      </c>
      <c r="AE255" s="15">
        <f>IF(M255&gt;0, ABS(N255)*(L255-$D$16),0)</f>
        <v/>
      </c>
    </row>
    <row r="256">
      <c r="L256" s="15" t="n">
        <v>254</v>
      </c>
      <c r="M256" s="15">
        <f>IF(L256&lt;$D$16,$D$12,IF(L256&lt;$E$16,$E$12,$F$13))</f>
        <v/>
      </c>
      <c r="N256" s="15">
        <f>M256-V256</f>
        <v/>
      </c>
      <c r="O256" s="15">
        <f>IF(MOD(L256,$B$11)=0,OFFSET(O256,-$B$11,0)+ $E$2*N256+$E$3*OFFSET(N256,-$B$11,0)+ $E$4*OFFSET(N256,-2* $B$11,0), O255)</f>
        <v/>
      </c>
      <c r="P256" s="15">
        <f>INT((2^$J$12-1)*O256/100)/(2^$J$12-1)*100</f>
        <v/>
      </c>
      <c r="Q256" s="15" t="n">
        <v>0</v>
      </c>
      <c r="R256" s="15">
        <f>P256+Q256</f>
        <v/>
      </c>
      <c r="S256" s="15">
        <f>$I$1*S255-$I$2*S254+$I$3*R235+$I$4*R234</f>
        <v/>
      </c>
      <c r="T256" s="15" t="n">
        <v>0</v>
      </c>
      <c r="U256" s="15">
        <f>S256+T256</f>
        <v/>
      </c>
      <c r="V256" s="15">
        <f>INT((2^$J$12-1)*U256/100)/(2^$J$12-1)*100</f>
        <v/>
      </c>
      <c r="X256" s="15">
        <f>M256 * 1.05</f>
        <v/>
      </c>
      <c r="Y256" s="15">
        <f>M256 * 0.95</f>
        <v/>
      </c>
      <c r="Z256" s="15">
        <f>IF(AND(V256 &lt;= X256, V256 &gt;= Y256), 1, 0)</f>
        <v/>
      </c>
      <c r="AC256" s="15">
        <f>N256^2</f>
        <v/>
      </c>
      <c r="AD256" s="15">
        <f>ABS(N256)</f>
        <v/>
      </c>
      <c r="AE256" s="15">
        <f>IF(M256&gt;0, ABS(N256)*(L256-$D$16),0)</f>
        <v/>
      </c>
    </row>
    <row r="257">
      <c r="L257" s="15" t="n">
        <v>255</v>
      </c>
      <c r="M257" s="15">
        <f>IF(L257&lt;$D$16,$D$12,IF(L257&lt;$E$16,$E$12,$F$13))</f>
        <v/>
      </c>
      <c r="N257" s="15">
        <f>M257-V257</f>
        <v/>
      </c>
      <c r="O257" s="15">
        <f>IF(MOD(L257,$B$11)=0,OFFSET(O257,-$B$11,0)+ $E$2*N257+$E$3*OFFSET(N257,-$B$11,0)+ $E$4*OFFSET(N257,-2* $B$11,0), O256)</f>
        <v/>
      </c>
      <c r="P257" s="15">
        <f>INT((2^$J$12-1)*O257/100)/(2^$J$12-1)*100</f>
        <v/>
      </c>
      <c r="Q257" s="15" t="n">
        <v>0</v>
      </c>
      <c r="R257" s="15">
        <f>P257+Q257</f>
        <v/>
      </c>
      <c r="S257" s="15">
        <f>$I$1*S256-$I$2*S255+$I$3*R236+$I$4*R235</f>
        <v/>
      </c>
      <c r="T257" s="15" t="n">
        <v>0</v>
      </c>
      <c r="U257" s="15">
        <f>S257+T257</f>
        <v/>
      </c>
      <c r="V257" s="15">
        <f>INT((2^$J$12-1)*U257/100)/(2^$J$12-1)*100</f>
        <v/>
      </c>
      <c r="X257" s="15">
        <f>M257 * 1.05</f>
        <v/>
      </c>
      <c r="Y257" s="15">
        <f>M257 * 0.95</f>
        <v/>
      </c>
      <c r="Z257" s="15">
        <f>IF(AND(V257 &lt;= X257, V257 &gt;= Y257), 1, 0)</f>
        <v/>
      </c>
      <c r="AC257" s="15">
        <f>N257^2</f>
        <v/>
      </c>
      <c r="AD257" s="15">
        <f>ABS(N257)</f>
        <v/>
      </c>
      <c r="AE257" s="15">
        <f>IF(M257&gt;0, ABS(N257)*(L257-$D$16),0)</f>
        <v/>
      </c>
    </row>
    <row r="258">
      <c r="L258" s="15" t="n">
        <v>256</v>
      </c>
      <c r="M258" s="15">
        <f>IF(L258&lt;$D$16,$D$12,IF(L258&lt;$E$16,$E$12,$F$13))</f>
        <v/>
      </c>
      <c r="N258" s="15">
        <f>M258-V258</f>
        <v/>
      </c>
      <c r="O258" s="15">
        <f>IF(MOD(L258,$B$11)=0,OFFSET(O258,-$B$11,0)+ $E$2*N258+$E$3*OFFSET(N258,-$B$11,0)+ $E$4*OFFSET(N258,-2* $B$11,0), O257)</f>
        <v/>
      </c>
      <c r="P258" s="15">
        <f>INT((2^$J$12-1)*O258/100)/(2^$J$12-1)*100</f>
        <v/>
      </c>
      <c r="Q258" s="15" t="n">
        <v>0</v>
      </c>
      <c r="R258" s="15">
        <f>P258+Q258</f>
        <v/>
      </c>
      <c r="S258" s="15">
        <f>$I$1*S257-$I$2*S256+$I$3*R237+$I$4*R236</f>
        <v/>
      </c>
      <c r="T258" s="15" t="n">
        <v>0</v>
      </c>
      <c r="U258" s="15">
        <f>S258+T258</f>
        <v/>
      </c>
      <c r="V258" s="15">
        <f>INT((2^$J$12-1)*U258/100)/(2^$J$12-1)*100</f>
        <v/>
      </c>
      <c r="X258" s="15">
        <f>M258 * 1.05</f>
        <v/>
      </c>
      <c r="Y258" s="15">
        <f>M258 * 0.95</f>
        <v/>
      </c>
      <c r="Z258" s="15">
        <f>IF(AND(V258 &lt;= X258, V258 &gt;= Y258), 1, 0)</f>
        <v/>
      </c>
      <c r="AC258" s="15">
        <f>N258^2</f>
        <v/>
      </c>
      <c r="AD258" s="15">
        <f>ABS(N258)</f>
        <v/>
      </c>
      <c r="AE258" s="15">
        <f>IF(M258&gt;0, ABS(N258)*(L258-$D$16),0)</f>
        <v/>
      </c>
    </row>
    <row r="259">
      <c r="L259" s="15" t="n">
        <v>257</v>
      </c>
      <c r="M259" s="15">
        <f>IF(L259&lt;$D$16,$D$12,IF(L259&lt;$E$16,$E$12,$F$13))</f>
        <v/>
      </c>
      <c r="N259" s="15">
        <f>M259-V259</f>
        <v/>
      </c>
      <c r="O259" s="15">
        <f>IF(MOD(L259,$B$11)=0,OFFSET(O259,-$B$11,0)+ $E$2*N259+$E$3*OFFSET(N259,-$B$11,0)+ $E$4*OFFSET(N259,-2* $B$11,0), O258)</f>
        <v/>
      </c>
      <c r="P259" s="15">
        <f>INT((2^$J$12-1)*O259/100)/(2^$J$12-1)*100</f>
        <v/>
      </c>
      <c r="Q259" s="15" t="n">
        <v>0</v>
      </c>
      <c r="R259" s="15">
        <f>P259+Q259</f>
        <v/>
      </c>
      <c r="S259" s="15">
        <f>$I$1*S258-$I$2*S257+$I$3*R238+$I$4*R237</f>
        <v/>
      </c>
      <c r="T259" s="15" t="n">
        <v>0</v>
      </c>
      <c r="U259" s="15">
        <f>S259+T259</f>
        <v/>
      </c>
      <c r="V259" s="15">
        <f>INT((2^$J$12-1)*U259/100)/(2^$J$12-1)*100</f>
        <v/>
      </c>
      <c r="X259" s="15">
        <f>M259 * 1.05</f>
        <v/>
      </c>
      <c r="Y259" s="15">
        <f>M259 * 0.95</f>
        <v/>
      </c>
      <c r="Z259" s="15">
        <f>IF(AND(V259 &lt;= X259, V259 &gt;= Y259), 1, 0)</f>
        <v/>
      </c>
      <c r="AC259" s="15">
        <f>N259^2</f>
        <v/>
      </c>
      <c r="AD259" s="15">
        <f>ABS(N259)</f>
        <v/>
      </c>
      <c r="AE259" s="15">
        <f>IF(M259&gt;0, ABS(N259)*(L259-$D$16),0)</f>
        <v/>
      </c>
    </row>
    <row r="260">
      <c r="L260" s="15" t="n">
        <v>258</v>
      </c>
      <c r="M260" s="15">
        <f>IF(L260&lt;$D$16,$D$12,IF(L260&lt;$E$16,$E$12,$F$13))</f>
        <v/>
      </c>
      <c r="N260" s="15">
        <f>M260-V260</f>
        <v/>
      </c>
      <c r="O260" s="15">
        <f>IF(MOD(L260,$B$11)=0,OFFSET(O260,-$B$11,0)+ $E$2*N260+$E$3*OFFSET(N260,-$B$11,0)+ $E$4*OFFSET(N260,-2* $B$11,0), O259)</f>
        <v/>
      </c>
      <c r="P260" s="15">
        <f>INT((2^$J$12-1)*O260/100)/(2^$J$12-1)*100</f>
        <v/>
      </c>
      <c r="Q260" s="15" t="n">
        <v>0</v>
      </c>
      <c r="R260" s="15">
        <f>P260+Q260</f>
        <v/>
      </c>
      <c r="S260" s="15">
        <f>$I$1*S259-$I$2*S258+$I$3*R239+$I$4*R238</f>
        <v/>
      </c>
      <c r="T260" s="15" t="n">
        <v>0</v>
      </c>
      <c r="U260" s="15">
        <f>S260+T260</f>
        <v/>
      </c>
      <c r="V260" s="15">
        <f>INT((2^$J$12-1)*U260/100)/(2^$J$12-1)*100</f>
        <v/>
      </c>
      <c r="X260" s="15">
        <f>M260 * 1.05</f>
        <v/>
      </c>
      <c r="Y260" s="15">
        <f>M260 * 0.95</f>
        <v/>
      </c>
      <c r="Z260" s="15">
        <f>IF(AND(V260 &lt;= X260, V260 &gt;= Y260), 1, 0)</f>
        <v/>
      </c>
      <c r="AC260" s="15">
        <f>N260^2</f>
        <v/>
      </c>
      <c r="AD260" s="15">
        <f>ABS(N260)</f>
        <v/>
      </c>
      <c r="AE260" s="15">
        <f>IF(M260&gt;0, ABS(N260)*(L260-$D$16),0)</f>
        <v/>
      </c>
    </row>
    <row r="261">
      <c r="L261" s="15" t="n">
        <v>259</v>
      </c>
      <c r="M261" s="15">
        <f>IF(L261&lt;$D$16,$D$12,IF(L261&lt;$E$16,$E$12,$F$13))</f>
        <v/>
      </c>
      <c r="N261" s="15">
        <f>M261-V261</f>
        <v/>
      </c>
      <c r="O261" s="15">
        <f>IF(MOD(L261,$B$11)=0,OFFSET(O261,-$B$11,0)+ $E$2*N261+$E$3*OFFSET(N261,-$B$11,0)+ $E$4*OFFSET(N261,-2* $B$11,0), O260)</f>
        <v/>
      </c>
      <c r="P261" s="15">
        <f>INT((2^$J$12-1)*O261/100)/(2^$J$12-1)*100</f>
        <v/>
      </c>
      <c r="Q261" s="15" t="n">
        <v>0</v>
      </c>
      <c r="R261" s="15">
        <f>P261+Q261</f>
        <v/>
      </c>
      <c r="S261" s="15">
        <f>$I$1*S260-$I$2*S259+$I$3*R240+$I$4*R239</f>
        <v/>
      </c>
      <c r="T261" s="15" t="n">
        <v>0</v>
      </c>
      <c r="U261" s="15">
        <f>S261+T261</f>
        <v/>
      </c>
      <c r="V261" s="15">
        <f>INT((2^$J$12-1)*U261/100)/(2^$J$12-1)*100</f>
        <v/>
      </c>
      <c r="X261" s="15">
        <f>M261 * 1.05</f>
        <v/>
      </c>
      <c r="Y261" s="15">
        <f>M261 * 0.95</f>
        <v/>
      </c>
      <c r="Z261" s="15">
        <f>IF(AND(V261 &lt;= X261, V261 &gt;= Y261), 1, 0)</f>
        <v/>
      </c>
      <c r="AC261" s="15">
        <f>N261^2</f>
        <v/>
      </c>
      <c r="AD261" s="15">
        <f>ABS(N261)</f>
        <v/>
      </c>
      <c r="AE261" s="15">
        <f>IF(M261&gt;0, ABS(N261)*(L261-$D$16),0)</f>
        <v/>
      </c>
    </row>
    <row r="262">
      <c r="L262" s="15" t="n">
        <v>260</v>
      </c>
      <c r="M262" s="15">
        <f>IF(L262&lt;$D$16,$D$12,IF(L262&lt;$E$16,$E$12,$F$13))</f>
        <v/>
      </c>
      <c r="N262" s="15">
        <f>M262-V262</f>
        <v/>
      </c>
      <c r="O262" s="15">
        <f>IF(MOD(L262,$B$11)=0,OFFSET(O262,-$B$11,0)+ $E$2*N262+$E$3*OFFSET(N262,-$B$11,0)+ $E$4*OFFSET(N262,-2* $B$11,0), O261)</f>
        <v/>
      </c>
      <c r="P262" s="15">
        <f>INT((2^$J$12-1)*O262/100)/(2^$J$12-1)*100</f>
        <v/>
      </c>
      <c r="Q262" s="15" t="n">
        <v>0</v>
      </c>
      <c r="R262" s="15">
        <f>P262+Q262</f>
        <v/>
      </c>
      <c r="S262" s="15">
        <f>$I$1*S261-$I$2*S260+$I$3*R241+$I$4*R240</f>
        <v/>
      </c>
      <c r="T262" s="15" t="n">
        <v>0</v>
      </c>
      <c r="U262" s="15">
        <f>S262+T262</f>
        <v/>
      </c>
      <c r="V262" s="15">
        <f>INT((2^$J$12-1)*U262/100)/(2^$J$12-1)*100</f>
        <v/>
      </c>
      <c r="X262" s="15">
        <f>M262 * 1.05</f>
        <v/>
      </c>
      <c r="Y262" s="15">
        <f>M262 * 0.95</f>
        <v/>
      </c>
      <c r="Z262" s="15">
        <f>IF(AND(V262 &lt;= X262, V262 &gt;= Y262), 1, 0)</f>
        <v/>
      </c>
      <c r="AC262" s="15">
        <f>N262^2</f>
        <v/>
      </c>
      <c r="AD262" s="15">
        <f>ABS(N262)</f>
        <v/>
      </c>
      <c r="AE262" s="15">
        <f>IF(M262&gt;0, ABS(N262)*(L262-$D$16),0)</f>
        <v/>
      </c>
    </row>
    <row r="263">
      <c r="L263" s="15" t="n">
        <v>261</v>
      </c>
      <c r="M263" s="15">
        <f>IF(L263&lt;$D$16,$D$12,IF(L263&lt;$E$16,$E$12,$F$13))</f>
        <v/>
      </c>
      <c r="N263" s="15">
        <f>M263-V263</f>
        <v/>
      </c>
      <c r="O263" s="15">
        <f>IF(MOD(L263,$B$11)=0,OFFSET(O263,-$B$11,0)+ $E$2*N263+$E$3*OFFSET(N263,-$B$11,0)+ $E$4*OFFSET(N263,-2* $B$11,0), O262)</f>
        <v/>
      </c>
      <c r="P263" s="15">
        <f>INT((2^$J$12-1)*O263/100)/(2^$J$12-1)*100</f>
        <v/>
      </c>
      <c r="Q263" s="15" t="n">
        <v>0</v>
      </c>
      <c r="R263" s="15">
        <f>P263+Q263</f>
        <v/>
      </c>
      <c r="S263" s="15">
        <f>$I$1*S262-$I$2*S261+$I$3*R242+$I$4*R241</f>
        <v/>
      </c>
      <c r="T263" s="15" t="n">
        <v>0</v>
      </c>
      <c r="U263" s="15">
        <f>S263+T263</f>
        <v/>
      </c>
      <c r="V263" s="15">
        <f>INT((2^$J$12-1)*U263/100)/(2^$J$12-1)*100</f>
        <v/>
      </c>
      <c r="X263" s="15">
        <f>M263 * 1.05</f>
        <v/>
      </c>
      <c r="Y263" s="15">
        <f>M263 * 0.95</f>
        <v/>
      </c>
      <c r="Z263" s="15">
        <f>IF(AND(V263 &lt;= X263, V263 &gt;= Y263), 1, 0)</f>
        <v/>
      </c>
      <c r="AC263" s="15">
        <f>N263^2</f>
        <v/>
      </c>
      <c r="AD263" s="15">
        <f>ABS(N263)</f>
        <v/>
      </c>
      <c r="AE263" s="15">
        <f>IF(M263&gt;0, ABS(N263)*(L263-$D$16),0)</f>
        <v/>
      </c>
    </row>
    <row r="264">
      <c r="L264" s="15" t="n">
        <v>262</v>
      </c>
      <c r="M264" s="15">
        <f>IF(L264&lt;$D$16,$D$12,IF(L264&lt;$E$16,$E$12,$F$13))</f>
        <v/>
      </c>
      <c r="N264" s="15">
        <f>M264-V264</f>
        <v/>
      </c>
      <c r="O264" s="15">
        <f>IF(MOD(L264,$B$11)=0,OFFSET(O264,-$B$11,0)+ $E$2*N264+$E$3*OFFSET(N264,-$B$11,0)+ $E$4*OFFSET(N264,-2* $B$11,0), O263)</f>
        <v/>
      </c>
      <c r="P264" s="15">
        <f>INT((2^$J$12-1)*O264/100)/(2^$J$12-1)*100</f>
        <v/>
      </c>
      <c r="Q264" s="15" t="n">
        <v>0</v>
      </c>
      <c r="R264" s="15">
        <f>P264+Q264</f>
        <v/>
      </c>
      <c r="S264" s="15">
        <f>$I$1*S263-$I$2*S262+$I$3*R243+$I$4*R242</f>
        <v/>
      </c>
      <c r="T264" s="15" t="n">
        <v>0</v>
      </c>
      <c r="U264" s="15">
        <f>S264+T264</f>
        <v/>
      </c>
      <c r="V264" s="15">
        <f>INT((2^$J$12-1)*U264/100)/(2^$J$12-1)*100</f>
        <v/>
      </c>
      <c r="X264" s="15">
        <f>M264 * 1.05</f>
        <v/>
      </c>
      <c r="Y264" s="15">
        <f>M264 * 0.95</f>
        <v/>
      </c>
      <c r="Z264" s="15">
        <f>IF(AND(V264 &lt;= X264, V264 &gt;= Y264), 1, 0)</f>
        <v/>
      </c>
      <c r="AC264" s="15">
        <f>N264^2</f>
        <v/>
      </c>
      <c r="AD264" s="15">
        <f>ABS(N264)</f>
        <v/>
      </c>
      <c r="AE264" s="15">
        <f>IF(M264&gt;0, ABS(N264)*(L264-$D$16),0)</f>
        <v/>
      </c>
    </row>
    <row r="265">
      <c r="L265" s="15" t="n">
        <v>263</v>
      </c>
      <c r="M265" s="15">
        <f>IF(L265&lt;$D$16,$D$12,IF(L265&lt;$E$16,$E$12,$F$13))</f>
        <v/>
      </c>
      <c r="N265" s="15">
        <f>M265-V265</f>
        <v/>
      </c>
      <c r="O265" s="15">
        <f>IF(MOD(L265,$B$11)=0,OFFSET(O265,-$B$11,0)+ $E$2*N265+$E$3*OFFSET(N265,-$B$11,0)+ $E$4*OFFSET(N265,-2* $B$11,0), O264)</f>
        <v/>
      </c>
      <c r="P265" s="15">
        <f>INT((2^$J$12-1)*O265/100)/(2^$J$12-1)*100</f>
        <v/>
      </c>
      <c r="Q265" s="15" t="n">
        <v>0</v>
      </c>
      <c r="R265" s="15">
        <f>P265+Q265</f>
        <v/>
      </c>
      <c r="S265" s="15">
        <f>$I$1*S264-$I$2*S263+$I$3*R244+$I$4*R243</f>
        <v/>
      </c>
      <c r="T265" s="15" t="n">
        <v>0</v>
      </c>
      <c r="U265" s="15">
        <f>S265+T265</f>
        <v/>
      </c>
      <c r="V265" s="15">
        <f>INT((2^$J$12-1)*U265/100)/(2^$J$12-1)*100</f>
        <v/>
      </c>
      <c r="X265" s="15">
        <f>M265 * 1.05</f>
        <v/>
      </c>
      <c r="Y265" s="15">
        <f>M265 * 0.95</f>
        <v/>
      </c>
      <c r="Z265" s="15">
        <f>IF(AND(V265 &lt;= X265, V265 &gt;= Y265), 1, 0)</f>
        <v/>
      </c>
      <c r="AC265" s="15">
        <f>N265^2</f>
        <v/>
      </c>
      <c r="AD265" s="15">
        <f>ABS(N265)</f>
        <v/>
      </c>
      <c r="AE265" s="15">
        <f>IF(M265&gt;0, ABS(N265)*(L265-$D$16),0)</f>
        <v/>
      </c>
    </row>
    <row r="266">
      <c r="L266" s="15" t="n">
        <v>264</v>
      </c>
      <c r="M266" s="15">
        <f>IF(L266&lt;$D$16,$D$12,IF(L266&lt;$E$16,$E$12,$F$13))</f>
        <v/>
      </c>
      <c r="N266" s="15">
        <f>M266-V266</f>
        <v/>
      </c>
      <c r="O266" s="15">
        <f>IF(MOD(L266,$B$11)=0,OFFSET(O266,-$B$11,0)+ $E$2*N266+$E$3*OFFSET(N266,-$B$11,0)+ $E$4*OFFSET(N266,-2* $B$11,0), O265)</f>
        <v/>
      </c>
      <c r="P266" s="15">
        <f>INT((2^$J$12-1)*O266/100)/(2^$J$12-1)*100</f>
        <v/>
      </c>
      <c r="Q266" s="15" t="n">
        <v>0</v>
      </c>
      <c r="R266" s="15">
        <f>P266+Q266</f>
        <v/>
      </c>
      <c r="S266" s="15">
        <f>$I$1*S265-$I$2*S264+$I$3*R245+$I$4*R244</f>
        <v/>
      </c>
      <c r="T266" s="15" t="n">
        <v>0</v>
      </c>
      <c r="U266" s="15">
        <f>S266+T266</f>
        <v/>
      </c>
      <c r="V266" s="15">
        <f>INT((2^$J$12-1)*U266/100)/(2^$J$12-1)*100</f>
        <v/>
      </c>
      <c r="X266" s="15">
        <f>M266 * 1.05</f>
        <v/>
      </c>
      <c r="Y266" s="15">
        <f>M266 * 0.95</f>
        <v/>
      </c>
      <c r="Z266" s="15">
        <f>IF(AND(V266 &lt;= X266, V266 &gt;= Y266), 1, 0)</f>
        <v/>
      </c>
      <c r="AC266" s="15">
        <f>N266^2</f>
        <v/>
      </c>
      <c r="AD266" s="15">
        <f>ABS(N266)</f>
        <v/>
      </c>
      <c r="AE266" s="15">
        <f>IF(M266&gt;0, ABS(N266)*(L266-$D$16),0)</f>
        <v/>
      </c>
    </row>
    <row r="267">
      <c r="L267" s="15" t="n">
        <v>265</v>
      </c>
      <c r="M267" s="15">
        <f>IF(L267&lt;$D$16,$D$12,IF(L267&lt;$E$16,$E$12,$F$13))</f>
        <v/>
      </c>
      <c r="N267" s="15">
        <f>M267-V267</f>
        <v/>
      </c>
      <c r="O267" s="15">
        <f>IF(MOD(L267,$B$11)=0,OFFSET(O267,-$B$11,0)+ $E$2*N267+$E$3*OFFSET(N267,-$B$11,0)+ $E$4*OFFSET(N267,-2* $B$11,0), O266)</f>
        <v/>
      </c>
      <c r="P267" s="15">
        <f>INT((2^$J$12-1)*O267/100)/(2^$J$12-1)*100</f>
        <v/>
      </c>
      <c r="Q267" s="15" t="n">
        <v>0</v>
      </c>
      <c r="R267" s="15">
        <f>P267+Q267</f>
        <v/>
      </c>
      <c r="S267" s="15">
        <f>$I$1*S266-$I$2*S265+$I$3*R246+$I$4*R245</f>
        <v/>
      </c>
      <c r="T267" s="15" t="n">
        <v>0</v>
      </c>
      <c r="U267" s="15">
        <f>S267+T267</f>
        <v/>
      </c>
      <c r="V267" s="15">
        <f>INT((2^$J$12-1)*U267/100)/(2^$J$12-1)*100</f>
        <v/>
      </c>
      <c r="X267" s="15">
        <f>M267 * 1.05</f>
        <v/>
      </c>
      <c r="Y267" s="15">
        <f>M267 * 0.95</f>
        <v/>
      </c>
      <c r="Z267" s="15">
        <f>IF(AND(V267 &lt;= X267, V267 &gt;= Y267), 1, 0)</f>
        <v/>
      </c>
      <c r="AC267" s="15">
        <f>N267^2</f>
        <v/>
      </c>
      <c r="AD267" s="15">
        <f>ABS(N267)</f>
        <v/>
      </c>
      <c r="AE267" s="15">
        <f>IF(M267&gt;0, ABS(N267)*(L267-$D$16),0)</f>
        <v/>
      </c>
    </row>
    <row r="268">
      <c r="L268" s="15" t="n">
        <v>266</v>
      </c>
      <c r="M268" s="15">
        <f>IF(L268&lt;$D$16,$D$12,IF(L268&lt;$E$16,$E$12,$F$13))</f>
        <v/>
      </c>
      <c r="N268" s="15">
        <f>M268-V268</f>
        <v/>
      </c>
      <c r="O268" s="15">
        <f>IF(MOD(L268,$B$11)=0,OFFSET(O268,-$B$11,0)+ $E$2*N268+$E$3*OFFSET(N268,-$B$11,0)+ $E$4*OFFSET(N268,-2* $B$11,0), O267)</f>
        <v/>
      </c>
      <c r="P268" s="15">
        <f>INT((2^$J$12-1)*O268/100)/(2^$J$12-1)*100</f>
        <v/>
      </c>
      <c r="Q268" s="15" t="n">
        <v>0</v>
      </c>
      <c r="R268" s="15">
        <f>P268+Q268</f>
        <v/>
      </c>
      <c r="S268" s="15">
        <f>$I$1*S267-$I$2*S266+$I$3*R247+$I$4*R246</f>
        <v/>
      </c>
      <c r="T268" s="15" t="n">
        <v>0</v>
      </c>
      <c r="U268" s="15">
        <f>S268+T268</f>
        <v/>
      </c>
      <c r="V268" s="15">
        <f>INT((2^$J$12-1)*U268/100)/(2^$J$12-1)*100</f>
        <v/>
      </c>
      <c r="X268" s="15">
        <f>M268 * 1.05</f>
        <v/>
      </c>
      <c r="Y268" s="15">
        <f>M268 * 0.95</f>
        <v/>
      </c>
      <c r="Z268" s="15">
        <f>IF(AND(V268 &lt;= X268, V268 &gt;= Y268), 1, 0)</f>
        <v/>
      </c>
      <c r="AC268" s="15">
        <f>N268^2</f>
        <v/>
      </c>
      <c r="AD268" s="15">
        <f>ABS(N268)</f>
        <v/>
      </c>
      <c r="AE268" s="15">
        <f>IF(M268&gt;0, ABS(N268)*(L268-$D$16),0)</f>
        <v/>
      </c>
    </row>
    <row r="269">
      <c r="L269" s="15" t="n">
        <v>267</v>
      </c>
      <c r="M269" s="15">
        <f>IF(L269&lt;$D$16,$D$12,IF(L269&lt;$E$16,$E$12,$F$13))</f>
        <v/>
      </c>
      <c r="N269" s="15">
        <f>M269-V269</f>
        <v/>
      </c>
      <c r="O269" s="15">
        <f>IF(MOD(L269,$B$11)=0,OFFSET(O269,-$B$11,0)+ $E$2*N269+$E$3*OFFSET(N269,-$B$11,0)+ $E$4*OFFSET(N269,-2* $B$11,0), O268)</f>
        <v/>
      </c>
      <c r="P269" s="15">
        <f>INT((2^$J$12-1)*O269/100)/(2^$J$12-1)*100</f>
        <v/>
      </c>
      <c r="Q269" s="15" t="n">
        <v>0</v>
      </c>
      <c r="R269" s="15">
        <f>P269+Q269</f>
        <v/>
      </c>
      <c r="S269" s="15">
        <f>$I$1*S268-$I$2*S267+$I$3*R248+$I$4*R247</f>
        <v/>
      </c>
      <c r="T269" s="15" t="n">
        <v>0</v>
      </c>
      <c r="U269" s="15">
        <f>S269+T269</f>
        <v/>
      </c>
      <c r="V269" s="15">
        <f>INT((2^$J$12-1)*U269/100)/(2^$J$12-1)*100</f>
        <v/>
      </c>
      <c r="X269" s="15">
        <f>M269 * 1.05</f>
        <v/>
      </c>
      <c r="Y269" s="15">
        <f>M269 * 0.95</f>
        <v/>
      </c>
      <c r="Z269" s="15">
        <f>IF(AND(V269 &lt;= X269, V269 &gt;= Y269), 1, 0)</f>
        <v/>
      </c>
      <c r="AC269" s="15">
        <f>N269^2</f>
        <v/>
      </c>
      <c r="AD269" s="15">
        <f>ABS(N269)</f>
        <v/>
      </c>
      <c r="AE269" s="15">
        <f>IF(M269&gt;0, ABS(N269)*(L269-$D$16),0)</f>
        <v/>
      </c>
    </row>
    <row r="270">
      <c r="L270" s="15" t="n">
        <v>268</v>
      </c>
      <c r="M270" s="15">
        <f>IF(L270&lt;$D$16,$D$12,IF(L270&lt;$E$16,$E$12,$F$13))</f>
        <v/>
      </c>
      <c r="N270" s="15">
        <f>M270-V270</f>
        <v/>
      </c>
      <c r="O270" s="15">
        <f>IF(MOD(L270,$B$11)=0,OFFSET(O270,-$B$11,0)+ $E$2*N270+$E$3*OFFSET(N270,-$B$11,0)+ $E$4*OFFSET(N270,-2* $B$11,0), O269)</f>
        <v/>
      </c>
      <c r="P270" s="15">
        <f>INT((2^$J$12-1)*O270/100)/(2^$J$12-1)*100</f>
        <v/>
      </c>
      <c r="Q270" s="15" t="n">
        <v>0</v>
      </c>
      <c r="R270" s="15">
        <f>P270+Q270</f>
        <v/>
      </c>
      <c r="S270" s="15">
        <f>$I$1*S269-$I$2*S268+$I$3*R249+$I$4*R248</f>
        <v/>
      </c>
      <c r="T270" s="15" t="n">
        <v>0</v>
      </c>
      <c r="U270" s="15">
        <f>S270+T270</f>
        <v/>
      </c>
      <c r="V270" s="15">
        <f>INT((2^$J$12-1)*U270/100)/(2^$J$12-1)*100</f>
        <v/>
      </c>
      <c r="X270" s="15">
        <f>M270 * 1.05</f>
        <v/>
      </c>
      <c r="Y270" s="15">
        <f>M270 * 0.95</f>
        <v/>
      </c>
      <c r="Z270" s="15">
        <f>IF(AND(V270 &lt;= X270, V270 &gt;= Y270), 1, 0)</f>
        <v/>
      </c>
      <c r="AC270" s="15">
        <f>N270^2</f>
        <v/>
      </c>
      <c r="AD270" s="15">
        <f>ABS(N270)</f>
        <v/>
      </c>
      <c r="AE270" s="15">
        <f>IF(M270&gt;0, ABS(N270)*(L270-$D$16),0)</f>
        <v/>
      </c>
    </row>
    <row r="271">
      <c r="L271" s="15" t="n">
        <v>269</v>
      </c>
      <c r="M271" s="15">
        <f>IF(L271&lt;$D$16,$D$12,IF(L271&lt;$E$16,$E$12,$F$13))</f>
        <v/>
      </c>
      <c r="N271" s="15">
        <f>M271-V271</f>
        <v/>
      </c>
      <c r="O271" s="15">
        <f>IF(MOD(L271,$B$11)=0,OFFSET(O271,-$B$11,0)+ $E$2*N271+$E$3*OFFSET(N271,-$B$11,0)+ $E$4*OFFSET(N271,-2* $B$11,0), O270)</f>
        <v/>
      </c>
      <c r="P271" s="15">
        <f>INT((2^$J$12-1)*O271/100)/(2^$J$12-1)*100</f>
        <v/>
      </c>
      <c r="Q271" s="15" t="n">
        <v>0</v>
      </c>
      <c r="R271" s="15">
        <f>P271+Q271</f>
        <v/>
      </c>
      <c r="S271" s="15">
        <f>$I$1*S270-$I$2*S269+$I$3*R250+$I$4*R249</f>
        <v/>
      </c>
      <c r="T271" s="15" t="n">
        <v>0</v>
      </c>
      <c r="U271" s="15">
        <f>S271+T271</f>
        <v/>
      </c>
      <c r="V271" s="15">
        <f>INT((2^$J$12-1)*U271/100)/(2^$J$12-1)*100</f>
        <v/>
      </c>
      <c r="X271" s="15">
        <f>M271 * 1.05</f>
        <v/>
      </c>
      <c r="Y271" s="15">
        <f>M271 * 0.95</f>
        <v/>
      </c>
      <c r="Z271" s="15">
        <f>IF(AND(V271 &lt;= X271, V271 &gt;= Y271), 1, 0)</f>
        <v/>
      </c>
      <c r="AC271" s="15">
        <f>N271^2</f>
        <v/>
      </c>
      <c r="AD271" s="15">
        <f>ABS(N271)</f>
        <v/>
      </c>
      <c r="AE271" s="15">
        <f>IF(M271&gt;0, ABS(N271)*(L271-$D$16),0)</f>
        <v/>
      </c>
    </row>
    <row r="272">
      <c r="L272" s="15" t="n">
        <v>270</v>
      </c>
      <c r="M272" s="15">
        <f>IF(L272&lt;$D$16,$D$12,IF(L272&lt;$E$16,$E$12,$F$13))</f>
        <v/>
      </c>
      <c r="N272" s="15">
        <f>M272-V272</f>
        <v/>
      </c>
      <c r="O272" s="15">
        <f>IF(MOD(L272,$B$11)=0,OFFSET(O272,-$B$11,0)+ $E$2*N272+$E$3*OFFSET(N272,-$B$11,0)+ $E$4*OFFSET(N272,-2* $B$11,0), O271)</f>
        <v/>
      </c>
      <c r="P272" s="15">
        <f>INT((2^$J$12-1)*O272/100)/(2^$J$12-1)*100</f>
        <v/>
      </c>
      <c r="Q272" s="15" t="n">
        <v>0</v>
      </c>
      <c r="R272" s="15">
        <f>P272+Q272</f>
        <v/>
      </c>
      <c r="S272" s="15">
        <f>$I$1*S271-$I$2*S270+$I$3*R251+$I$4*R250</f>
        <v/>
      </c>
      <c r="T272" s="15" t="n">
        <v>0</v>
      </c>
      <c r="U272" s="15">
        <f>S272+T272</f>
        <v/>
      </c>
      <c r="V272" s="15">
        <f>INT((2^$J$12-1)*U272/100)/(2^$J$12-1)*100</f>
        <v/>
      </c>
      <c r="X272" s="15">
        <f>M272 * 1.05</f>
        <v/>
      </c>
      <c r="Y272" s="15">
        <f>M272 * 0.95</f>
        <v/>
      </c>
      <c r="Z272" s="15">
        <f>IF(AND(V272 &lt;= X272, V272 &gt;= Y272), 1, 0)</f>
        <v/>
      </c>
      <c r="AC272" s="15">
        <f>N272^2</f>
        <v/>
      </c>
      <c r="AD272" s="15">
        <f>ABS(N272)</f>
        <v/>
      </c>
      <c r="AE272" s="15">
        <f>IF(M272&gt;0, ABS(N272)*(L272-$D$16),0)</f>
        <v/>
      </c>
    </row>
    <row r="273">
      <c r="L273" s="15" t="n">
        <v>271</v>
      </c>
      <c r="M273" s="15">
        <f>IF(L273&lt;$D$16,$D$12,IF(L273&lt;$E$16,$E$12,$F$13))</f>
        <v/>
      </c>
      <c r="N273" s="15">
        <f>M273-V273</f>
        <v/>
      </c>
      <c r="O273" s="15">
        <f>IF(MOD(L273,$B$11)=0,OFFSET(O273,-$B$11,0)+ $E$2*N273+$E$3*OFFSET(N273,-$B$11,0)+ $E$4*OFFSET(N273,-2* $B$11,0), O272)</f>
        <v/>
      </c>
      <c r="P273" s="15">
        <f>INT((2^$J$12-1)*O273/100)/(2^$J$12-1)*100</f>
        <v/>
      </c>
      <c r="Q273" s="15" t="n">
        <v>0</v>
      </c>
      <c r="R273" s="15">
        <f>P273+Q273</f>
        <v/>
      </c>
      <c r="S273" s="15">
        <f>$I$1*S272-$I$2*S271+$I$3*R252+$I$4*R251</f>
        <v/>
      </c>
      <c r="T273" s="15" t="n">
        <v>0</v>
      </c>
      <c r="U273" s="15">
        <f>S273+T273</f>
        <v/>
      </c>
      <c r="V273" s="15">
        <f>INT((2^$J$12-1)*U273/100)/(2^$J$12-1)*100</f>
        <v/>
      </c>
      <c r="X273" s="15">
        <f>M273 * 1.05</f>
        <v/>
      </c>
      <c r="Y273" s="15">
        <f>M273 * 0.95</f>
        <v/>
      </c>
      <c r="Z273" s="15">
        <f>IF(AND(V273 &lt;= X273, V273 &gt;= Y273), 1, 0)</f>
        <v/>
      </c>
      <c r="AC273" s="15">
        <f>N273^2</f>
        <v/>
      </c>
      <c r="AD273" s="15">
        <f>ABS(N273)</f>
        <v/>
      </c>
      <c r="AE273" s="15">
        <f>IF(M273&gt;0, ABS(N273)*(L273-$D$16),0)</f>
        <v/>
      </c>
    </row>
    <row r="274">
      <c r="L274" s="15" t="n">
        <v>272</v>
      </c>
      <c r="M274" s="15">
        <f>IF(L274&lt;$D$16,$D$12,IF(L274&lt;$E$16,$E$12,$F$13))</f>
        <v/>
      </c>
      <c r="N274" s="15">
        <f>M274-V274</f>
        <v/>
      </c>
      <c r="O274" s="15">
        <f>IF(MOD(L274,$B$11)=0,OFFSET(O274,-$B$11,0)+ $E$2*N274+$E$3*OFFSET(N274,-$B$11,0)+ $E$4*OFFSET(N274,-2* $B$11,0), O273)</f>
        <v/>
      </c>
      <c r="P274" s="15">
        <f>INT((2^$J$12-1)*O274/100)/(2^$J$12-1)*100</f>
        <v/>
      </c>
      <c r="Q274" s="15" t="n">
        <v>0</v>
      </c>
      <c r="R274" s="15">
        <f>P274+Q274</f>
        <v/>
      </c>
      <c r="S274" s="15">
        <f>$I$1*S273-$I$2*S272+$I$3*R253+$I$4*R252</f>
        <v/>
      </c>
      <c r="T274" s="15" t="n">
        <v>0</v>
      </c>
      <c r="U274" s="15">
        <f>S274+T274</f>
        <v/>
      </c>
      <c r="V274" s="15">
        <f>INT((2^$J$12-1)*U274/100)/(2^$J$12-1)*100</f>
        <v/>
      </c>
      <c r="X274" s="15">
        <f>M274 * 1.05</f>
        <v/>
      </c>
      <c r="Y274" s="15">
        <f>M274 * 0.95</f>
        <v/>
      </c>
      <c r="Z274" s="15">
        <f>IF(AND(V274 &lt;= X274, V274 &gt;= Y274), 1, 0)</f>
        <v/>
      </c>
      <c r="AC274" s="15">
        <f>N274^2</f>
        <v/>
      </c>
      <c r="AD274" s="15">
        <f>ABS(N274)</f>
        <v/>
      </c>
      <c r="AE274" s="15">
        <f>IF(M274&gt;0, ABS(N274)*(L274-$D$16),0)</f>
        <v/>
      </c>
    </row>
    <row r="275">
      <c r="L275" s="15" t="n">
        <v>273</v>
      </c>
      <c r="M275" s="15">
        <f>IF(L275&lt;$D$16,$D$12,IF(L275&lt;$E$16,$E$12,$F$13))</f>
        <v/>
      </c>
      <c r="N275" s="15">
        <f>M275-V275</f>
        <v/>
      </c>
      <c r="O275" s="15">
        <f>IF(MOD(L275,$B$11)=0,OFFSET(O275,-$B$11,0)+ $E$2*N275+$E$3*OFFSET(N275,-$B$11,0)+ $E$4*OFFSET(N275,-2* $B$11,0), O274)</f>
        <v/>
      </c>
      <c r="P275" s="15">
        <f>INT((2^$J$12-1)*O275/100)/(2^$J$12-1)*100</f>
        <v/>
      </c>
      <c r="Q275" s="15" t="n">
        <v>0</v>
      </c>
      <c r="R275" s="15">
        <f>P275+Q275</f>
        <v/>
      </c>
      <c r="S275" s="15">
        <f>$I$1*S274-$I$2*S273+$I$3*R254+$I$4*R253</f>
        <v/>
      </c>
      <c r="T275" s="15" t="n">
        <v>0</v>
      </c>
      <c r="U275" s="15">
        <f>S275+T275</f>
        <v/>
      </c>
      <c r="V275" s="15">
        <f>INT((2^$J$12-1)*U275/100)/(2^$J$12-1)*100</f>
        <v/>
      </c>
      <c r="X275" s="15">
        <f>M275 * 1.05</f>
        <v/>
      </c>
      <c r="Y275" s="15">
        <f>M275 * 0.95</f>
        <v/>
      </c>
      <c r="Z275" s="15">
        <f>IF(AND(V275 &lt;= X275, V275 &gt;= Y275), 1, 0)</f>
        <v/>
      </c>
      <c r="AC275" s="15">
        <f>N275^2</f>
        <v/>
      </c>
      <c r="AD275" s="15">
        <f>ABS(N275)</f>
        <v/>
      </c>
      <c r="AE275" s="15">
        <f>IF(M275&gt;0, ABS(N275)*(L275-$D$16),0)</f>
        <v/>
      </c>
    </row>
    <row r="276">
      <c r="L276" s="15" t="n">
        <v>274</v>
      </c>
      <c r="M276" s="15">
        <f>IF(L276&lt;$D$16,$D$12,IF(L276&lt;$E$16,$E$12,$F$13))</f>
        <v/>
      </c>
      <c r="N276" s="15">
        <f>M276-V276</f>
        <v/>
      </c>
      <c r="O276" s="15">
        <f>IF(MOD(L276,$B$11)=0,OFFSET(O276,-$B$11,0)+ $E$2*N276+$E$3*OFFSET(N276,-$B$11,0)+ $E$4*OFFSET(N276,-2* $B$11,0), O275)</f>
        <v/>
      </c>
      <c r="P276" s="15">
        <f>INT((2^$J$12-1)*O276/100)/(2^$J$12-1)*100</f>
        <v/>
      </c>
      <c r="Q276" s="15" t="n">
        <v>0</v>
      </c>
      <c r="R276" s="15">
        <f>P276+Q276</f>
        <v/>
      </c>
      <c r="S276" s="15">
        <f>$I$1*S275-$I$2*S274+$I$3*R255+$I$4*R254</f>
        <v/>
      </c>
      <c r="T276" s="15" t="n">
        <v>0</v>
      </c>
      <c r="U276" s="15">
        <f>S276+T276</f>
        <v/>
      </c>
      <c r="V276" s="15">
        <f>INT((2^$J$12-1)*U276/100)/(2^$J$12-1)*100</f>
        <v/>
      </c>
      <c r="X276" s="15">
        <f>M276 * 1.05</f>
        <v/>
      </c>
      <c r="Y276" s="15">
        <f>M276 * 0.95</f>
        <v/>
      </c>
      <c r="Z276" s="15">
        <f>IF(AND(V276 &lt;= X276, V276 &gt;= Y276), 1, 0)</f>
        <v/>
      </c>
      <c r="AC276" s="15">
        <f>N276^2</f>
        <v/>
      </c>
      <c r="AD276" s="15">
        <f>ABS(N276)</f>
        <v/>
      </c>
      <c r="AE276" s="15">
        <f>IF(M276&gt;0, ABS(N276)*(L276-$D$16),0)</f>
        <v/>
      </c>
    </row>
    <row r="277">
      <c r="L277" s="15" t="n">
        <v>275</v>
      </c>
      <c r="M277" s="15">
        <f>IF(L277&lt;$D$16,$D$12,IF(L277&lt;$E$16,$E$12,$F$13))</f>
        <v/>
      </c>
      <c r="N277" s="15">
        <f>M277-V277</f>
        <v/>
      </c>
      <c r="O277" s="15">
        <f>IF(MOD(L277,$B$11)=0,OFFSET(O277,-$B$11,0)+ $E$2*N277+$E$3*OFFSET(N277,-$B$11,0)+ $E$4*OFFSET(N277,-2* $B$11,0), O276)</f>
        <v/>
      </c>
      <c r="P277" s="15">
        <f>INT((2^$J$12-1)*O277/100)/(2^$J$12-1)*100</f>
        <v/>
      </c>
      <c r="Q277" s="15" t="n">
        <v>0</v>
      </c>
      <c r="R277" s="15">
        <f>P277+Q277</f>
        <v/>
      </c>
      <c r="S277" s="15">
        <f>$I$1*S276-$I$2*S275+$I$3*R256+$I$4*R255</f>
        <v/>
      </c>
      <c r="T277" s="15" t="n">
        <v>0</v>
      </c>
      <c r="U277" s="15">
        <f>S277+T277</f>
        <v/>
      </c>
      <c r="V277" s="15">
        <f>INT((2^$J$12-1)*U277/100)/(2^$J$12-1)*100</f>
        <v/>
      </c>
      <c r="X277" s="15">
        <f>M277 * 1.05</f>
        <v/>
      </c>
      <c r="Y277" s="15">
        <f>M277 * 0.95</f>
        <v/>
      </c>
      <c r="Z277" s="15">
        <f>IF(AND(V277 &lt;= X277, V277 &gt;= Y277), 1, 0)</f>
        <v/>
      </c>
      <c r="AC277" s="15">
        <f>N277^2</f>
        <v/>
      </c>
      <c r="AD277" s="15">
        <f>ABS(N277)</f>
        <v/>
      </c>
      <c r="AE277" s="15">
        <f>IF(M277&gt;0, ABS(N277)*(L277-$D$16),0)</f>
        <v/>
      </c>
    </row>
    <row r="278">
      <c r="L278" s="15" t="n">
        <v>276</v>
      </c>
      <c r="M278" s="15">
        <f>IF(L278&lt;$D$16,$D$12,IF(L278&lt;$E$16,$E$12,$F$13))</f>
        <v/>
      </c>
      <c r="N278" s="15">
        <f>M278-V278</f>
        <v/>
      </c>
      <c r="O278" s="15">
        <f>IF(MOD(L278,$B$11)=0,OFFSET(O278,-$B$11,0)+ $E$2*N278+$E$3*OFFSET(N278,-$B$11,0)+ $E$4*OFFSET(N278,-2* $B$11,0), O277)</f>
        <v/>
      </c>
      <c r="P278" s="15">
        <f>INT((2^$J$12-1)*O278/100)/(2^$J$12-1)*100</f>
        <v/>
      </c>
      <c r="Q278" s="15" t="n">
        <v>0</v>
      </c>
      <c r="R278" s="15">
        <f>P278+Q278</f>
        <v/>
      </c>
      <c r="S278" s="15">
        <f>$I$1*S277-$I$2*S276+$I$3*R257+$I$4*R256</f>
        <v/>
      </c>
      <c r="T278" s="15" t="n">
        <v>0</v>
      </c>
      <c r="U278" s="15">
        <f>S278+T278</f>
        <v/>
      </c>
      <c r="V278" s="15">
        <f>INT((2^$J$12-1)*U278/100)/(2^$J$12-1)*100</f>
        <v/>
      </c>
      <c r="X278" s="15">
        <f>M278 * 1.05</f>
        <v/>
      </c>
      <c r="Y278" s="15">
        <f>M278 * 0.95</f>
        <v/>
      </c>
      <c r="Z278" s="15">
        <f>IF(AND(V278 &lt;= X278, V278 &gt;= Y278), 1, 0)</f>
        <v/>
      </c>
      <c r="AC278" s="15">
        <f>N278^2</f>
        <v/>
      </c>
      <c r="AD278" s="15">
        <f>ABS(N278)</f>
        <v/>
      </c>
      <c r="AE278" s="15">
        <f>IF(M278&gt;0, ABS(N278)*(L278-$D$16),0)</f>
        <v/>
      </c>
    </row>
    <row r="279">
      <c r="L279" s="15" t="n">
        <v>277</v>
      </c>
      <c r="M279" s="15">
        <f>IF(L279&lt;$D$16,$D$12,IF(L279&lt;$E$16,$E$12,$F$13))</f>
        <v/>
      </c>
      <c r="N279" s="15">
        <f>M279-V279</f>
        <v/>
      </c>
      <c r="O279" s="15">
        <f>IF(MOD(L279,$B$11)=0,OFFSET(O279,-$B$11,0)+ $E$2*N279+$E$3*OFFSET(N279,-$B$11,0)+ $E$4*OFFSET(N279,-2* $B$11,0), O278)</f>
        <v/>
      </c>
      <c r="P279" s="15">
        <f>INT((2^$J$12-1)*O279/100)/(2^$J$12-1)*100</f>
        <v/>
      </c>
      <c r="Q279" s="15" t="n">
        <v>0</v>
      </c>
      <c r="R279" s="15">
        <f>P279+Q279</f>
        <v/>
      </c>
      <c r="S279" s="15">
        <f>$I$1*S278-$I$2*S277+$I$3*R258+$I$4*R257</f>
        <v/>
      </c>
      <c r="T279" s="15" t="n">
        <v>0</v>
      </c>
      <c r="U279" s="15">
        <f>S279+T279</f>
        <v/>
      </c>
      <c r="V279" s="15">
        <f>INT((2^$J$12-1)*U279/100)/(2^$J$12-1)*100</f>
        <v/>
      </c>
      <c r="X279" s="15">
        <f>M279 * 1.05</f>
        <v/>
      </c>
      <c r="Y279" s="15">
        <f>M279 * 0.95</f>
        <v/>
      </c>
      <c r="Z279" s="15">
        <f>IF(AND(V279 &lt;= X279, V279 &gt;= Y279), 1, 0)</f>
        <v/>
      </c>
      <c r="AC279" s="15">
        <f>N279^2</f>
        <v/>
      </c>
      <c r="AD279" s="15">
        <f>ABS(N279)</f>
        <v/>
      </c>
      <c r="AE279" s="15">
        <f>IF(M279&gt;0, ABS(N279)*(L279-$D$16),0)</f>
        <v/>
      </c>
    </row>
    <row r="280">
      <c r="L280" s="15" t="n">
        <v>278</v>
      </c>
      <c r="M280" s="15">
        <f>IF(L280&lt;$D$16,$D$12,IF(L280&lt;$E$16,$E$12,$F$13))</f>
        <v/>
      </c>
      <c r="N280" s="15">
        <f>M280-V280</f>
        <v/>
      </c>
      <c r="O280" s="15">
        <f>IF(MOD(L280,$B$11)=0,OFFSET(O280,-$B$11,0)+ $E$2*N280+$E$3*OFFSET(N280,-$B$11,0)+ $E$4*OFFSET(N280,-2* $B$11,0), O279)</f>
        <v/>
      </c>
      <c r="P280" s="15">
        <f>INT((2^$J$12-1)*O280/100)/(2^$J$12-1)*100</f>
        <v/>
      </c>
      <c r="Q280" s="15" t="n">
        <v>0</v>
      </c>
      <c r="R280" s="15">
        <f>P280+Q280</f>
        <v/>
      </c>
      <c r="S280" s="15">
        <f>$I$1*S279-$I$2*S278+$I$3*R259+$I$4*R258</f>
        <v/>
      </c>
      <c r="T280" s="15" t="n">
        <v>0</v>
      </c>
      <c r="U280" s="15">
        <f>S280+T280</f>
        <v/>
      </c>
      <c r="V280" s="15">
        <f>INT((2^$J$12-1)*U280/100)/(2^$J$12-1)*100</f>
        <v/>
      </c>
      <c r="X280" s="15">
        <f>M280 * 1.05</f>
        <v/>
      </c>
      <c r="Y280" s="15">
        <f>M280 * 0.95</f>
        <v/>
      </c>
      <c r="Z280" s="15">
        <f>IF(AND(V280 &lt;= X280, V280 &gt;= Y280), 1, 0)</f>
        <v/>
      </c>
      <c r="AC280" s="15">
        <f>N280^2</f>
        <v/>
      </c>
      <c r="AD280" s="15">
        <f>ABS(N280)</f>
        <v/>
      </c>
      <c r="AE280" s="15">
        <f>IF(M280&gt;0, ABS(N280)*(L280-$D$16),0)</f>
        <v/>
      </c>
    </row>
    <row r="281">
      <c r="L281" s="15" t="n">
        <v>279</v>
      </c>
      <c r="M281" s="15">
        <f>IF(L281&lt;$D$16,$D$12,IF(L281&lt;$E$16,$E$12,$F$13))</f>
        <v/>
      </c>
      <c r="N281" s="15">
        <f>M281-V281</f>
        <v/>
      </c>
      <c r="O281" s="15">
        <f>IF(MOD(L281,$B$11)=0,OFFSET(O281,-$B$11,0)+ $E$2*N281+$E$3*OFFSET(N281,-$B$11,0)+ $E$4*OFFSET(N281,-2* $B$11,0), O280)</f>
        <v/>
      </c>
      <c r="P281" s="15">
        <f>INT((2^$J$12-1)*O281/100)/(2^$J$12-1)*100</f>
        <v/>
      </c>
      <c r="Q281" s="15" t="n">
        <v>0</v>
      </c>
      <c r="R281" s="15">
        <f>P281+Q281</f>
        <v/>
      </c>
      <c r="S281" s="15">
        <f>$I$1*S280-$I$2*S279+$I$3*R260+$I$4*R259</f>
        <v/>
      </c>
      <c r="T281" s="15" t="n">
        <v>0</v>
      </c>
      <c r="U281" s="15">
        <f>S281+T281</f>
        <v/>
      </c>
      <c r="V281" s="15">
        <f>INT((2^$J$12-1)*U281/100)/(2^$J$12-1)*100</f>
        <v/>
      </c>
      <c r="X281" s="15">
        <f>M281 * 1.05</f>
        <v/>
      </c>
      <c r="Y281" s="15">
        <f>M281 * 0.95</f>
        <v/>
      </c>
      <c r="Z281" s="15">
        <f>IF(AND(V281 &lt;= X281, V281 &gt;= Y281), 1, 0)</f>
        <v/>
      </c>
      <c r="AC281" s="15">
        <f>N281^2</f>
        <v/>
      </c>
      <c r="AD281" s="15">
        <f>ABS(N281)</f>
        <v/>
      </c>
      <c r="AE281" s="15">
        <f>IF(M281&gt;0, ABS(N281)*(L281-$D$16),0)</f>
        <v/>
      </c>
    </row>
    <row r="282">
      <c r="L282" s="15" t="n">
        <v>280</v>
      </c>
      <c r="M282" s="15">
        <f>IF(L282&lt;$D$16,$D$12,IF(L282&lt;$E$16,$E$12,$F$13))</f>
        <v/>
      </c>
      <c r="N282" s="15">
        <f>M282-V282</f>
        <v/>
      </c>
      <c r="O282" s="15">
        <f>IF(MOD(L282,$B$11)=0,OFFSET(O282,-$B$11,0)+ $E$2*N282+$E$3*OFFSET(N282,-$B$11,0)+ $E$4*OFFSET(N282,-2* $B$11,0), O281)</f>
        <v/>
      </c>
      <c r="P282" s="15">
        <f>INT((2^$J$12-1)*O282/100)/(2^$J$12-1)*100</f>
        <v/>
      </c>
      <c r="Q282" s="15" t="n">
        <v>0</v>
      </c>
      <c r="R282" s="15">
        <f>P282+Q282</f>
        <v/>
      </c>
      <c r="S282" s="15">
        <f>$I$1*S281-$I$2*S280+$I$3*R261+$I$4*R260</f>
        <v/>
      </c>
      <c r="T282" s="15" t="n">
        <v>0</v>
      </c>
      <c r="U282" s="15">
        <f>S282+T282</f>
        <v/>
      </c>
      <c r="V282" s="15">
        <f>INT((2^$J$12-1)*U282/100)/(2^$J$12-1)*100</f>
        <v/>
      </c>
      <c r="X282" s="15">
        <f>M282 * 1.05</f>
        <v/>
      </c>
      <c r="Y282" s="15">
        <f>M282 * 0.95</f>
        <v/>
      </c>
      <c r="Z282" s="15">
        <f>IF(AND(V282 &lt;= X282, V282 &gt;= Y282), 1, 0)</f>
        <v/>
      </c>
      <c r="AC282" s="15">
        <f>N282^2</f>
        <v/>
      </c>
      <c r="AD282" s="15">
        <f>ABS(N282)</f>
        <v/>
      </c>
      <c r="AE282" s="15">
        <f>IF(M282&gt;0, ABS(N282)*(L282-$D$16),0)</f>
        <v/>
      </c>
    </row>
    <row r="283">
      <c r="L283" s="15" t="n">
        <v>281</v>
      </c>
      <c r="M283" s="15">
        <f>IF(L283&lt;$D$16,$D$12,IF(L283&lt;$E$16,$E$12,$F$13))</f>
        <v/>
      </c>
      <c r="N283" s="15">
        <f>M283-V283</f>
        <v/>
      </c>
      <c r="O283" s="15">
        <f>IF(MOD(L283,$B$11)=0,OFFSET(O283,-$B$11,0)+ $E$2*N283+$E$3*OFFSET(N283,-$B$11,0)+ $E$4*OFFSET(N283,-2* $B$11,0), O282)</f>
        <v/>
      </c>
      <c r="P283" s="15">
        <f>INT((2^$J$12-1)*O283/100)/(2^$J$12-1)*100</f>
        <v/>
      </c>
      <c r="Q283" s="15" t="n">
        <v>0</v>
      </c>
      <c r="R283" s="15">
        <f>P283+Q283</f>
        <v/>
      </c>
      <c r="S283" s="15">
        <f>$I$1*S282-$I$2*S281+$I$3*R262+$I$4*R261</f>
        <v/>
      </c>
      <c r="T283" s="15" t="n">
        <v>0</v>
      </c>
      <c r="U283" s="15">
        <f>S283+T283</f>
        <v/>
      </c>
      <c r="V283" s="15">
        <f>INT((2^$J$12-1)*U283/100)/(2^$J$12-1)*100</f>
        <v/>
      </c>
      <c r="X283" s="15">
        <f>M283 * 1.05</f>
        <v/>
      </c>
      <c r="Y283" s="15">
        <f>M283 * 0.95</f>
        <v/>
      </c>
      <c r="Z283" s="15">
        <f>IF(AND(V283 &lt;= X283, V283 &gt;= Y283), 1, 0)</f>
        <v/>
      </c>
      <c r="AC283" s="15">
        <f>N283^2</f>
        <v/>
      </c>
      <c r="AD283" s="15">
        <f>ABS(N283)</f>
        <v/>
      </c>
      <c r="AE283" s="15">
        <f>IF(M283&gt;0, ABS(N283)*(L283-$D$16),0)</f>
        <v/>
      </c>
    </row>
    <row r="284">
      <c r="L284" s="15" t="n">
        <v>282</v>
      </c>
      <c r="M284" s="15">
        <f>IF(L284&lt;$D$16,$D$12,IF(L284&lt;$E$16,$E$12,$F$13))</f>
        <v/>
      </c>
      <c r="N284" s="15">
        <f>M284-V284</f>
        <v/>
      </c>
      <c r="O284" s="15">
        <f>IF(MOD(L284,$B$11)=0,OFFSET(O284,-$B$11,0)+ $E$2*N284+$E$3*OFFSET(N284,-$B$11,0)+ $E$4*OFFSET(N284,-2* $B$11,0), O283)</f>
        <v/>
      </c>
      <c r="P284" s="15">
        <f>INT((2^$J$12-1)*O284/100)/(2^$J$12-1)*100</f>
        <v/>
      </c>
      <c r="Q284" s="15" t="n">
        <v>0</v>
      </c>
      <c r="R284" s="15">
        <f>P284+Q284</f>
        <v/>
      </c>
      <c r="S284" s="15">
        <f>$I$1*S283-$I$2*S282+$I$3*R263+$I$4*R262</f>
        <v/>
      </c>
      <c r="T284" s="15" t="n">
        <v>0</v>
      </c>
      <c r="U284" s="15">
        <f>S284+T284</f>
        <v/>
      </c>
      <c r="V284" s="15">
        <f>INT((2^$J$12-1)*U284/100)/(2^$J$12-1)*100</f>
        <v/>
      </c>
      <c r="X284" s="15">
        <f>M284 * 1.05</f>
        <v/>
      </c>
      <c r="Y284" s="15">
        <f>M284 * 0.95</f>
        <v/>
      </c>
      <c r="Z284" s="15">
        <f>IF(AND(V284 &lt;= X284, V284 &gt;= Y284), 1, 0)</f>
        <v/>
      </c>
      <c r="AC284" s="15">
        <f>N284^2</f>
        <v/>
      </c>
      <c r="AD284" s="15">
        <f>ABS(N284)</f>
        <v/>
      </c>
      <c r="AE284" s="15">
        <f>IF(M284&gt;0, ABS(N284)*(L284-$D$16),0)</f>
        <v/>
      </c>
    </row>
    <row r="285">
      <c r="L285" s="15" t="n">
        <v>283</v>
      </c>
      <c r="M285" s="15">
        <f>IF(L285&lt;$D$16,$D$12,IF(L285&lt;$E$16,$E$12,$F$13))</f>
        <v/>
      </c>
      <c r="N285" s="15">
        <f>M285-V285</f>
        <v/>
      </c>
      <c r="O285" s="15">
        <f>IF(MOD(L285,$B$11)=0,OFFSET(O285,-$B$11,0)+ $E$2*N285+$E$3*OFFSET(N285,-$B$11,0)+ $E$4*OFFSET(N285,-2* $B$11,0), O284)</f>
        <v/>
      </c>
      <c r="P285" s="15">
        <f>INT((2^$J$12-1)*O285/100)/(2^$J$12-1)*100</f>
        <v/>
      </c>
      <c r="Q285" s="15" t="n">
        <v>0</v>
      </c>
      <c r="R285" s="15">
        <f>P285+Q285</f>
        <v/>
      </c>
      <c r="S285" s="15">
        <f>$I$1*S284-$I$2*S283+$I$3*R264+$I$4*R263</f>
        <v/>
      </c>
      <c r="T285" s="15" t="n">
        <v>0</v>
      </c>
      <c r="U285" s="15">
        <f>S285+T285</f>
        <v/>
      </c>
      <c r="V285" s="15">
        <f>INT((2^$J$12-1)*U285/100)/(2^$J$12-1)*100</f>
        <v/>
      </c>
      <c r="X285" s="15">
        <f>M285 * 1.05</f>
        <v/>
      </c>
      <c r="Y285" s="15">
        <f>M285 * 0.95</f>
        <v/>
      </c>
      <c r="Z285" s="15">
        <f>IF(AND(V285 &lt;= X285, V285 &gt;= Y285), 1, 0)</f>
        <v/>
      </c>
      <c r="AC285" s="15">
        <f>N285^2</f>
        <v/>
      </c>
      <c r="AD285" s="15">
        <f>ABS(N285)</f>
        <v/>
      </c>
      <c r="AE285" s="15">
        <f>IF(M285&gt;0, ABS(N285)*(L285-$D$16),0)</f>
        <v/>
      </c>
    </row>
    <row r="286">
      <c r="L286" s="15" t="n">
        <v>284</v>
      </c>
      <c r="M286" s="15">
        <f>IF(L286&lt;$D$16,$D$12,IF(L286&lt;$E$16,$E$12,$F$13))</f>
        <v/>
      </c>
      <c r="N286" s="15">
        <f>M286-V286</f>
        <v/>
      </c>
      <c r="O286" s="15">
        <f>IF(MOD(L286,$B$11)=0,OFFSET(O286,-$B$11,0)+ $E$2*N286+$E$3*OFFSET(N286,-$B$11,0)+ $E$4*OFFSET(N286,-2* $B$11,0), O285)</f>
        <v/>
      </c>
      <c r="P286" s="15">
        <f>INT((2^$J$12-1)*O286/100)/(2^$J$12-1)*100</f>
        <v/>
      </c>
      <c r="Q286" s="15" t="n">
        <v>0</v>
      </c>
      <c r="R286" s="15">
        <f>P286+Q286</f>
        <v/>
      </c>
      <c r="S286" s="15">
        <f>$I$1*S285-$I$2*S284+$I$3*R265+$I$4*R264</f>
        <v/>
      </c>
      <c r="T286" s="15" t="n">
        <v>0</v>
      </c>
      <c r="U286" s="15">
        <f>S286+T286</f>
        <v/>
      </c>
      <c r="V286" s="15">
        <f>INT((2^$J$12-1)*U286/100)/(2^$J$12-1)*100</f>
        <v/>
      </c>
      <c r="X286" s="15">
        <f>M286 * 1.05</f>
        <v/>
      </c>
      <c r="Y286" s="15">
        <f>M286 * 0.95</f>
        <v/>
      </c>
      <c r="Z286" s="15">
        <f>IF(AND(V286 &lt;= X286, V286 &gt;= Y286), 1, 0)</f>
        <v/>
      </c>
      <c r="AC286" s="15">
        <f>N286^2</f>
        <v/>
      </c>
      <c r="AD286" s="15">
        <f>ABS(N286)</f>
        <v/>
      </c>
      <c r="AE286" s="15">
        <f>IF(M286&gt;0, ABS(N286)*(L286-$D$16),0)</f>
        <v/>
      </c>
    </row>
    <row r="287">
      <c r="L287" s="15" t="n">
        <v>285</v>
      </c>
      <c r="M287" s="15">
        <f>IF(L287&lt;$D$16,$D$12,IF(L287&lt;$E$16,$E$12,$F$13))</f>
        <v/>
      </c>
      <c r="N287" s="15">
        <f>M287-V287</f>
        <v/>
      </c>
      <c r="O287" s="15">
        <f>IF(MOD(L287,$B$11)=0,OFFSET(O287,-$B$11,0)+ $E$2*N287+$E$3*OFFSET(N287,-$B$11,0)+ $E$4*OFFSET(N287,-2* $B$11,0), O286)</f>
        <v/>
      </c>
      <c r="P287" s="15">
        <f>INT((2^$J$12-1)*O287/100)/(2^$J$12-1)*100</f>
        <v/>
      </c>
      <c r="Q287" s="15" t="n">
        <v>0</v>
      </c>
      <c r="R287" s="15">
        <f>P287+Q287</f>
        <v/>
      </c>
      <c r="S287" s="15">
        <f>$I$1*S286-$I$2*S285+$I$3*R266+$I$4*R265</f>
        <v/>
      </c>
      <c r="T287" s="15" t="n">
        <v>0</v>
      </c>
      <c r="U287" s="15">
        <f>S287+T287</f>
        <v/>
      </c>
      <c r="V287" s="15">
        <f>INT((2^$J$12-1)*U287/100)/(2^$J$12-1)*100</f>
        <v/>
      </c>
      <c r="X287" s="15">
        <f>M287 * 1.05</f>
        <v/>
      </c>
      <c r="Y287" s="15">
        <f>M287 * 0.95</f>
        <v/>
      </c>
      <c r="Z287" s="15">
        <f>IF(AND(V287 &lt;= X287, V287 &gt;= Y287), 1, 0)</f>
        <v/>
      </c>
      <c r="AC287" s="15">
        <f>N287^2</f>
        <v/>
      </c>
      <c r="AD287" s="15">
        <f>ABS(N287)</f>
        <v/>
      </c>
      <c r="AE287" s="15">
        <f>IF(M287&gt;0, ABS(N287)*(L287-$D$16),0)</f>
        <v/>
      </c>
    </row>
    <row r="288">
      <c r="L288" s="15" t="n">
        <v>286</v>
      </c>
      <c r="M288" s="15">
        <f>IF(L288&lt;$D$16,$D$12,IF(L288&lt;$E$16,$E$12,$F$13))</f>
        <v/>
      </c>
      <c r="N288" s="15">
        <f>M288-V288</f>
        <v/>
      </c>
      <c r="O288" s="15">
        <f>IF(MOD(L288,$B$11)=0,OFFSET(O288,-$B$11,0)+ $E$2*N288+$E$3*OFFSET(N288,-$B$11,0)+ $E$4*OFFSET(N288,-2* $B$11,0), O287)</f>
        <v/>
      </c>
      <c r="P288" s="15">
        <f>INT((2^$J$12-1)*O288/100)/(2^$J$12-1)*100</f>
        <v/>
      </c>
      <c r="Q288" s="15" t="n">
        <v>0</v>
      </c>
      <c r="R288" s="15">
        <f>P288+Q288</f>
        <v/>
      </c>
      <c r="S288" s="15">
        <f>$I$1*S287-$I$2*S286+$I$3*R267+$I$4*R266</f>
        <v/>
      </c>
      <c r="T288" s="15" t="n">
        <v>0</v>
      </c>
      <c r="U288" s="15">
        <f>S288+T288</f>
        <v/>
      </c>
      <c r="V288" s="15">
        <f>INT((2^$J$12-1)*U288/100)/(2^$J$12-1)*100</f>
        <v/>
      </c>
      <c r="X288" s="15">
        <f>M288 * 1.05</f>
        <v/>
      </c>
      <c r="Y288" s="15">
        <f>M288 * 0.95</f>
        <v/>
      </c>
      <c r="Z288" s="15">
        <f>IF(AND(V288 &lt;= X288, V288 &gt;= Y288), 1, 0)</f>
        <v/>
      </c>
      <c r="AC288" s="15">
        <f>N288^2</f>
        <v/>
      </c>
      <c r="AD288" s="15">
        <f>ABS(N288)</f>
        <v/>
      </c>
      <c r="AE288" s="15">
        <f>IF(M288&gt;0, ABS(N288)*(L288-$D$16),0)</f>
        <v/>
      </c>
    </row>
    <row r="289">
      <c r="L289" s="15" t="n">
        <v>287</v>
      </c>
      <c r="M289" s="15">
        <f>IF(L289&lt;$D$16,$D$12,IF(L289&lt;$E$16,$E$12,$F$13))</f>
        <v/>
      </c>
      <c r="N289" s="15">
        <f>M289-V289</f>
        <v/>
      </c>
      <c r="O289" s="15">
        <f>IF(MOD(L289,$B$11)=0,OFFSET(O289,-$B$11,0)+ $E$2*N289+$E$3*OFFSET(N289,-$B$11,0)+ $E$4*OFFSET(N289,-2* $B$11,0), O288)</f>
        <v/>
      </c>
      <c r="P289" s="15">
        <f>INT((2^$J$12-1)*O289/100)/(2^$J$12-1)*100</f>
        <v/>
      </c>
      <c r="Q289" s="15" t="n">
        <v>0</v>
      </c>
      <c r="R289" s="15">
        <f>P289+Q289</f>
        <v/>
      </c>
      <c r="S289" s="15">
        <f>$I$1*S288-$I$2*S287+$I$3*R268+$I$4*R267</f>
        <v/>
      </c>
      <c r="T289" s="15" t="n">
        <v>0</v>
      </c>
      <c r="U289" s="15">
        <f>S289+T289</f>
        <v/>
      </c>
      <c r="V289" s="15">
        <f>INT((2^$J$12-1)*U289/100)/(2^$J$12-1)*100</f>
        <v/>
      </c>
      <c r="X289" s="15">
        <f>M289 * 1.05</f>
        <v/>
      </c>
      <c r="Y289" s="15">
        <f>M289 * 0.95</f>
        <v/>
      </c>
      <c r="Z289" s="15">
        <f>IF(AND(V289 &lt;= X289, V289 &gt;= Y289), 1, 0)</f>
        <v/>
      </c>
      <c r="AC289" s="15">
        <f>N289^2</f>
        <v/>
      </c>
      <c r="AD289" s="15">
        <f>ABS(N289)</f>
        <v/>
      </c>
      <c r="AE289" s="15">
        <f>IF(M289&gt;0, ABS(N289)*(L289-$D$16),0)</f>
        <v/>
      </c>
    </row>
    <row r="290">
      <c r="L290" s="15" t="n">
        <v>288</v>
      </c>
      <c r="M290" s="15">
        <f>IF(L290&lt;$D$16,$D$12,IF(L290&lt;$E$16,$E$12,$F$13))</f>
        <v/>
      </c>
      <c r="N290" s="15">
        <f>M290-V290</f>
        <v/>
      </c>
      <c r="O290" s="15">
        <f>IF(MOD(L290,$B$11)=0,OFFSET(O290,-$B$11,0)+ $E$2*N290+$E$3*OFFSET(N290,-$B$11,0)+ $E$4*OFFSET(N290,-2* $B$11,0), O289)</f>
        <v/>
      </c>
      <c r="P290" s="15">
        <f>INT((2^$J$12-1)*O290/100)/(2^$J$12-1)*100</f>
        <v/>
      </c>
      <c r="Q290" s="15" t="n">
        <v>0</v>
      </c>
      <c r="R290" s="15">
        <f>P290+Q290</f>
        <v/>
      </c>
      <c r="S290" s="15">
        <f>$I$1*S289-$I$2*S288+$I$3*R269+$I$4*R268</f>
        <v/>
      </c>
      <c r="T290" s="15" t="n">
        <v>0</v>
      </c>
      <c r="U290" s="15">
        <f>S290+T290</f>
        <v/>
      </c>
      <c r="V290" s="15">
        <f>INT((2^$J$12-1)*U290/100)/(2^$J$12-1)*100</f>
        <v/>
      </c>
      <c r="X290" s="15">
        <f>M290 * 1.05</f>
        <v/>
      </c>
      <c r="Y290" s="15">
        <f>M290 * 0.95</f>
        <v/>
      </c>
      <c r="Z290" s="15">
        <f>IF(AND(V290 &lt;= X290, V290 &gt;= Y290), 1, 0)</f>
        <v/>
      </c>
      <c r="AC290" s="15">
        <f>N290^2</f>
        <v/>
      </c>
      <c r="AD290" s="15">
        <f>ABS(N290)</f>
        <v/>
      </c>
      <c r="AE290" s="15">
        <f>IF(M290&gt;0, ABS(N290)*(L290-$D$16),0)</f>
        <v/>
      </c>
    </row>
    <row r="291">
      <c r="L291" s="15" t="n">
        <v>289</v>
      </c>
      <c r="M291" s="15">
        <f>IF(L291&lt;$D$16,$D$12,IF(L291&lt;$E$16,$E$12,$F$13))</f>
        <v/>
      </c>
      <c r="N291" s="15">
        <f>M291-V291</f>
        <v/>
      </c>
      <c r="O291" s="15">
        <f>IF(MOD(L291,$B$11)=0,OFFSET(O291,-$B$11,0)+ $E$2*N291+$E$3*OFFSET(N291,-$B$11,0)+ $E$4*OFFSET(N291,-2* $B$11,0), O290)</f>
        <v/>
      </c>
      <c r="P291" s="15">
        <f>INT((2^$J$12-1)*O291/100)/(2^$J$12-1)*100</f>
        <v/>
      </c>
      <c r="Q291" s="15" t="n">
        <v>0</v>
      </c>
      <c r="R291" s="15">
        <f>P291+Q291</f>
        <v/>
      </c>
      <c r="S291" s="15">
        <f>$I$1*S290-$I$2*S289+$I$3*R270+$I$4*R269</f>
        <v/>
      </c>
      <c r="T291" s="15" t="n">
        <v>0</v>
      </c>
      <c r="U291" s="15">
        <f>S291+T291</f>
        <v/>
      </c>
      <c r="V291" s="15">
        <f>INT((2^$J$12-1)*U291/100)/(2^$J$12-1)*100</f>
        <v/>
      </c>
      <c r="X291" s="15">
        <f>M291 * 1.05</f>
        <v/>
      </c>
      <c r="Y291" s="15">
        <f>M291 * 0.95</f>
        <v/>
      </c>
      <c r="Z291" s="15">
        <f>IF(AND(V291 &lt;= X291, V291 &gt;= Y291), 1, 0)</f>
        <v/>
      </c>
      <c r="AC291" s="15">
        <f>N291^2</f>
        <v/>
      </c>
      <c r="AD291" s="15">
        <f>ABS(N291)</f>
        <v/>
      </c>
      <c r="AE291" s="15">
        <f>IF(M291&gt;0, ABS(N291)*(L291-$D$16),0)</f>
        <v/>
      </c>
    </row>
    <row r="292">
      <c r="L292" s="15" t="n">
        <v>290</v>
      </c>
      <c r="M292" s="15">
        <f>IF(L292&lt;$D$16,$D$12,IF(L292&lt;$E$16,$E$12,$F$13))</f>
        <v/>
      </c>
      <c r="N292" s="15">
        <f>M292-V292</f>
        <v/>
      </c>
      <c r="O292" s="15">
        <f>IF(MOD(L292,$B$11)=0,OFFSET(O292,-$B$11,0)+ $E$2*N292+$E$3*OFFSET(N292,-$B$11,0)+ $E$4*OFFSET(N292,-2* $B$11,0), O291)</f>
        <v/>
      </c>
      <c r="P292" s="15">
        <f>INT((2^$J$12-1)*O292/100)/(2^$J$12-1)*100</f>
        <v/>
      </c>
      <c r="Q292" s="15" t="n">
        <v>0</v>
      </c>
      <c r="R292" s="15">
        <f>P292+Q292</f>
        <v/>
      </c>
      <c r="S292" s="15">
        <f>$I$1*S291-$I$2*S290+$I$3*R271+$I$4*R270</f>
        <v/>
      </c>
      <c r="T292" s="15" t="n">
        <v>0</v>
      </c>
      <c r="U292" s="15">
        <f>S292+T292</f>
        <v/>
      </c>
      <c r="V292" s="15">
        <f>INT((2^$J$12-1)*U292/100)/(2^$J$12-1)*100</f>
        <v/>
      </c>
      <c r="X292" s="15">
        <f>M292 * 1.05</f>
        <v/>
      </c>
      <c r="Y292" s="15">
        <f>M292 * 0.95</f>
        <v/>
      </c>
      <c r="Z292" s="15">
        <f>IF(AND(V292 &lt;= X292, V292 &gt;= Y292), 1, 0)</f>
        <v/>
      </c>
      <c r="AC292" s="15">
        <f>N292^2</f>
        <v/>
      </c>
      <c r="AD292" s="15">
        <f>ABS(N292)</f>
        <v/>
      </c>
      <c r="AE292" s="15">
        <f>IF(M292&gt;0, ABS(N292)*(L292-$D$16),0)</f>
        <v/>
      </c>
    </row>
    <row r="293">
      <c r="L293" s="15" t="n">
        <v>291</v>
      </c>
      <c r="M293" s="15">
        <f>IF(L293&lt;$D$16,$D$12,IF(L293&lt;$E$16,$E$12,$F$13))</f>
        <v/>
      </c>
      <c r="N293" s="15">
        <f>M293-V293</f>
        <v/>
      </c>
      <c r="O293" s="15">
        <f>IF(MOD(L293,$B$11)=0,OFFSET(O293,-$B$11,0)+ $E$2*N293+$E$3*OFFSET(N293,-$B$11,0)+ $E$4*OFFSET(N293,-2* $B$11,0), O292)</f>
        <v/>
      </c>
      <c r="P293" s="15">
        <f>INT((2^$J$12-1)*O293/100)/(2^$J$12-1)*100</f>
        <v/>
      </c>
      <c r="Q293" s="15" t="n">
        <v>0</v>
      </c>
      <c r="R293" s="15">
        <f>P293+Q293</f>
        <v/>
      </c>
      <c r="S293" s="15">
        <f>$I$1*S292-$I$2*S291+$I$3*R272+$I$4*R271</f>
        <v/>
      </c>
      <c r="T293" s="15" t="n">
        <v>0</v>
      </c>
      <c r="U293" s="15">
        <f>S293+T293</f>
        <v/>
      </c>
      <c r="V293" s="15">
        <f>INT((2^$J$12-1)*U293/100)/(2^$J$12-1)*100</f>
        <v/>
      </c>
      <c r="X293" s="15">
        <f>M293 * 1.05</f>
        <v/>
      </c>
      <c r="Y293" s="15">
        <f>M293 * 0.95</f>
        <v/>
      </c>
      <c r="Z293" s="15">
        <f>IF(AND(V293 &lt;= X293, V293 &gt;= Y293), 1, 0)</f>
        <v/>
      </c>
      <c r="AC293" s="15">
        <f>N293^2</f>
        <v/>
      </c>
      <c r="AD293" s="15">
        <f>ABS(N293)</f>
        <v/>
      </c>
      <c r="AE293" s="15">
        <f>IF(M293&gt;0, ABS(N293)*(L293-$D$16),0)</f>
        <v/>
      </c>
    </row>
    <row r="294">
      <c r="L294" s="15" t="n">
        <v>292</v>
      </c>
      <c r="M294" s="15">
        <f>IF(L294&lt;$D$16,$D$12,IF(L294&lt;$E$16,$E$12,$F$13))</f>
        <v/>
      </c>
      <c r="N294" s="15">
        <f>M294-V294</f>
        <v/>
      </c>
      <c r="O294" s="15">
        <f>IF(MOD(L294,$B$11)=0,OFFSET(O294,-$B$11,0)+ $E$2*N294+$E$3*OFFSET(N294,-$B$11,0)+ $E$4*OFFSET(N294,-2* $B$11,0), O293)</f>
        <v/>
      </c>
      <c r="P294" s="15">
        <f>INT((2^$J$12-1)*O294/100)/(2^$J$12-1)*100</f>
        <v/>
      </c>
      <c r="Q294" s="15" t="n">
        <v>0</v>
      </c>
      <c r="R294" s="15">
        <f>P294+Q294</f>
        <v/>
      </c>
      <c r="S294" s="15">
        <f>$I$1*S293-$I$2*S292+$I$3*R273+$I$4*R272</f>
        <v/>
      </c>
      <c r="T294" s="15" t="n">
        <v>0</v>
      </c>
      <c r="U294" s="15">
        <f>S294+T294</f>
        <v/>
      </c>
      <c r="V294" s="15">
        <f>INT((2^$J$12-1)*U294/100)/(2^$J$12-1)*100</f>
        <v/>
      </c>
      <c r="X294" s="15">
        <f>M294 * 1.05</f>
        <v/>
      </c>
      <c r="Y294" s="15">
        <f>M294 * 0.95</f>
        <v/>
      </c>
      <c r="Z294" s="15">
        <f>IF(AND(V294 &lt;= X294, V294 &gt;= Y294), 1, 0)</f>
        <v/>
      </c>
      <c r="AC294" s="15">
        <f>N294^2</f>
        <v/>
      </c>
      <c r="AD294" s="15">
        <f>ABS(N294)</f>
        <v/>
      </c>
      <c r="AE294" s="15">
        <f>IF(M294&gt;0, ABS(N294)*(L294-$D$16),0)</f>
        <v/>
      </c>
    </row>
    <row r="295">
      <c r="L295" s="15" t="n">
        <v>293</v>
      </c>
      <c r="M295" s="15">
        <f>IF(L295&lt;$D$16,$D$12,IF(L295&lt;$E$16,$E$12,$F$13))</f>
        <v/>
      </c>
      <c r="N295" s="15">
        <f>M295-V295</f>
        <v/>
      </c>
      <c r="O295" s="15">
        <f>IF(MOD(L295,$B$11)=0,OFFSET(O295,-$B$11,0)+ $E$2*N295+$E$3*OFFSET(N295,-$B$11,0)+ $E$4*OFFSET(N295,-2* $B$11,0), O294)</f>
        <v/>
      </c>
      <c r="P295" s="15">
        <f>INT((2^$J$12-1)*O295/100)/(2^$J$12-1)*100</f>
        <v/>
      </c>
      <c r="Q295" s="15" t="n">
        <v>0</v>
      </c>
      <c r="R295" s="15">
        <f>P295+Q295</f>
        <v/>
      </c>
      <c r="S295" s="15">
        <f>$I$1*S294-$I$2*S293+$I$3*R274+$I$4*R273</f>
        <v/>
      </c>
      <c r="T295" s="15" t="n">
        <v>0</v>
      </c>
      <c r="U295" s="15">
        <f>S295+T295</f>
        <v/>
      </c>
      <c r="V295" s="15">
        <f>INT((2^$J$12-1)*U295/100)/(2^$J$12-1)*100</f>
        <v/>
      </c>
      <c r="X295" s="15">
        <f>M295 * 1.05</f>
        <v/>
      </c>
      <c r="Y295" s="15">
        <f>M295 * 0.95</f>
        <v/>
      </c>
      <c r="Z295" s="15">
        <f>IF(AND(V295 &lt;= X295, V295 &gt;= Y295), 1, 0)</f>
        <v/>
      </c>
      <c r="AC295" s="15">
        <f>N295^2</f>
        <v/>
      </c>
      <c r="AD295" s="15">
        <f>ABS(N295)</f>
        <v/>
      </c>
      <c r="AE295" s="15">
        <f>IF(M295&gt;0, ABS(N295)*(L295-$D$16),0)</f>
        <v/>
      </c>
    </row>
    <row r="296">
      <c r="L296" s="15" t="n">
        <v>294</v>
      </c>
      <c r="M296" s="15">
        <f>IF(L296&lt;$D$16,$D$12,IF(L296&lt;$E$16,$E$12,$F$13))</f>
        <v/>
      </c>
      <c r="N296" s="15">
        <f>M296-V296</f>
        <v/>
      </c>
      <c r="O296" s="15">
        <f>IF(MOD(L296,$B$11)=0,OFFSET(O296,-$B$11,0)+ $E$2*N296+$E$3*OFFSET(N296,-$B$11,0)+ $E$4*OFFSET(N296,-2* $B$11,0), O295)</f>
        <v/>
      </c>
      <c r="P296" s="15">
        <f>INT((2^$J$12-1)*O296/100)/(2^$J$12-1)*100</f>
        <v/>
      </c>
      <c r="Q296" s="15" t="n">
        <v>0</v>
      </c>
      <c r="R296" s="15">
        <f>P296+Q296</f>
        <v/>
      </c>
      <c r="S296" s="15">
        <f>$I$1*S295-$I$2*S294+$I$3*R275+$I$4*R274</f>
        <v/>
      </c>
      <c r="T296" s="15" t="n">
        <v>0</v>
      </c>
      <c r="U296" s="15">
        <f>S296+T296</f>
        <v/>
      </c>
      <c r="V296" s="15">
        <f>INT((2^$J$12-1)*U296/100)/(2^$J$12-1)*100</f>
        <v/>
      </c>
      <c r="X296" s="15">
        <f>M296 * 1.05</f>
        <v/>
      </c>
      <c r="Y296" s="15">
        <f>M296 * 0.95</f>
        <v/>
      </c>
      <c r="Z296" s="15">
        <f>IF(AND(V296 &lt;= X296, V296 &gt;= Y296), 1, 0)</f>
        <v/>
      </c>
      <c r="AC296" s="15">
        <f>N296^2</f>
        <v/>
      </c>
      <c r="AD296" s="15">
        <f>ABS(N296)</f>
        <v/>
      </c>
      <c r="AE296" s="15">
        <f>IF(M296&gt;0, ABS(N296)*(L296-$D$16),0)</f>
        <v/>
      </c>
    </row>
    <row r="297">
      <c r="L297" s="15" t="n">
        <v>295</v>
      </c>
      <c r="M297" s="15">
        <f>IF(L297&lt;$D$16,$D$12,IF(L297&lt;$E$16,$E$12,$F$13))</f>
        <v/>
      </c>
      <c r="N297" s="15">
        <f>M297-V297</f>
        <v/>
      </c>
      <c r="O297" s="15">
        <f>IF(MOD(L297,$B$11)=0,OFFSET(O297,-$B$11,0)+ $E$2*N297+$E$3*OFFSET(N297,-$B$11,0)+ $E$4*OFFSET(N297,-2* $B$11,0), O296)</f>
        <v/>
      </c>
      <c r="P297" s="15">
        <f>INT((2^$J$12-1)*O297/100)/(2^$J$12-1)*100</f>
        <v/>
      </c>
      <c r="Q297" s="15" t="n">
        <v>0</v>
      </c>
      <c r="R297" s="15">
        <f>P297+Q297</f>
        <v/>
      </c>
      <c r="S297" s="15">
        <f>$I$1*S296-$I$2*S295+$I$3*R276+$I$4*R275</f>
        <v/>
      </c>
      <c r="T297" s="15" t="n">
        <v>0</v>
      </c>
      <c r="U297" s="15">
        <f>S297+T297</f>
        <v/>
      </c>
      <c r="V297" s="15">
        <f>INT((2^$J$12-1)*U297/100)/(2^$J$12-1)*100</f>
        <v/>
      </c>
      <c r="X297" s="15">
        <f>M297 * 1.05</f>
        <v/>
      </c>
      <c r="Y297" s="15">
        <f>M297 * 0.95</f>
        <v/>
      </c>
      <c r="Z297" s="15">
        <f>IF(AND(V297 &lt;= X297, V297 &gt;= Y297), 1, 0)</f>
        <v/>
      </c>
      <c r="AC297" s="15">
        <f>N297^2</f>
        <v/>
      </c>
      <c r="AD297" s="15">
        <f>ABS(N297)</f>
        <v/>
      </c>
      <c r="AE297" s="15">
        <f>IF(M297&gt;0, ABS(N297)*(L297-$D$16),0)</f>
        <v/>
      </c>
    </row>
    <row r="298">
      <c r="L298" s="15" t="n">
        <v>296</v>
      </c>
      <c r="M298" s="15">
        <f>IF(L298&lt;$D$16,$D$12,IF(L298&lt;$E$16,$E$12,$F$13))</f>
        <v/>
      </c>
      <c r="N298" s="15">
        <f>M298-V298</f>
        <v/>
      </c>
      <c r="O298" s="15">
        <f>IF(MOD(L298,$B$11)=0,OFFSET(O298,-$B$11,0)+ $E$2*N298+$E$3*OFFSET(N298,-$B$11,0)+ $E$4*OFFSET(N298,-2* $B$11,0), O297)</f>
        <v/>
      </c>
      <c r="P298" s="15">
        <f>INT((2^$J$12-1)*O298/100)/(2^$J$12-1)*100</f>
        <v/>
      </c>
      <c r="Q298" s="15" t="n">
        <v>0</v>
      </c>
      <c r="R298" s="15">
        <f>P298+Q298</f>
        <v/>
      </c>
      <c r="S298" s="15">
        <f>$I$1*S297-$I$2*S296+$I$3*R277+$I$4*R276</f>
        <v/>
      </c>
      <c r="T298" s="15" t="n">
        <v>0</v>
      </c>
      <c r="U298" s="15">
        <f>S298+T298</f>
        <v/>
      </c>
      <c r="V298" s="15">
        <f>INT((2^$J$12-1)*U298/100)/(2^$J$12-1)*100</f>
        <v/>
      </c>
      <c r="X298" s="15">
        <f>M298 * 1.05</f>
        <v/>
      </c>
      <c r="Y298" s="15">
        <f>M298 * 0.95</f>
        <v/>
      </c>
      <c r="Z298" s="15">
        <f>IF(AND(V298 &lt;= X298, V298 &gt;= Y298), 1, 0)</f>
        <v/>
      </c>
      <c r="AC298" s="15">
        <f>N298^2</f>
        <v/>
      </c>
      <c r="AD298" s="15">
        <f>ABS(N298)</f>
        <v/>
      </c>
      <c r="AE298" s="15">
        <f>IF(M298&gt;0, ABS(N298)*(L298-$D$16),0)</f>
        <v/>
      </c>
    </row>
    <row r="299">
      <c r="L299" s="15" t="n">
        <v>297</v>
      </c>
      <c r="M299" s="15">
        <f>IF(L299&lt;$D$16,$D$12,IF(L299&lt;$E$16,$E$12,$F$13))</f>
        <v/>
      </c>
      <c r="N299" s="15">
        <f>M299-V299</f>
        <v/>
      </c>
      <c r="O299" s="15">
        <f>IF(MOD(L299,$B$11)=0,OFFSET(O299,-$B$11,0)+ $E$2*N299+$E$3*OFFSET(N299,-$B$11,0)+ $E$4*OFFSET(N299,-2* $B$11,0), O298)</f>
        <v/>
      </c>
      <c r="P299" s="15">
        <f>INT((2^$J$12-1)*O299/100)/(2^$J$12-1)*100</f>
        <v/>
      </c>
      <c r="Q299" s="15" t="n">
        <v>0</v>
      </c>
      <c r="R299" s="15">
        <f>P299+Q299</f>
        <v/>
      </c>
      <c r="S299" s="15">
        <f>$I$1*S298-$I$2*S297+$I$3*R278+$I$4*R277</f>
        <v/>
      </c>
      <c r="T299" s="15" t="n">
        <v>0</v>
      </c>
      <c r="U299" s="15">
        <f>S299+T299</f>
        <v/>
      </c>
      <c r="V299" s="15">
        <f>INT((2^$J$12-1)*U299/100)/(2^$J$12-1)*100</f>
        <v/>
      </c>
      <c r="X299" s="15">
        <f>M299 * 1.05</f>
        <v/>
      </c>
      <c r="Y299" s="15">
        <f>M299 * 0.95</f>
        <v/>
      </c>
      <c r="Z299" s="15">
        <f>IF(AND(V299 &lt;= X299, V299 &gt;= Y299), 1, 0)</f>
        <v/>
      </c>
      <c r="AC299" s="15">
        <f>N299^2</f>
        <v/>
      </c>
      <c r="AD299" s="15">
        <f>ABS(N299)</f>
        <v/>
      </c>
      <c r="AE299" s="15">
        <f>IF(M299&gt;0, ABS(N299)*(L299-$D$16),0)</f>
        <v/>
      </c>
    </row>
    <row r="300">
      <c r="L300" s="15" t="n">
        <v>298</v>
      </c>
      <c r="M300" s="15">
        <f>IF(L300&lt;$D$16,$D$12,IF(L300&lt;$E$16,$E$12,$F$13))</f>
        <v/>
      </c>
      <c r="N300" s="15">
        <f>M300-V300</f>
        <v/>
      </c>
      <c r="O300" s="15">
        <f>IF(MOD(L300,$B$11)=0,OFFSET(O300,-$B$11,0)+ $E$2*N300+$E$3*OFFSET(N300,-$B$11,0)+ $E$4*OFFSET(N300,-2* $B$11,0), O299)</f>
        <v/>
      </c>
      <c r="P300" s="15">
        <f>INT((2^$J$12-1)*O300/100)/(2^$J$12-1)*100</f>
        <v/>
      </c>
      <c r="Q300" s="15" t="n">
        <v>0</v>
      </c>
      <c r="R300" s="15">
        <f>P300+Q300</f>
        <v/>
      </c>
      <c r="S300" s="15">
        <f>$I$1*S299-$I$2*S298+$I$3*R279+$I$4*R278</f>
        <v/>
      </c>
      <c r="T300" s="15" t="n">
        <v>0</v>
      </c>
      <c r="U300" s="15">
        <f>S300+T300</f>
        <v/>
      </c>
      <c r="V300" s="15">
        <f>INT((2^$J$12-1)*U300/100)/(2^$J$12-1)*100</f>
        <v/>
      </c>
      <c r="X300" s="15">
        <f>M300 * 1.05</f>
        <v/>
      </c>
      <c r="Y300" s="15">
        <f>M300 * 0.95</f>
        <v/>
      </c>
      <c r="Z300" s="15">
        <f>IF(AND(V300 &lt;= X300, V300 &gt;= Y300), 1, 0)</f>
        <v/>
      </c>
      <c r="AC300" s="15">
        <f>N300^2</f>
        <v/>
      </c>
      <c r="AD300" s="15">
        <f>ABS(N300)</f>
        <v/>
      </c>
      <c r="AE300" s="15">
        <f>IF(M300&gt;0, ABS(N300)*(L300-$D$16),0)</f>
        <v/>
      </c>
    </row>
    <row r="301">
      <c r="L301" s="15" t="n">
        <v>299</v>
      </c>
      <c r="M301" s="15">
        <f>IF(L301&lt;$D$16,$D$12,IF(L301&lt;$E$16,$E$12,$F$13))</f>
        <v/>
      </c>
      <c r="N301" s="15">
        <f>M301-V301</f>
        <v/>
      </c>
      <c r="O301" s="15">
        <f>IF(MOD(L301,$B$11)=0,OFFSET(O301,-$B$11,0)+ $E$2*N301+$E$3*OFFSET(N301,-$B$11,0)+ $E$4*OFFSET(N301,-2* $B$11,0), O300)</f>
        <v/>
      </c>
      <c r="P301" s="15">
        <f>INT((2^$J$12-1)*O301/100)/(2^$J$12-1)*100</f>
        <v/>
      </c>
      <c r="Q301" s="15" t="n">
        <v>0</v>
      </c>
      <c r="R301" s="15">
        <f>P301+Q301</f>
        <v/>
      </c>
      <c r="S301" s="15">
        <f>$I$1*S300-$I$2*S299+$I$3*R280+$I$4*R279</f>
        <v/>
      </c>
      <c r="T301" s="15" t="n">
        <v>0</v>
      </c>
      <c r="U301" s="15">
        <f>S301+T301</f>
        <v/>
      </c>
      <c r="V301" s="15">
        <f>INT((2^$J$12-1)*U301/100)/(2^$J$12-1)*100</f>
        <v/>
      </c>
      <c r="X301" s="15">
        <f>M301 * 1.05</f>
        <v/>
      </c>
      <c r="Y301" s="15">
        <f>M301 * 0.95</f>
        <v/>
      </c>
      <c r="Z301" s="15">
        <f>IF(AND(V301 &lt;= X301, V301 &gt;= Y301), 1, 0)</f>
        <v/>
      </c>
      <c r="AC301" s="15">
        <f>N301^2</f>
        <v/>
      </c>
      <c r="AD301" s="15">
        <f>ABS(N301)</f>
        <v/>
      </c>
      <c r="AE301" s="15">
        <f>IF(M301&gt;0, ABS(N301)*(L301-$D$16),0)</f>
        <v/>
      </c>
    </row>
    <row r="302">
      <c r="L302" s="15" t="n">
        <v>300</v>
      </c>
      <c r="M302" s="15">
        <f>IF(L302&lt;$D$16,$D$12,IF(L302&lt;$E$16,$E$12,$F$13))</f>
        <v/>
      </c>
      <c r="N302" s="15">
        <f>M302-V302</f>
        <v/>
      </c>
      <c r="O302" s="15">
        <f>IF(MOD(L302,$B$11)=0,OFFSET(O302,-$B$11,0)+ $E$2*N302+$E$3*OFFSET(N302,-$B$11,0)+ $E$4*OFFSET(N302,-2* $B$11,0), O301)</f>
        <v/>
      </c>
      <c r="P302" s="15">
        <f>INT((2^$J$12-1)*O302/100)/(2^$J$12-1)*100</f>
        <v/>
      </c>
      <c r="Q302" s="15" t="n">
        <v>0</v>
      </c>
      <c r="R302" s="15">
        <f>P302+Q302</f>
        <v/>
      </c>
      <c r="S302" s="15">
        <f>$I$1*S301-$I$2*S300+$I$3*R281+$I$4*R280</f>
        <v/>
      </c>
      <c r="T302" s="15" t="n">
        <v>0</v>
      </c>
      <c r="U302" s="15">
        <f>S302+T302</f>
        <v/>
      </c>
      <c r="V302" s="15">
        <f>INT((2^$J$12-1)*U302/100)/(2^$J$12-1)*100</f>
        <v/>
      </c>
      <c r="X302" s="15">
        <f>M302 * 1.05</f>
        <v/>
      </c>
      <c r="Y302" s="15">
        <f>M302 * 0.95</f>
        <v/>
      </c>
      <c r="Z302" s="15">
        <f>IF(AND(V302 &lt;= X302, V302 &gt;= Y302), 1, 0)</f>
        <v/>
      </c>
      <c r="AC302" s="15">
        <f>N302^2</f>
        <v/>
      </c>
      <c r="AD302" s="15">
        <f>ABS(N302)</f>
        <v/>
      </c>
      <c r="AE302" s="15">
        <f>IF(M302&gt;0, ABS(N302)*(L302-$D$16),0)</f>
        <v/>
      </c>
    </row>
    <row r="303">
      <c r="L303" s="15" t="n">
        <v>301</v>
      </c>
      <c r="M303" s="15">
        <f>IF(L303&lt;$D$16,$D$12,IF(L303&lt;$E$16,$E$12,$F$13))</f>
        <v/>
      </c>
      <c r="N303" s="15">
        <f>M303-V303</f>
        <v/>
      </c>
      <c r="O303" s="15">
        <f>IF(MOD(L303,$B$11)=0,OFFSET(O303,-$B$11,0)+ $E$2*N303+$E$3*OFFSET(N303,-$B$11,0)+ $E$4*OFFSET(N303,-2* $B$11,0), O302)</f>
        <v/>
      </c>
      <c r="P303" s="15">
        <f>INT((2^$J$12-1)*O303/100)/(2^$J$12-1)*100</f>
        <v/>
      </c>
      <c r="Q303" s="15" t="n">
        <v>0</v>
      </c>
      <c r="R303" s="15">
        <f>P303+Q303</f>
        <v/>
      </c>
      <c r="S303" s="15">
        <f>$I$1*S302-$I$2*S301+$I$3*R282+$I$4*R281</f>
        <v/>
      </c>
      <c r="T303" s="15" t="n">
        <v>0</v>
      </c>
      <c r="U303" s="15">
        <f>S303+T303</f>
        <v/>
      </c>
      <c r="V303" s="15">
        <f>INT((2^$J$12-1)*U303/100)/(2^$J$12-1)*100</f>
        <v/>
      </c>
      <c r="X303" s="15">
        <f>M303 * 1.05</f>
        <v/>
      </c>
      <c r="Y303" s="15">
        <f>M303 * 0.95</f>
        <v/>
      </c>
      <c r="Z303" s="15">
        <f>IF(AND(V303 &lt;= X303, V303 &gt;= Y303), 1, 0)</f>
        <v/>
      </c>
      <c r="AC303" s="15">
        <f>N303^2</f>
        <v/>
      </c>
      <c r="AD303" s="15">
        <f>ABS(N303)</f>
        <v/>
      </c>
      <c r="AE303" s="15">
        <f>IF(M303&gt;0, ABS(N303)*(L303-$D$16),0)</f>
        <v/>
      </c>
    </row>
    <row r="304">
      <c r="L304" s="15" t="n">
        <v>302</v>
      </c>
      <c r="M304" s="15">
        <f>IF(L304&lt;$D$16,$D$12,IF(L304&lt;$E$16,$E$12,$F$13))</f>
        <v/>
      </c>
      <c r="N304" s="15">
        <f>M304-V304</f>
        <v/>
      </c>
      <c r="O304" s="15">
        <f>IF(MOD(L304,$B$11)=0,OFFSET(O304,-$B$11,0)+ $E$2*N304+$E$3*OFFSET(N304,-$B$11,0)+ $E$4*OFFSET(N304,-2* $B$11,0), O303)</f>
        <v/>
      </c>
      <c r="P304" s="15">
        <f>INT((2^$J$12-1)*O304/100)/(2^$J$12-1)*100</f>
        <v/>
      </c>
      <c r="Q304" s="15" t="n">
        <v>0</v>
      </c>
      <c r="R304" s="15">
        <f>P304+Q304</f>
        <v/>
      </c>
      <c r="S304" s="15">
        <f>$I$1*S303-$I$2*S302+$I$3*R283+$I$4*R282</f>
        <v/>
      </c>
      <c r="T304" s="15" t="n">
        <v>0</v>
      </c>
      <c r="U304" s="15">
        <f>S304+T304</f>
        <v/>
      </c>
      <c r="V304" s="15">
        <f>INT((2^$J$12-1)*U304/100)/(2^$J$12-1)*100</f>
        <v/>
      </c>
      <c r="X304" s="15">
        <f>M304 * 1.05</f>
        <v/>
      </c>
      <c r="Y304" s="15">
        <f>M304 * 0.95</f>
        <v/>
      </c>
      <c r="Z304" s="15">
        <f>IF(AND(V304 &lt;= X304, V304 &gt;= Y304), 1, 0)</f>
        <v/>
      </c>
      <c r="AC304" s="15">
        <f>N304^2</f>
        <v/>
      </c>
      <c r="AD304" s="15">
        <f>ABS(N304)</f>
        <v/>
      </c>
      <c r="AE304" s="15">
        <f>IF(M304&gt;0, ABS(N304)*(L304-$D$16),0)</f>
        <v/>
      </c>
    </row>
    <row r="305">
      <c r="L305" s="15" t="n">
        <v>303</v>
      </c>
      <c r="M305" s="15">
        <f>IF(L305&lt;$D$16,$D$12,IF(L305&lt;$E$16,$E$12,$F$13))</f>
        <v/>
      </c>
      <c r="N305" s="15">
        <f>M305-V305</f>
        <v/>
      </c>
      <c r="O305" s="15">
        <f>IF(MOD(L305,$B$11)=0,OFFSET(O305,-$B$11,0)+ $E$2*N305+$E$3*OFFSET(N305,-$B$11,0)+ $E$4*OFFSET(N305,-2* $B$11,0), O304)</f>
        <v/>
      </c>
      <c r="P305" s="15">
        <f>INT((2^$J$12-1)*O305/100)/(2^$J$12-1)*100</f>
        <v/>
      </c>
      <c r="Q305" s="15" t="n">
        <v>0</v>
      </c>
      <c r="R305" s="15">
        <f>P305+Q305</f>
        <v/>
      </c>
      <c r="S305" s="15">
        <f>$I$1*S304-$I$2*S303+$I$3*R284+$I$4*R283</f>
        <v/>
      </c>
      <c r="T305" s="15" t="n">
        <v>0</v>
      </c>
      <c r="U305" s="15">
        <f>S305+T305</f>
        <v/>
      </c>
      <c r="V305" s="15">
        <f>INT((2^$J$12-1)*U305/100)/(2^$J$12-1)*100</f>
        <v/>
      </c>
      <c r="X305" s="15">
        <f>M305 * 1.05</f>
        <v/>
      </c>
      <c r="Y305" s="15">
        <f>M305 * 0.95</f>
        <v/>
      </c>
      <c r="Z305" s="15">
        <f>IF(AND(V305 &lt;= X305, V305 &gt;= Y305), 1, 0)</f>
        <v/>
      </c>
      <c r="AC305" s="15">
        <f>N305^2</f>
        <v/>
      </c>
      <c r="AD305" s="15">
        <f>ABS(N305)</f>
        <v/>
      </c>
      <c r="AE305" s="15">
        <f>IF(M305&gt;0, ABS(N305)*(L305-$D$16),0)</f>
        <v/>
      </c>
    </row>
    <row r="306">
      <c r="L306" s="15" t="n">
        <v>304</v>
      </c>
      <c r="M306" s="15">
        <f>IF(L306&lt;$D$16,$D$12,IF(L306&lt;$E$16,$E$12,$F$13))</f>
        <v/>
      </c>
      <c r="N306" s="15">
        <f>M306-V306</f>
        <v/>
      </c>
      <c r="O306" s="15">
        <f>IF(MOD(L306,$B$11)=0,OFFSET(O306,-$B$11,0)+ $E$2*N306+$E$3*OFFSET(N306,-$B$11,0)+ $E$4*OFFSET(N306,-2* $B$11,0), O305)</f>
        <v/>
      </c>
      <c r="P306" s="15">
        <f>INT((2^$J$12-1)*O306/100)/(2^$J$12-1)*100</f>
        <v/>
      </c>
      <c r="Q306" s="15" t="n">
        <v>0</v>
      </c>
      <c r="R306" s="15">
        <f>P306+Q306</f>
        <v/>
      </c>
      <c r="S306" s="15">
        <f>$I$1*S305-$I$2*S304+$I$3*R285+$I$4*R284</f>
        <v/>
      </c>
      <c r="T306" s="15" t="n">
        <v>0</v>
      </c>
      <c r="U306" s="15">
        <f>S306+T306</f>
        <v/>
      </c>
      <c r="V306" s="15">
        <f>INT((2^$J$12-1)*U306/100)/(2^$J$12-1)*100</f>
        <v/>
      </c>
      <c r="X306" s="15">
        <f>M306 * 1.05</f>
        <v/>
      </c>
      <c r="Y306" s="15">
        <f>M306 * 0.95</f>
        <v/>
      </c>
      <c r="Z306" s="15">
        <f>IF(AND(V306 &lt;= X306, V306 &gt;= Y306), 1, 0)</f>
        <v/>
      </c>
      <c r="AC306" s="15">
        <f>N306^2</f>
        <v/>
      </c>
      <c r="AD306" s="15">
        <f>ABS(N306)</f>
        <v/>
      </c>
      <c r="AE306" s="15">
        <f>IF(M306&gt;0, ABS(N306)*(L306-$D$16),0)</f>
        <v/>
      </c>
    </row>
    <row r="307">
      <c r="L307" s="15" t="n">
        <v>305</v>
      </c>
      <c r="M307" s="15">
        <f>IF(L307&lt;$D$16,$D$12,IF(L307&lt;$E$16,$E$12,$F$13))</f>
        <v/>
      </c>
      <c r="N307" s="15">
        <f>M307-V307</f>
        <v/>
      </c>
      <c r="O307" s="15">
        <f>IF(MOD(L307,$B$11)=0,OFFSET(O307,-$B$11,0)+ $E$2*N307+$E$3*OFFSET(N307,-$B$11,0)+ $E$4*OFFSET(N307,-2* $B$11,0), O306)</f>
        <v/>
      </c>
      <c r="P307" s="15">
        <f>INT((2^$J$12-1)*O307/100)/(2^$J$12-1)*100</f>
        <v/>
      </c>
      <c r="Q307" s="15" t="n">
        <v>0</v>
      </c>
      <c r="R307" s="15">
        <f>P307+Q307</f>
        <v/>
      </c>
      <c r="S307" s="15">
        <f>$I$1*S306-$I$2*S305+$I$3*R286+$I$4*R285</f>
        <v/>
      </c>
      <c r="T307" s="15" t="n">
        <v>0</v>
      </c>
      <c r="U307" s="15">
        <f>S307+T307</f>
        <v/>
      </c>
      <c r="V307" s="15">
        <f>INT((2^$J$12-1)*U307/100)/(2^$J$12-1)*100</f>
        <v/>
      </c>
      <c r="X307" s="15">
        <f>M307 * 1.05</f>
        <v/>
      </c>
      <c r="Y307" s="15">
        <f>M307 * 0.95</f>
        <v/>
      </c>
      <c r="Z307" s="15">
        <f>IF(AND(V307 &lt;= X307, V307 &gt;= Y307), 1, 0)</f>
        <v/>
      </c>
      <c r="AC307" s="15">
        <f>N307^2</f>
        <v/>
      </c>
      <c r="AD307" s="15">
        <f>ABS(N307)</f>
        <v/>
      </c>
      <c r="AE307" s="15">
        <f>IF(M307&gt;0, ABS(N307)*(L307-$D$16),0)</f>
        <v/>
      </c>
    </row>
    <row r="308">
      <c r="L308" s="15" t="n">
        <v>306</v>
      </c>
      <c r="M308" s="15">
        <f>IF(L308&lt;$D$16,$D$12,IF(L308&lt;$E$16,$E$12,$F$13))</f>
        <v/>
      </c>
      <c r="N308" s="15">
        <f>M308-V308</f>
        <v/>
      </c>
      <c r="O308" s="15">
        <f>IF(MOD(L308,$B$11)=0,OFFSET(O308,-$B$11,0)+ $E$2*N308+$E$3*OFFSET(N308,-$B$11,0)+ $E$4*OFFSET(N308,-2* $B$11,0), O307)</f>
        <v/>
      </c>
      <c r="P308" s="15">
        <f>INT((2^$J$12-1)*O308/100)/(2^$J$12-1)*100</f>
        <v/>
      </c>
      <c r="Q308" s="15" t="n">
        <v>0</v>
      </c>
      <c r="R308" s="15">
        <f>P308+Q308</f>
        <v/>
      </c>
      <c r="S308" s="15">
        <f>$I$1*S307-$I$2*S306+$I$3*R287+$I$4*R286</f>
        <v/>
      </c>
      <c r="T308" s="15" t="n">
        <v>0</v>
      </c>
      <c r="U308" s="15">
        <f>S308+T308</f>
        <v/>
      </c>
      <c r="V308" s="15">
        <f>INT((2^$J$12-1)*U308/100)/(2^$J$12-1)*100</f>
        <v/>
      </c>
      <c r="X308" s="15">
        <f>M308 * 1.05</f>
        <v/>
      </c>
      <c r="Y308" s="15">
        <f>M308 * 0.95</f>
        <v/>
      </c>
      <c r="Z308" s="15">
        <f>IF(AND(V308 &lt;= X308, V308 &gt;= Y308), 1, 0)</f>
        <v/>
      </c>
      <c r="AC308" s="15">
        <f>N308^2</f>
        <v/>
      </c>
      <c r="AD308" s="15">
        <f>ABS(N308)</f>
        <v/>
      </c>
      <c r="AE308" s="15">
        <f>IF(M308&gt;0, ABS(N308)*(L308-$D$16),0)</f>
        <v/>
      </c>
    </row>
    <row r="309">
      <c r="L309" s="15" t="n">
        <v>307</v>
      </c>
      <c r="M309" s="15">
        <f>IF(L309&lt;$D$16,$D$12,IF(L309&lt;$E$16,$E$12,$F$13))</f>
        <v/>
      </c>
      <c r="N309" s="15">
        <f>M309-V309</f>
        <v/>
      </c>
      <c r="O309" s="15">
        <f>IF(MOD(L309,$B$11)=0,OFFSET(O309,-$B$11,0)+ $E$2*N309+$E$3*OFFSET(N309,-$B$11,0)+ $E$4*OFFSET(N309,-2* $B$11,0), O308)</f>
        <v/>
      </c>
      <c r="P309" s="15">
        <f>INT((2^$J$12-1)*O309/100)/(2^$J$12-1)*100</f>
        <v/>
      </c>
      <c r="Q309" s="15" t="n">
        <v>0</v>
      </c>
      <c r="R309" s="15">
        <f>P309+Q309</f>
        <v/>
      </c>
      <c r="S309" s="15">
        <f>$I$1*S308-$I$2*S307+$I$3*R288+$I$4*R287</f>
        <v/>
      </c>
      <c r="T309" s="15" t="n">
        <v>0</v>
      </c>
      <c r="U309" s="15">
        <f>S309+T309</f>
        <v/>
      </c>
      <c r="V309" s="15">
        <f>INT((2^$J$12-1)*U309/100)/(2^$J$12-1)*100</f>
        <v/>
      </c>
      <c r="X309" s="15">
        <f>M309 * 1.05</f>
        <v/>
      </c>
      <c r="Y309" s="15">
        <f>M309 * 0.95</f>
        <v/>
      </c>
      <c r="Z309" s="15">
        <f>IF(AND(V309 &lt;= X309, V309 &gt;= Y309), 1, 0)</f>
        <v/>
      </c>
      <c r="AC309" s="15">
        <f>N309^2</f>
        <v/>
      </c>
      <c r="AD309" s="15">
        <f>ABS(N309)</f>
        <v/>
      </c>
      <c r="AE309" s="15">
        <f>IF(M309&gt;0, ABS(N309)*(L309-$D$16),0)</f>
        <v/>
      </c>
    </row>
    <row r="310">
      <c r="L310" s="15" t="n">
        <v>308</v>
      </c>
      <c r="M310" s="15">
        <f>IF(L310&lt;$D$16,$D$12,IF(L310&lt;$E$16,$E$12,$F$13))</f>
        <v/>
      </c>
      <c r="N310" s="15">
        <f>M310-V310</f>
        <v/>
      </c>
      <c r="O310" s="15">
        <f>IF(MOD(L310,$B$11)=0,OFFSET(O310,-$B$11,0)+ $E$2*N310+$E$3*OFFSET(N310,-$B$11,0)+ $E$4*OFFSET(N310,-2* $B$11,0), O309)</f>
        <v/>
      </c>
      <c r="P310" s="15">
        <f>INT((2^$J$12-1)*O310/100)/(2^$J$12-1)*100</f>
        <v/>
      </c>
      <c r="Q310" s="15" t="n">
        <v>0</v>
      </c>
      <c r="R310" s="15">
        <f>P310+Q310</f>
        <v/>
      </c>
      <c r="S310" s="15">
        <f>$I$1*S309-$I$2*S308+$I$3*R289+$I$4*R288</f>
        <v/>
      </c>
      <c r="T310" s="15" t="n">
        <v>0</v>
      </c>
      <c r="U310" s="15">
        <f>S310+T310</f>
        <v/>
      </c>
      <c r="V310" s="15">
        <f>INT((2^$J$12-1)*U310/100)/(2^$J$12-1)*100</f>
        <v/>
      </c>
      <c r="X310" s="15">
        <f>M310 * 1.05</f>
        <v/>
      </c>
      <c r="Y310" s="15">
        <f>M310 * 0.95</f>
        <v/>
      </c>
      <c r="Z310" s="15">
        <f>IF(AND(V310 &lt;= X310, V310 &gt;= Y310), 1, 0)</f>
        <v/>
      </c>
      <c r="AC310" s="15">
        <f>N310^2</f>
        <v/>
      </c>
      <c r="AD310" s="15">
        <f>ABS(N310)</f>
        <v/>
      </c>
      <c r="AE310" s="15">
        <f>IF(M310&gt;0, ABS(N310)*(L310-$D$16),0)</f>
        <v/>
      </c>
    </row>
    <row r="311">
      <c r="L311" s="15" t="n">
        <v>309</v>
      </c>
      <c r="M311" s="15">
        <f>IF(L311&lt;$D$16,$D$12,IF(L311&lt;$E$16,$E$12,$F$13))</f>
        <v/>
      </c>
      <c r="N311" s="15">
        <f>M311-V311</f>
        <v/>
      </c>
      <c r="O311" s="15">
        <f>IF(MOD(L311,$B$11)=0,OFFSET(O311,-$B$11,0)+ $E$2*N311+$E$3*OFFSET(N311,-$B$11,0)+ $E$4*OFFSET(N311,-2* $B$11,0), O310)</f>
        <v/>
      </c>
      <c r="P311" s="15">
        <f>INT((2^$J$12-1)*O311/100)/(2^$J$12-1)*100</f>
        <v/>
      </c>
      <c r="Q311" s="15" t="n">
        <v>0</v>
      </c>
      <c r="R311" s="15">
        <f>P311+Q311</f>
        <v/>
      </c>
      <c r="S311" s="15">
        <f>$I$1*S310-$I$2*S309+$I$3*R290+$I$4*R289</f>
        <v/>
      </c>
      <c r="T311" s="15" t="n">
        <v>0</v>
      </c>
      <c r="U311" s="15">
        <f>S311+T311</f>
        <v/>
      </c>
      <c r="V311" s="15">
        <f>INT((2^$J$12-1)*U311/100)/(2^$J$12-1)*100</f>
        <v/>
      </c>
      <c r="X311" s="15">
        <f>M311 * 1.05</f>
        <v/>
      </c>
      <c r="Y311" s="15">
        <f>M311 * 0.95</f>
        <v/>
      </c>
      <c r="Z311" s="15">
        <f>IF(AND(V311 &lt;= X311, V311 &gt;= Y311), 1, 0)</f>
        <v/>
      </c>
      <c r="AC311" s="15">
        <f>N311^2</f>
        <v/>
      </c>
      <c r="AD311" s="15">
        <f>ABS(N311)</f>
        <v/>
      </c>
      <c r="AE311" s="15">
        <f>IF(M311&gt;0, ABS(N311)*(L311-$D$16),0)</f>
        <v/>
      </c>
    </row>
    <row r="312">
      <c r="L312" s="15" t="n">
        <v>310</v>
      </c>
      <c r="M312" s="15">
        <f>IF(L312&lt;$D$16,$D$12,IF(L312&lt;$E$16,$E$12,$F$13))</f>
        <v/>
      </c>
      <c r="N312" s="15">
        <f>M312-V312</f>
        <v/>
      </c>
      <c r="O312" s="15">
        <f>IF(MOD(L312,$B$11)=0,OFFSET(O312,-$B$11,0)+ $E$2*N312+$E$3*OFFSET(N312,-$B$11,0)+ $E$4*OFFSET(N312,-2* $B$11,0), O311)</f>
        <v/>
      </c>
      <c r="P312" s="15">
        <f>INT((2^$J$12-1)*O312/100)/(2^$J$12-1)*100</f>
        <v/>
      </c>
      <c r="Q312" s="15" t="n">
        <v>0</v>
      </c>
      <c r="R312" s="15">
        <f>P312+Q312</f>
        <v/>
      </c>
      <c r="S312" s="15">
        <f>$I$1*S311-$I$2*S310+$I$3*R291+$I$4*R290</f>
        <v/>
      </c>
      <c r="T312" s="15" t="n">
        <v>0</v>
      </c>
      <c r="U312" s="15">
        <f>S312+T312</f>
        <v/>
      </c>
      <c r="V312" s="15">
        <f>INT((2^$J$12-1)*U312/100)/(2^$J$12-1)*100</f>
        <v/>
      </c>
      <c r="X312" s="15">
        <f>M312 * 1.05</f>
        <v/>
      </c>
      <c r="Y312" s="15">
        <f>M312 * 0.95</f>
        <v/>
      </c>
      <c r="Z312" s="15">
        <f>IF(AND(V312 &lt;= X312, V312 &gt;= Y312), 1, 0)</f>
        <v/>
      </c>
      <c r="AC312" s="15">
        <f>N312^2</f>
        <v/>
      </c>
      <c r="AD312" s="15">
        <f>ABS(N312)</f>
        <v/>
      </c>
      <c r="AE312" s="15">
        <f>IF(M312&gt;0, ABS(N312)*(L312-$D$16),0)</f>
        <v/>
      </c>
    </row>
    <row r="313">
      <c r="L313" s="15" t="n">
        <v>311</v>
      </c>
      <c r="M313" s="15">
        <f>IF(L313&lt;$D$16,$D$12,IF(L313&lt;$E$16,$E$12,$F$13))</f>
        <v/>
      </c>
      <c r="N313" s="15">
        <f>M313-V313</f>
        <v/>
      </c>
      <c r="O313" s="15">
        <f>IF(MOD(L313,$B$11)=0,OFFSET(O313,-$B$11,0)+ $E$2*N313+$E$3*OFFSET(N313,-$B$11,0)+ $E$4*OFFSET(N313,-2* $B$11,0), O312)</f>
        <v/>
      </c>
      <c r="P313" s="15">
        <f>INT((2^$J$12-1)*O313/100)/(2^$J$12-1)*100</f>
        <v/>
      </c>
      <c r="Q313" s="15" t="n">
        <v>0</v>
      </c>
      <c r="R313" s="15">
        <f>P313+Q313</f>
        <v/>
      </c>
      <c r="S313" s="15">
        <f>$I$1*S312-$I$2*S311+$I$3*R292+$I$4*R291</f>
        <v/>
      </c>
      <c r="T313" s="15" t="n">
        <v>0</v>
      </c>
      <c r="U313" s="15">
        <f>S313+T313</f>
        <v/>
      </c>
      <c r="V313" s="15">
        <f>INT((2^$J$12-1)*U313/100)/(2^$J$12-1)*100</f>
        <v/>
      </c>
      <c r="X313" s="15">
        <f>M313 * 1.05</f>
        <v/>
      </c>
      <c r="Y313" s="15">
        <f>M313 * 0.95</f>
        <v/>
      </c>
      <c r="Z313" s="15">
        <f>IF(AND(V313 &lt;= X313, V313 &gt;= Y313), 1, 0)</f>
        <v/>
      </c>
      <c r="AC313" s="15">
        <f>N313^2</f>
        <v/>
      </c>
      <c r="AD313" s="15">
        <f>ABS(N313)</f>
        <v/>
      </c>
      <c r="AE313" s="15">
        <f>IF(M313&gt;0, ABS(N313)*(L313-$D$16),0)</f>
        <v/>
      </c>
    </row>
    <row r="314">
      <c r="L314" s="15" t="n">
        <v>312</v>
      </c>
      <c r="M314" s="15">
        <f>IF(L314&lt;$D$16,$D$12,IF(L314&lt;$E$16,$E$12,$F$13))</f>
        <v/>
      </c>
      <c r="N314" s="15">
        <f>M314-V314</f>
        <v/>
      </c>
      <c r="O314" s="15">
        <f>IF(MOD(L314,$B$11)=0,OFFSET(O314,-$B$11,0)+ $E$2*N314+$E$3*OFFSET(N314,-$B$11,0)+ $E$4*OFFSET(N314,-2* $B$11,0), O313)</f>
        <v/>
      </c>
      <c r="P314" s="15">
        <f>INT((2^$J$12-1)*O314/100)/(2^$J$12-1)*100</f>
        <v/>
      </c>
      <c r="Q314" s="15" t="n">
        <v>0</v>
      </c>
      <c r="R314" s="15">
        <f>P314+Q314</f>
        <v/>
      </c>
      <c r="S314" s="15">
        <f>$I$1*S313-$I$2*S312+$I$3*R293+$I$4*R292</f>
        <v/>
      </c>
      <c r="T314" s="15" t="n">
        <v>0</v>
      </c>
      <c r="U314" s="15">
        <f>S314+T314</f>
        <v/>
      </c>
      <c r="V314" s="15">
        <f>INT((2^$J$12-1)*U314/100)/(2^$J$12-1)*100</f>
        <v/>
      </c>
      <c r="X314" s="15">
        <f>M314 * 1.05</f>
        <v/>
      </c>
      <c r="Y314" s="15">
        <f>M314 * 0.95</f>
        <v/>
      </c>
      <c r="Z314" s="15">
        <f>IF(AND(V314 &lt;= X314, V314 &gt;= Y314), 1, 0)</f>
        <v/>
      </c>
      <c r="AC314" s="15">
        <f>N314^2</f>
        <v/>
      </c>
      <c r="AD314" s="15">
        <f>ABS(N314)</f>
        <v/>
      </c>
      <c r="AE314" s="15">
        <f>IF(M314&gt;0, ABS(N314)*(L314-$D$16),0)</f>
        <v/>
      </c>
    </row>
    <row r="315">
      <c r="L315" s="15" t="n">
        <v>313</v>
      </c>
      <c r="M315" s="15">
        <f>IF(L315&lt;$D$16,$D$12,IF(L315&lt;$E$16,$E$12,$F$13))</f>
        <v/>
      </c>
      <c r="N315" s="15">
        <f>M315-V315</f>
        <v/>
      </c>
      <c r="O315" s="15">
        <f>IF(MOD(L315,$B$11)=0,OFFSET(O315,-$B$11,0)+ $E$2*N315+$E$3*OFFSET(N315,-$B$11,0)+ $E$4*OFFSET(N315,-2* $B$11,0), O314)</f>
        <v/>
      </c>
      <c r="P315" s="15">
        <f>INT((2^$J$12-1)*O315/100)/(2^$J$12-1)*100</f>
        <v/>
      </c>
      <c r="Q315" s="15" t="n">
        <v>0</v>
      </c>
      <c r="R315" s="15">
        <f>P315+Q315</f>
        <v/>
      </c>
      <c r="S315" s="15">
        <f>$I$1*S314-$I$2*S313+$I$3*R294+$I$4*R293</f>
        <v/>
      </c>
      <c r="T315" s="15" t="n">
        <v>0</v>
      </c>
      <c r="U315" s="15">
        <f>S315+T315</f>
        <v/>
      </c>
      <c r="V315" s="15">
        <f>INT((2^$J$12-1)*U315/100)/(2^$J$12-1)*100</f>
        <v/>
      </c>
      <c r="X315" s="15">
        <f>M315 * 1.05</f>
        <v/>
      </c>
      <c r="Y315" s="15">
        <f>M315 * 0.95</f>
        <v/>
      </c>
      <c r="Z315" s="15">
        <f>IF(AND(V315 &lt;= X315, V315 &gt;= Y315), 1, 0)</f>
        <v/>
      </c>
      <c r="AC315" s="15">
        <f>N315^2</f>
        <v/>
      </c>
      <c r="AD315" s="15">
        <f>ABS(N315)</f>
        <v/>
      </c>
      <c r="AE315" s="15">
        <f>IF(M315&gt;0, ABS(N315)*(L315-$D$16),0)</f>
        <v/>
      </c>
    </row>
    <row r="316">
      <c r="L316" s="15" t="n">
        <v>314</v>
      </c>
      <c r="M316" s="15">
        <f>IF(L316&lt;$D$16,$D$12,IF(L316&lt;$E$16,$E$12,$F$13))</f>
        <v/>
      </c>
      <c r="N316" s="15">
        <f>M316-V316</f>
        <v/>
      </c>
      <c r="O316" s="15">
        <f>IF(MOD(L316,$B$11)=0,OFFSET(O316,-$B$11,0)+ $E$2*N316+$E$3*OFFSET(N316,-$B$11,0)+ $E$4*OFFSET(N316,-2* $B$11,0), O315)</f>
        <v/>
      </c>
      <c r="P316" s="15">
        <f>INT((2^$J$12-1)*O316/100)/(2^$J$12-1)*100</f>
        <v/>
      </c>
      <c r="Q316" s="15" t="n">
        <v>0</v>
      </c>
      <c r="R316" s="15">
        <f>P316+Q316</f>
        <v/>
      </c>
      <c r="S316" s="15">
        <f>$I$1*S315-$I$2*S314+$I$3*R295+$I$4*R294</f>
        <v/>
      </c>
      <c r="T316" s="15" t="n">
        <v>0</v>
      </c>
      <c r="U316" s="15">
        <f>S316+T316</f>
        <v/>
      </c>
      <c r="V316" s="15">
        <f>INT((2^$J$12-1)*U316/100)/(2^$J$12-1)*100</f>
        <v/>
      </c>
      <c r="X316" s="15">
        <f>M316 * 1.05</f>
        <v/>
      </c>
      <c r="Y316" s="15">
        <f>M316 * 0.95</f>
        <v/>
      </c>
      <c r="Z316" s="15">
        <f>IF(AND(V316 &lt;= X316, V316 &gt;= Y316), 1, 0)</f>
        <v/>
      </c>
      <c r="AC316" s="15">
        <f>N316^2</f>
        <v/>
      </c>
      <c r="AD316" s="15">
        <f>ABS(N316)</f>
        <v/>
      </c>
      <c r="AE316" s="15">
        <f>IF(M316&gt;0, ABS(N316)*(L316-$D$16),0)</f>
        <v/>
      </c>
    </row>
    <row r="317">
      <c r="L317" s="15" t="n">
        <v>315</v>
      </c>
      <c r="M317" s="15">
        <f>IF(L317&lt;$D$16,$D$12,IF(L317&lt;$E$16,$E$12,$F$13))</f>
        <v/>
      </c>
      <c r="N317" s="15">
        <f>M317-V317</f>
        <v/>
      </c>
      <c r="O317" s="15">
        <f>IF(MOD(L317,$B$11)=0,OFFSET(O317,-$B$11,0)+ $E$2*N317+$E$3*OFFSET(N317,-$B$11,0)+ $E$4*OFFSET(N317,-2* $B$11,0), O316)</f>
        <v/>
      </c>
      <c r="P317" s="15">
        <f>INT((2^$J$12-1)*O317/100)/(2^$J$12-1)*100</f>
        <v/>
      </c>
      <c r="Q317" s="15" t="n">
        <v>0</v>
      </c>
      <c r="R317" s="15">
        <f>P317+Q317</f>
        <v/>
      </c>
      <c r="S317" s="15">
        <f>$I$1*S316-$I$2*S315+$I$3*R296+$I$4*R295</f>
        <v/>
      </c>
      <c r="T317" s="15" t="n">
        <v>0</v>
      </c>
      <c r="U317" s="15">
        <f>S317+T317</f>
        <v/>
      </c>
      <c r="V317" s="15">
        <f>INT((2^$J$12-1)*U317/100)/(2^$J$12-1)*100</f>
        <v/>
      </c>
      <c r="X317" s="15">
        <f>M317 * 1.05</f>
        <v/>
      </c>
      <c r="Y317" s="15">
        <f>M317 * 0.95</f>
        <v/>
      </c>
      <c r="Z317" s="15">
        <f>IF(AND(V317 &lt;= X317, V317 &gt;= Y317), 1, 0)</f>
        <v/>
      </c>
      <c r="AC317" s="15">
        <f>N317^2</f>
        <v/>
      </c>
      <c r="AD317" s="15">
        <f>ABS(N317)</f>
        <v/>
      </c>
      <c r="AE317" s="15">
        <f>IF(M317&gt;0, ABS(N317)*(L317-$D$16),0)</f>
        <v/>
      </c>
    </row>
    <row r="318">
      <c r="L318" s="15" t="n">
        <v>316</v>
      </c>
      <c r="M318" s="15">
        <f>IF(L318&lt;$D$16,$D$12,IF(L318&lt;$E$16,$E$12,$F$13))</f>
        <v/>
      </c>
      <c r="N318" s="15">
        <f>M318-V318</f>
        <v/>
      </c>
      <c r="O318" s="15">
        <f>IF(MOD(L318,$B$11)=0,OFFSET(O318,-$B$11,0)+ $E$2*N318+$E$3*OFFSET(N318,-$B$11,0)+ $E$4*OFFSET(N318,-2* $B$11,0), O317)</f>
        <v/>
      </c>
      <c r="P318" s="15">
        <f>INT((2^$J$12-1)*O318/100)/(2^$J$12-1)*100</f>
        <v/>
      </c>
      <c r="Q318" s="15" t="n">
        <v>0</v>
      </c>
      <c r="R318" s="15">
        <f>P318+Q318</f>
        <v/>
      </c>
      <c r="S318" s="15">
        <f>$I$1*S317-$I$2*S316+$I$3*R297+$I$4*R296</f>
        <v/>
      </c>
      <c r="T318" s="15" t="n">
        <v>0</v>
      </c>
      <c r="U318" s="15">
        <f>S318+T318</f>
        <v/>
      </c>
      <c r="V318" s="15">
        <f>INT((2^$J$12-1)*U318/100)/(2^$J$12-1)*100</f>
        <v/>
      </c>
      <c r="X318" s="15">
        <f>M318 * 1.05</f>
        <v/>
      </c>
      <c r="Y318" s="15">
        <f>M318 * 0.95</f>
        <v/>
      </c>
      <c r="Z318" s="15">
        <f>IF(AND(V318 &lt;= X318, V318 &gt;= Y318), 1, 0)</f>
        <v/>
      </c>
      <c r="AC318" s="15">
        <f>N318^2</f>
        <v/>
      </c>
      <c r="AD318" s="15">
        <f>ABS(N318)</f>
        <v/>
      </c>
      <c r="AE318" s="15">
        <f>IF(M318&gt;0, ABS(N318)*(L318-$D$16),0)</f>
        <v/>
      </c>
    </row>
    <row r="319">
      <c r="L319" s="15" t="n">
        <v>317</v>
      </c>
      <c r="M319" s="15">
        <f>IF(L319&lt;$D$16,$D$12,IF(L319&lt;$E$16,$E$12,$F$13))</f>
        <v/>
      </c>
      <c r="N319" s="15">
        <f>M319-V319</f>
        <v/>
      </c>
      <c r="O319" s="15">
        <f>IF(MOD(L319,$B$11)=0,OFFSET(O319,-$B$11,0)+ $E$2*N319+$E$3*OFFSET(N319,-$B$11,0)+ $E$4*OFFSET(N319,-2* $B$11,0), O318)</f>
        <v/>
      </c>
      <c r="P319" s="15">
        <f>INT((2^$J$12-1)*O319/100)/(2^$J$12-1)*100</f>
        <v/>
      </c>
      <c r="Q319" s="15" t="n">
        <v>0</v>
      </c>
      <c r="R319" s="15">
        <f>P319+Q319</f>
        <v/>
      </c>
      <c r="S319" s="15">
        <f>$I$1*S318-$I$2*S317+$I$3*R298+$I$4*R297</f>
        <v/>
      </c>
      <c r="T319" s="15" t="n">
        <v>0</v>
      </c>
      <c r="U319" s="15">
        <f>S319+T319</f>
        <v/>
      </c>
      <c r="V319" s="15">
        <f>INT((2^$J$12-1)*U319/100)/(2^$J$12-1)*100</f>
        <v/>
      </c>
      <c r="X319" s="15">
        <f>M319 * 1.05</f>
        <v/>
      </c>
      <c r="Y319" s="15">
        <f>M319 * 0.95</f>
        <v/>
      </c>
      <c r="Z319" s="15">
        <f>IF(AND(V319 &lt;= X319, V319 &gt;= Y319), 1, 0)</f>
        <v/>
      </c>
      <c r="AC319" s="15">
        <f>N319^2</f>
        <v/>
      </c>
      <c r="AD319" s="15">
        <f>ABS(N319)</f>
        <v/>
      </c>
      <c r="AE319" s="15">
        <f>IF(M319&gt;0, ABS(N319)*(L319-$D$16),0)</f>
        <v/>
      </c>
    </row>
    <row r="320">
      <c r="L320" s="15" t="n">
        <v>318</v>
      </c>
      <c r="M320" s="15">
        <f>IF(L320&lt;$D$16,$D$12,IF(L320&lt;$E$16,$E$12,$F$13))</f>
        <v/>
      </c>
      <c r="N320" s="15">
        <f>M320-V320</f>
        <v/>
      </c>
      <c r="O320" s="15">
        <f>IF(MOD(L320,$B$11)=0,OFFSET(O320,-$B$11,0)+ $E$2*N320+$E$3*OFFSET(N320,-$B$11,0)+ $E$4*OFFSET(N320,-2* $B$11,0), O319)</f>
        <v/>
      </c>
      <c r="P320" s="15">
        <f>INT((2^$J$12-1)*O320/100)/(2^$J$12-1)*100</f>
        <v/>
      </c>
      <c r="Q320" s="15" t="n">
        <v>0</v>
      </c>
      <c r="R320" s="15">
        <f>P320+Q320</f>
        <v/>
      </c>
      <c r="S320" s="15">
        <f>$I$1*S319-$I$2*S318+$I$3*R299+$I$4*R298</f>
        <v/>
      </c>
      <c r="T320" s="15" t="n">
        <v>0</v>
      </c>
      <c r="U320" s="15">
        <f>S320+T320</f>
        <v/>
      </c>
      <c r="V320" s="15">
        <f>INT((2^$J$12-1)*U320/100)/(2^$J$12-1)*100</f>
        <v/>
      </c>
      <c r="X320" s="15">
        <f>M320 * 1.05</f>
        <v/>
      </c>
      <c r="Y320" s="15">
        <f>M320 * 0.95</f>
        <v/>
      </c>
      <c r="Z320" s="15">
        <f>IF(AND(V320 &lt;= X320, V320 &gt;= Y320), 1, 0)</f>
        <v/>
      </c>
      <c r="AC320" s="15">
        <f>N320^2</f>
        <v/>
      </c>
      <c r="AD320" s="15">
        <f>ABS(N320)</f>
        <v/>
      </c>
      <c r="AE320" s="15">
        <f>IF(M320&gt;0, ABS(N320)*(L320-$D$16),0)</f>
        <v/>
      </c>
    </row>
    <row r="321">
      <c r="L321" s="15" t="n">
        <v>319</v>
      </c>
      <c r="M321" s="15">
        <f>IF(L321&lt;$D$16,$D$12,IF(L321&lt;$E$16,$E$12,$F$13))</f>
        <v/>
      </c>
      <c r="N321" s="15">
        <f>M321-V321</f>
        <v/>
      </c>
      <c r="O321" s="15">
        <f>IF(MOD(L321,$B$11)=0,OFFSET(O321,-$B$11,0)+ $E$2*N321+$E$3*OFFSET(N321,-$B$11,0)+ $E$4*OFFSET(N321,-2* $B$11,0), O320)</f>
        <v/>
      </c>
      <c r="P321" s="15">
        <f>INT((2^$J$12-1)*O321/100)/(2^$J$12-1)*100</f>
        <v/>
      </c>
      <c r="Q321" s="15" t="n">
        <v>0</v>
      </c>
      <c r="R321" s="15">
        <f>P321+Q321</f>
        <v/>
      </c>
      <c r="S321" s="15">
        <f>$I$1*S320-$I$2*S319+$I$3*R300+$I$4*R299</f>
        <v/>
      </c>
      <c r="T321" s="15" t="n">
        <v>0</v>
      </c>
      <c r="U321" s="15">
        <f>S321+T321</f>
        <v/>
      </c>
      <c r="V321" s="15">
        <f>INT((2^$J$12-1)*U321/100)/(2^$J$12-1)*100</f>
        <v/>
      </c>
      <c r="X321" s="15">
        <f>M321 * 1.05</f>
        <v/>
      </c>
      <c r="Y321" s="15">
        <f>M321 * 0.95</f>
        <v/>
      </c>
      <c r="Z321" s="15">
        <f>IF(AND(V321 &lt;= X321, V321 &gt;= Y321), 1, 0)</f>
        <v/>
      </c>
      <c r="AC321" s="15">
        <f>N321^2</f>
        <v/>
      </c>
      <c r="AD321" s="15">
        <f>ABS(N321)</f>
        <v/>
      </c>
      <c r="AE321" s="15">
        <f>IF(M321&gt;0, ABS(N321)*(L321-$D$16),0)</f>
        <v/>
      </c>
    </row>
    <row r="322">
      <c r="L322" s="15" t="n">
        <v>320</v>
      </c>
      <c r="M322" s="15">
        <f>IF(L322&lt;$D$16,$D$12,IF(L322&lt;$E$16,$E$12,$F$13))</f>
        <v/>
      </c>
      <c r="N322" s="15">
        <f>M322-V322</f>
        <v/>
      </c>
      <c r="O322" s="15">
        <f>IF(MOD(L322,$B$11)=0,OFFSET(O322,-$B$11,0)+ $E$2*N322+$E$3*OFFSET(N322,-$B$11,0)+ $E$4*OFFSET(N322,-2* $B$11,0), O321)</f>
        <v/>
      </c>
      <c r="P322" s="15">
        <f>INT((2^$J$12-1)*O322/100)/(2^$J$12-1)*100</f>
        <v/>
      </c>
      <c r="Q322" s="15" t="n">
        <v>0</v>
      </c>
      <c r="R322" s="15">
        <f>P322+Q322</f>
        <v/>
      </c>
      <c r="S322" s="15">
        <f>$I$1*S321-$I$2*S320+$I$3*R301+$I$4*R300</f>
        <v/>
      </c>
      <c r="T322" s="15" t="n">
        <v>0</v>
      </c>
      <c r="U322" s="15">
        <f>S322+T322</f>
        <v/>
      </c>
      <c r="V322" s="15">
        <f>INT((2^$J$12-1)*U322/100)/(2^$J$12-1)*100</f>
        <v/>
      </c>
      <c r="X322" s="15">
        <f>M322 * 1.05</f>
        <v/>
      </c>
      <c r="Y322" s="15">
        <f>M322 * 0.95</f>
        <v/>
      </c>
      <c r="Z322" s="15">
        <f>IF(AND(V322 &lt;= X322, V322 &gt;= Y322), 1, 0)</f>
        <v/>
      </c>
      <c r="AC322" s="15">
        <f>N322^2</f>
        <v/>
      </c>
      <c r="AD322" s="15">
        <f>ABS(N322)</f>
        <v/>
      </c>
      <c r="AE322" s="15">
        <f>IF(M322&gt;0, ABS(N322)*(L322-$D$16),0)</f>
        <v/>
      </c>
    </row>
    <row r="323">
      <c r="L323" s="15" t="n">
        <v>321</v>
      </c>
      <c r="M323" s="15">
        <f>IF(L323&lt;$D$16,$D$12,IF(L323&lt;$E$16,$E$12,$F$13))</f>
        <v/>
      </c>
      <c r="N323" s="15">
        <f>M323-V323</f>
        <v/>
      </c>
      <c r="O323" s="15">
        <f>IF(MOD(L323,$B$11)=0,OFFSET(O323,-$B$11,0)+ $E$2*N323+$E$3*OFFSET(N323,-$B$11,0)+ $E$4*OFFSET(N323,-2* $B$11,0), O322)</f>
        <v/>
      </c>
      <c r="P323" s="15">
        <f>INT((2^$J$12-1)*O323/100)/(2^$J$12-1)*100</f>
        <v/>
      </c>
      <c r="Q323" s="15" t="n">
        <v>0</v>
      </c>
      <c r="R323" s="15">
        <f>P323+Q323</f>
        <v/>
      </c>
      <c r="S323" s="15">
        <f>$I$1*S322-$I$2*S321+$I$3*R302+$I$4*R301</f>
        <v/>
      </c>
      <c r="T323" s="15" t="n">
        <v>0</v>
      </c>
      <c r="U323" s="15">
        <f>S323+T323</f>
        <v/>
      </c>
      <c r="V323" s="15">
        <f>INT((2^$J$12-1)*U323/100)/(2^$J$12-1)*100</f>
        <v/>
      </c>
      <c r="X323" s="15">
        <f>M323 * 1.05</f>
        <v/>
      </c>
      <c r="Y323" s="15">
        <f>M323 * 0.95</f>
        <v/>
      </c>
      <c r="Z323" s="15">
        <f>IF(AND(V323 &lt;= X323, V323 &gt;= Y323), 1, 0)</f>
        <v/>
      </c>
      <c r="AC323" s="15">
        <f>N323^2</f>
        <v/>
      </c>
      <c r="AD323" s="15">
        <f>ABS(N323)</f>
        <v/>
      </c>
      <c r="AE323" s="15">
        <f>IF(M323&gt;0, ABS(N323)*(L323-$D$16),0)</f>
        <v/>
      </c>
    </row>
    <row r="324">
      <c r="L324" s="15" t="n">
        <v>322</v>
      </c>
      <c r="M324" s="15">
        <f>IF(L324&lt;$D$16,$D$12,IF(L324&lt;$E$16,$E$12,$F$13))</f>
        <v/>
      </c>
      <c r="N324" s="15">
        <f>M324-V324</f>
        <v/>
      </c>
      <c r="O324" s="15">
        <f>IF(MOD(L324,$B$11)=0,OFFSET(O324,-$B$11,0)+ $E$2*N324+$E$3*OFFSET(N324,-$B$11,0)+ $E$4*OFFSET(N324,-2* $B$11,0), O323)</f>
        <v/>
      </c>
      <c r="P324" s="15">
        <f>INT((2^$J$12-1)*O324/100)/(2^$J$12-1)*100</f>
        <v/>
      </c>
      <c r="Q324" s="15" t="n">
        <v>0</v>
      </c>
      <c r="R324" s="15">
        <f>P324+Q324</f>
        <v/>
      </c>
      <c r="S324" s="15">
        <f>$I$1*S323-$I$2*S322+$I$3*R303+$I$4*R302</f>
        <v/>
      </c>
      <c r="T324" s="15" t="n">
        <v>0</v>
      </c>
      <c r="U324" s="15">
        <f>S324+T324</f>
        <v/>
      </c>
      <c r="V324" s="15">
        <f>INT((2^$J$12-1)*U324/100)/(2^$J$12-1)*100</f>
        <v/>
      </c>
      <c r="X324" s="15">
        <f>M324 * 1.05</f>
        <v/>
      </c>
      <c r="Y324" s="15">
        <f>M324 * 0.95</f>
        <v/>
      </c>
      <c r="Z324" s="15">
        <f>IF(AND(V324 &lt;= X324, V324 &gt;= Y324), 1, 0)</f>
        <v/>
      </c>
      <c r="AC324" s="15">
        <f>N324^2</f>
        <v/>
      </c>
      <c r="AD324" s="15">
        <f>ABS(N324)</f>
        <v/>
      </c>
      <c r="AE324" s="15">
        <f>IF(M324&gt;0, ABS(N324)*(L324-$D$16),0)</f>
        <v/>
      </c>
    </row>
    <row r="325">
      <c r="L325" s="15" t="n">
        <v>323</v>
      </c>
      <c r="M325" s="15">
        <f>IF(L325&lt;$D$16,$D$12,IF(L325&lt;$E$16,$E$12,$F$13))</f>
        <v/>
      </c>
      <c r="N325" s="15">
        <f>M325-V325</f>
        <v/>
      </c>
      <c r="O325" s="15">
        <f>IF(MOD(L325,$B$11)=0,OFFSET(O325,-$B$11,0)+ $E$2*N325+$E$3*OFFSET(N325,-$B$11,0)+ $E$4*OFFSET(N325,-2* $B$11,0), O324)</f>
        <v/>
      </c>
      <c r="P325" s="15">
        <f>INT((2^$J$12-1)*O325/100)/(2^$J$12-1)*100</f>
        <v/>
      </c>
      <c r="Q325" s="15" t="n">
        <v>0</v>
      </c>
      <c r="R325" s="15">
        <f>P325+Q325</f>
        <v/>
      </c>
      <c r="S325" s="15">
        <f>$I$1*S324-$I$2*S323+$I$3*R304+$I$4*R303</f>
        <v/>
      </c>
      <c r="T325" s="15" t="n">
        <v>0</v>
      </c>
      <c r="U325" s="15">
        <f>S325+T325</f>
        <v/>
      </c>
      <c r="V325" s="15">
        <f>INT((2^$J$12-1)*U325/100)/(2^$J$12-1)*100</f>
        <v/>
      </c>
      <c r="X325" s="15">
        <f>M325 * 1.05</f>
        <v/>
      </c>
      <c r="Y325" s="15">
        <f>M325 * 0.95</f>
        <v/>
      </c>
      <c r="Z325" s="15">
        <f>IF(AND(V325 &lt;= X325, V325 &gt;= Y325), 1, 0)</f>
        <v/>
      </c>
      <c r="AC325" s="15">
        <f>N325^2</f>
        <v/>
      </c>
      <c r="AD325" s="15">
        <f>ABS(N325)</f>
        <v/>
      </c>
      <c r="AE325" s="15">
        <f>IF(M325&gt;0, ABS(N325)*(L325-$D$16),0)</f>
        <v/>
      </c>
    </row>
    <row r="326">
      <c r="L326" s="15" t="n">
        <v>324</v>
      </c>
      <c r="M326" s="15">
        <f>IF(L326&lt;$D$16,$D$12,IF(L326&lt;$E$16,$E$12,$F$13))</f>
        <v/>
      </c>
      <c r="N326" s="15">
        <f>M326-V326</f>
        <v/>
      </c>
      <c r="O326" s="15">
        <f>IF(MOD(L326,$B$11)=0,OFFSET(O326,-$B$11,0)+ $E$2*N326+$E$3*OFFSET(N326,-$B$11,0)+ $E$4*OFFSET(N326,-2* $B$11,0), O325)</f>
        <v/>
      </c>
      <c r="P326" s="15">
        <f>INT((2^$J$12-1)*O326/100)/(2^$J$12-1)*100</f>
        <v/>
      </c>
      <c r="Q326" s="15" t="n">
        <v>0</v>
      </c>
      <c r="R326" s="15">
        <f>P326+Q326</f>
        <v/>
      </c>
      <c r="S326" s="15">
        <f>$I$1*S325-$I$2*S324+$I$3*R305+$I$4*R304</f>
        <v/>
      </c>
      <c r="T326" s="15" t="n">
        <v>0</v>
      </c>
      <c r="U326" s="15">
        <f>S326+T326</f>
        <v/>
      </c>
      <c r="V326" s="15">
        <f>INT((2^$J$12-1)*U326/100)/(2^$J$12-1)*100</f>
        <v/>
      </c>
      <c r="X326" s="15">
        <f>M326 * 1.05</f>
        <v/>
      </c>
      <c r="Y326" s="15">
        <f>M326 * 0.95</f>
        <v/>
      </c>
      <c r="Z326" s="15">
        <f>IF(AND(V326 &lt;= X326, V326 &gt;= Y326), 1, 0)</f>
        <v/>
      </c>
      <c r="AC326" s="15">
        <f>N326^2</f>
        <v/>
      </c>
      <c r="AD326" s="15">
        <f>ABS(N326)</f>
        <v/>
      </c>
      <c r="AE326" s="15">
        <f>IF(M326&gt;0, ABS(N326)*(L326-$D$16),0)</f>
        <v/>
      </c>
    </row>
    <row r="327">
      <c r="L327" s="15" t="n">
        <v>325</v>
      </c>
      <c r="M327" s="15">
        <f>IF(L327&lt;$D$16,$D$12,IF(L327&lt;$E$16,$E$12,$F$13))</f>
        <v/>
      </c>
      <c r="N327" s="15">
        <f>M327-V327</f>
        <v/>
      </c>
      <c r="O327" s="15">
        <f>IF(MOD(L327,$B$11)=0,OFFSET(O327,-$B$11,0)+ $E$2*N327+$E$3*OFFSET(N327,-$B$11,0)+ $E$4*OFFSET(N327,-2* $B$11,0), O326)</f>
        <v/>
      </c>
      <c r="P327" s="15">
        <f>INT((2^$J$12-1)*O327/100)/(2^$J$12-1)*100</f>
        <v/>
      </c>
      <c r="Q327" s="15" t="n">
        <v>0</v>
      </c>
      <c r="R327" s="15">
        <f>P327+Q327</f>
        <v/>
      </c>
      <c r="S327" s="15">
        <f>$I$1*S326-$I$2*S325+$I$3*R306+$I$4*R305</f>
        <v/>
      </c>
      <c r="T327" s="15" t="n">
        <v>0</v>
      </c>
      <c r="U327" s="15">
        <f>S327+T327</f>
        <v/>
      </c>
      <c r="V327" s="15">
        <f>INT((2^$J$12-1)*U327/100)/(2^$J$12-1)*100</f>
        <v/>
      </c>
      <c r="X327" s="15">
        <f>M327 * 1.05</f>
        <v/>
      </c>
      <c r="Y327" s="15">
        <f>M327 * 0.95</f>
        <v/>
      </c>
      <c r="Z327" s="15">
        <f>IF(AND(V327 &lt;= X327, V327 &gt;= Y327), 1, 0)</f>
        <v/>
      </c>
      <c r="AC327" s="15">
        <f>N327^2</f>
        <v/>
      </c>
      <c r="AD327" s="15">
        <f>ABS(N327)</f>
        <v/>
      </c>
      <c r="AE327" s="15">
        <f>IF(M327&gt;0, ABS(N327)*(L327-$D$16),0)</f>
        <v/>
      </c>
    </row>
    <row r="328">
      <c r="L328" s="15" t="n">
        <v>326</v>
      </c>
      <c r="M328" s="15">
        <f>IF(L328&lt;$D$16,$D$12,IF(L328&lt;$E$16,$E$12,$F$13))</f>
        <v/>
      </c>
      <c r="N328" s="15">
        <f>M328-V328</f>
        <v/>
      </c>
      <c r="O328" s="15">
        <f>IF(MOD(L328,$B$11)=0,OFFSET(O328,-$B$11,0)+ $E$2*N328+$E$3*OFFSET(N328,-$B$11,0)+ $E$4*OFFSET(N328,-2* $B$11,0), O327)</f>
        <v/>
      </c>
      <c r="P328" s="15">
        <f>INT((2^$J$12-1)*O328/100)/(2^$J$12-1)*100</f>
        <v/>
      </c>
      <c r="Q328" s="15" t="n">
        <v>0</v>
      </c>
      <c r="R328" s="15">
        <f>P328+Q328</f>
        <v/>
      </c>
      <c r="S328" s="15">
        <f>$I$1*S327-$I$2*S326+$I$3*R307+$I$4*R306</f>
        <v/>
      </c>
      <c r="T328" s="15" t="n">
        <v>0</v>
      </c>
      <c r="U328" s="15">
        <f>S328+T328</f>
        <v/>
      </c>
      <c r="V328" s="15">
        <f>INT((2^$J$12-1)*U328/100)/(2^$J$12-1)*100</f>
        <v/>
      </c>
      <c r="X328" s="15">
        <f>M328 * 1.05</f>
        <v/>
      </c>
      <c r="Y328" s="15">
        <f>M328 * 0.95</f>
        <v/>
      </c>
      <c r="Z328" s="15">
        <f>IF(AND(V328 &lt;= X328, V328 &gt;= Y328), 1, 0)</f>
        <v/>
      </c>
      <c r="AC328" s="15">
        <f>N328^2</f>
        <v/>
      </c>
      <c r="AD328" s="15">
        <f>ABS(N328)</f>
        <v/>
      </c>
      <c r="AE328" s="15">
        <f>IF(M328&gt;0, ABS(N328)*(L328-$D$16),0)</f>
        <v/>
      </c>
    </row>
    <row r="329">
      <c r="L329" s="15" t="n">
        <v>327</v>
      </c>
      <c r="M329" s="15">
        <f>IF(L329&lt;$D$16,$D$12,IF(L329&lt;$E$16,$E$12,$F$13))</f>
        <v/>
      </c>
      <c r="N329" s="15">
        <f>M329-V329</f>
        <v/>
      </c>
      <c r="O329" s="15">
        <f>IF(MOD(L329,$B$11)=0,OFFSET(O329,-$B$11,0)+ $E$2*N329+$E$3*OFFSET(N329,-$B$11,0)+ $E$4*OFFSET(N329,-2* $B$11,0), O328)</f>
        <v/>
      </c>
      <c r="P329" s="15">
        <f>INT((2^$J$12-1)*O329/100)/(2^$J$12-1)*100</f>
        <v/>
      </c>
      <c r="Q329" s="15" t="n">
        <v>0</v>
      </c>
      <c r="R329" s="15">
        <f>P329+Q329</f>
        <v/>
      </c>
      <c r="S329" s="15">
        <f>$I$1*S328-$I$2*S327+$I$3*R308+$I$4*R307</f>
        <v/>
      </c>
      <c r="T329" s="15" t="n">
        <v>0</v>
      </c>
      <c r="U329" s="15">
        <f>S329+T329</f>
        <v/>
      </c>
      <c r="V329" s="15">
        <f>INT((2^$J$12-1)*U329/100)/(2^$J$12-1)*100</f>
        <v/>
      </c>
      <c r="X329" s="15">
        <f>M329 * 1.05</f>
        <v/>
      </c>
      <c r="Y329" s="15">
        <f>M329 * 0.95</f>
        <v/>
      </c>
      <c r="Z329" s="15">
        <f>IF(AND(V329 &lt;= X329, V329 &gt;= Y329), 1, 0)</f>
        <v/>
      </c>
      <c r="AC329" s="15">
        <f>N329^2</f>
        <v/>
      </c>
      <c r="AD329" s="15">
        <f>ABS(N329)</f>
        <v/>
      </c>
      <c r="AE329" s="15">
        <f>IF(M329&gt;0, ABS(N329)*(L329-$D$16),0)</f>
        <v/>
      </c>
    </row>
    <row r="330">
      <c r="L330" s="15" t="n">
        <v>328</v>
      </c>
      <c r="M330" s="15">
        <f>IF(L330&lt;$D$16,$D$12,IF(L330&lt;$E$16,$E$12,$F$13))</f>
        <v/>
      </c>
      <c r="N330" s="15">
        <f>M330-V330</f>
        <v/>
      </c>
      <c r="O330" s="15">
        <f>IF(MOD(L330,$B$11)=0,OFFSET(O330,-$B$11,0)+ $E$2*N330+$E$3*OFFSET(N330,-$B$11,0)+ $E$4*OFFSET(N330,-2* $B$11,0), O329)</f>
        <v/>
      </c>
      <c r="P330" s="15">
        <f>INT((2^$J$12-1)*O330/100)/(2^$J$12-1)*100</f>
        <v/>
      </c>
      <c r="Q330" s="15" t="n">
        <v>0</v>
      </c>
      <c r="R330" s="15">
        <f>P330+Q330</f>
        <v/>
      </c>
      <c r="S330" s="15">
        <f>$I$1*S329-$I$2*S328+$I$3*R309+$I$4*R308</f>
        <v/>
      </c>
      <c r="T330" s="15" t="n">
        <v>0</v>
      </c>
      <c r="U330" s="15">
        <f>S330+T330</f>
        <v/>
      </c>
      <c r="V330" s="15">
        <f>INT((2^$J$12-1)*U330/100)/(2^$J$12-1)*100</f>
        <v/>
      </c>
      <c r="X330" s="15">
        <f>M330 * 1.05</f>
        <v/>
      </c>
      <c r="Y330" s="15">
        <f>M330 * 0.95</f>
        <v/>
      </c>
      <c r="Z330" s="15">
        <f>IF(AND(V330 &lt;= X330, V330 &gt;= Y330), 1, 0)</f>
        <v/>
      </c>
      <c r="AC330" s="15">
        <f>N330^2</f>
        <v/>
      </c>
      <c r="AD330" s="15">
        <f>ABS(N330)</f>
        <v/>
      </c>
      <c r="AE330" s="15">
        <f>IF(M330&gt;0, ABS(N330)*(L330-$D$16),0)</f>
        <v/>
      </c>
    </row>
    <row r="331">
      <c r="L331" s="15" t="n">
        <v>329</v>
      </c>
      <c r="M331" s="15">
        <f>IF(L331&lt;$D$16,$D$12,IF(L331&lt;$E$16,$E$12,$F$13))</f>
        <v/>
      </c>
      <c r="N331" s="15">
        <f>M331-V331</f>
        <v/>
      </c>
      <c r="O331" s="15">
        <f>IF(MOD(L331,$B$11)=0,OFFSET(O331,-$B$11,0)+ $E$2*N331+$E$3*OFFSET(N331,-$B$11,0)+ $E$4*OFFSET(N331,-2* $B$11,0), O330)</f>
        <v/>
      </c>
      <c r="P331" s="15">
        <f>INT((2^$J$12-1)*O331/100)/(2^$J$12-1)*100</f>
        <v/>
      </c>
      <c r="Q331" s="15" t="n">
        <v>0</v>
      </c>
      <c r="R331" s="15">
        <f>P331+Q331</f>
        <v/>
      </c>
      <c r="S331" s="15">
        <f>$I$1*S330-$I$2*S329+$I$3*R310+$I$4*R309</f>
        <v/>
      </c>
      <c r="T331" s="15" t="n">
        <v>0</v>
      </c>
      <c r="U331" s="15">
        <f>S331+T331</f>
        <v/>
      </c>
      <c r="V331" s="15">
        <f>INT((2^$J$12-1)*U331/100)/(2^$J$12-1)*100</f>
        <v/>
      </c>
      <c r="X331" s="15">
        <f>M331 * 1.05</f>
        <v/>
      </c>
      <c r="Y331" s="15">
        <f>M331 * 0.95</f>
        <v/>
      </c>
      <c r="Z331" s="15">
        <f>IF(AND(V331 &lt;= X331, V331 &gt;= Y331), 1, 0)</f>
        <v/>
      </c>
      <c r="AC331" s="15">
        <f>N331^2</f>
        <v/>
      </c>
      <c r="AD331" s="15">
        <f>ABS(N331)</f>
        <v/>
      </c>
      <c r="AE331" s="15">
        <f>IF(M331&gt;0, ABS(N331)*(L331-$D$16),0)</f>
        <v/>
      </c>
    </row>
    <row r="332">
      <c r="L332" s="15" t="n">
        <v>330</v>
      </c>
      <c r="M332" s="15">
        <f>IF(L332&lt;$D$16,$D$12,IF(L332&lt;$E$16,$E$12,$F$13))</f>
        <v/>
      </c>
      <c r="N332" s="15">
        <f>M332-V332</f>
        <v/>
      </c>
      <c r="O332" s="15">
        <f>IF(MOD(L332,$B$11)=0,OFFSET(O332,-$B$11,0)+ $E$2*N332+$E$3*OFFSET(N332,-$B$11,0)+ $E$4*OFFSET(N332,-2* $B$11,0), O331)</f>
        <v/>
      </c>
      <c r="P332" s="15">
        <f>INT((2^$J$12-1)*O332/100)/(2^$J$12-1)*100</f>
        <v/>
      </c>
      <c r="Q332" s="15" t="n">
        <v>0</v>
      </c>
      <c r="R332" s="15">
        <f>P332+Q332</f>
        <v/>
      </c>
      <c r="S332" s="15">
        <f>$I$1*S331-$I$2*S330+$I$3*R311+$I$4*R310</f>
        <v/>
      </c>
      <c r="T332" s="15" t="n">
        <v>0</v>
      </c>
      <c r="U332" s="15">
        <f>S332+T332</f>
        <v/>
      </c>
      <c r="V332" s="15">
        <f>INT((2^$J$12-1)*U332/100)/(2^$J$12-1)*100</f>
        <v/>
      </c>
      <c r="X332" s="15">
        <f>M332 * 1.05</f>
        <v/>
      </c>
      <c r="Y332" s="15">
        <f>M332 * 0.95</f>
        <v/>
      </c>
      <c r="Z332" s="15">
        <f>IF(AND(V332 &lt;= X332, V332 &gt;= Y332), 1, 0)</f>
        <v/>
      </c>
      <c r="AC332" s="15">
        <f>N332^2</f>
        <v/>
      </c>
      <c r="AD332" s="15">
        <f>ABS(N332)</f>
        <v/>
      </c>
      <c r="AE332" s="15">
        <f>IF(M332&gt;0, ABS(N332)*(L332-$D$16),0)</f>
        <v/>
      </c>
    </row>
    <row r="333" ht="13.8" customHeight="1">
      <c r="L333" s="15" t="n">
        <v>331</v>
      </c>
      <c r="M333" s="15">
        <f>IF(L333&lt;$D$16,$D$12,IF(L333&lt;$E$16,$E$12,$F$13))</f>
        <v/>
      </c>
      <c r="N333" s="15">
        <f>M333-V333</f>
        <v/>
      </c>
      <c r="O333" s="15">
        <f>IF(MOD(L333,$B$11)=0,OFFSET(O333,-$B$11,0)+ $E$2*N333+$E$3*OFFSET(N333,-$B$11,0)+ $E$4*OFFSET(N333,-2* $B$11,0), O332)</f>
        <v/>
      </c>
      <c r="P333" s="15">
        <f>INT((2^$J$12-1)*O333/100)/(2^$J$12-1)*100</f>
        <v/>
      </c>
      <c r="Q333" s="15" t="n">
        <v>0</v>
      </c>
      <c r="R333" s="15">
        <f>P333+Q333</f>
        <v/>
      </c>
      <c r="S333" s="15">
        <f>$I$1*S332-$I$2*S331+$I$3*R312+$I$4*R311</f>
        <v/>
      </c>
      <c r="T333" s="15" t="n">
        <v>0</v>
      </c>
      <c r="U333" s="15">
        <f>S333+T333</f>
        <v/>
      </c>
      <c r="V333" s="15">
        <f>INT((2^$J$12-1)*U333/100)/(2^$J$12-1)*100</f>
        <v/>
      </c>
      <c r="X333" s="15">
        <f>M333 * 1.05</f>
        <v/>
      </c>
      <c r="Y333" s="15">
        <f>M333 * 0.95</f>
        <v/>
      </c>
      <c r="Z333" s="15">
        <f>IF(AND(V333 &lt;= X333, V333 &gt;= Y333), 1, 0)</f>
        <v/>
      </c>
      <c r="AC333" s="15">
        <f>N333^2</f>
        <v/>
      </c>
      <c r="AD333" s="15">
        <f>ABS(N333)</f>
        <v/>
      </c>
      <c r="AE333" s="15">
        <f>IF(M333&gt;0, ABS(N333)*(L333-$D$16),0)</f>
        <v/>
      </c>
    </row>
    <row r="334">
      <c r="L334" s="15" t="n">
        <v>332</v>
      </c>
      <c r="M334" s="15">
        <f>IF(L334&lt;$D$16,$D$12,IF(L334&lt;$E$16,$E$12,$F$13))</f>
        <v/>
      </c>
      <c r="N334" s="15">
        <f>M334-V334</f>
        <v/>
      </c>
      <c r="O334" s="15">
        <f>IF(MOD(L334,$B$11)=0,OFFSET(O334,-$B$11,0)+ $E$2*N334+$E$3*OFFSET(N334,-$B$11,0)+ $E$4*OFFSET(N334,-2* $B$11,0), O333)</f>
        <v/>
      </c>
      <c r="P334" s="15">
        <f>INT((2^$J$12-1)*O334/100)/(2^$J$12-1)*100</f>
        <v/>
      </c>
      <c r="Q334" s="15" t="n">
        <v>0</v>
      </c>
      <c r="R334" s="15">
        <f>P334+Q334</f>
        <v/>
      </c>
      <c r="S334" s="15">
        <f>$I$1*S333-$I$2*S332+$I$3*R313+$I$4*R312</f>
        <v/>
      </c>
      <c r="T334" s="15" t="n">
        <v>0</v>
      </c>
      <c r="U334" s="15">
        <f>S334+T334</f>
        <v/>
      </c>
      <c r="V334" s="15">
        <f>INT((2^$J$12-1)*U334/100)/(2^$J$12-1)*100</f>
        <v/>
      </c>
      <c r="X334" s="15">
        <f>M334 * 1.05</f>
        <v/>
      </c>
      <c r="Y334" s="15">
        <f>M334 * 0.95</f>
        <v/>
      </c>
      <c r="Z334" s="15">
        <f>IF(AND(V334 &lt;= X334, V334 &gt;= Y334), 1, 0)</f>
        <v/>
      </c>
      <c r="AC334" s="15">
        <f>N334^2</f>
        <v/>
      </c>
      <c r="AD334" s="15">
        <f>ABS(N334)</f>
        <v/>
      </c>
      <c r="AE334" s="15">
        <f>IF(M334&gt;0, ABS(N334)*(L334-$D$16),0)</f>
        <v/>
      </c>
    </row>
    <row r="335">
      <c r="L335" s="15" t="n">
        <v>333</v>
      </c>
      <c r="M335" s="15">
        <f>IF(L335&lt;$D$16,$D$12,IF(L335&lt;$E$16,$E$12,$F$13))</f>
        <v/>
      </c>
      <c r="N335" s="15">
        <f>M335-V335</f>
        <v/>
      </c>
      <c r="O335" s="15">
        <f>IF(MOD(L335,$B$11)=0,OFFSET(O335,-$B$11,0)+ $E$2*N335+$E$3*OFFSET(N335,-$B$11,0)+ $E$4*OFFSET(N335,-2* $B$11,0), O334)</f>
        <v/>
      </c>
      <c r="P335" s="15">
        <f>INT((2^$J$12-1)*O335/100)/(2^$J$12-1)*100</f>
        <v/>
      </c>
      <c r="Q335" s="15" t="n">
        <v>0</v>
      </c>
      <c r="R335" s="15">
        <f>P335+Q335</f>
        <v/>
      </c>
      <c r="S335" s="15">
        <f>$I$1*S334-$I$2*S333+$I$3*R314+$I$4*R313</f>
        <v/>
      </c>
      <c r="T335" s="15" t="n">
        <v>0</v>
      </c>
      <c r="U335" s="15">
        <f>S335+T335</f>
        <v/>
      </c>
      <c r="V335" s="15">
        <f>INT((2^$J$12-1)*U335/100)/(2^$J$12-1)*100</f>
        <v/>
      </c>
      <c r="X335" s="15">
        <f>M335 * 1.05</f>
        <v/>
      </c>
      <c r="Y335" s="15">
        <f>M335 * 0.95</f>
        <v/>
      </c>
      <c r="Z335" s="15">
        <f>IF(AND(V335 &lt;= X335, V335 &gt;= Y335), 1, 0)</f>
        <v/>
      </c>
      <c r="AC335" s="15">
        <f>N335^2</f>
        <v/>
      </c>
      <c r="AD335" s="15">
        <f>ABS(N335)</f>
        <v/>
      </c>
      <c r="AE335" s="15">
        <f>IF(M335&gt;0, ABS(N335)*(L335-$D$16),0)</f>
        <v/>
      </c>
    </row>
    <row r="336">
      <c r="L336" s="15" t="n">
        <v>334</v>
      </c>
      <c r="M336" s="15">
        <f>IF(L336&lt;$D$16,$D$12,IF(L336&lt;$E$16,$E$12,$F$13))</f>
        <v/>
      </c>
      <c r="N336" s="15">
        <f>M336-V336</f>
        <v/>
      </c>
      <c r="O336" s="15">
        <f>IF(MOD(L336,$B$11)=0,OFFSET(O336,-$B$11,0)+ $E$2*N336+$E$3*OFFSET(N336,-$B$11,0)+ $E$4*OFFSET(N336,-2* $B$11,0), O335)</f>
        <v/>
      </c>
      <c r="P336" s="15">
        <f>INT((2^$J$12-1)*O336/100)/(2^$J$12-1)*100</f>
        <v/>
      </c>
      <c r="Q336" s="15" t="n">
        <v>0</v>
      </c>
      <c r="R336" s="15">
        <f>P336+Q336</f>
        <v/>
      </c>
      <c r="S336" s="15">
        <f>$I$1*S335-$I$2*S334+$I$3*R315+$I$4*R314</f>
        <v/>
      </c>
      <c r="T336" s="15" t="n">
        <v>0</v>
      </c>
      <c r="U336" s="15">
        <f>S336+T336</f>
        <v/>
      </c>
      <c r="V336" s="15">
        <f>INT((2^$J$12-1)*U336/100)/(2^$J$12-1)*100</f>
        <v/>
      </c>
      <c r="X336" s="15">
        <f>M336 * 1.05</f>
        <v/>
      </c>
      <c r="Y336" s="15">
        <f>M336 * 0.95</f>
        <v/>
      </c>
      <c r="Z336" s="15">
        <f>IF(AND(V336 &lt;= X336, V336 &gt;= Y336), 1, 0)</f>
        <v/>
      </c>
      <c r="AC336" s="15">
        <f>N336^2</f>
        <v/>
      </c>
      <c r="AD336" s="15">
        <f>ABS(N336)</f>
        <v/>
      </c>
      <c r="AE336" s="15">
        <f>IF(M336&gt;0, ABS(N336)*(L336-$D$16),0)</f>
        <v/>
      </c>
    </row>
    <row r="337">
      <c r="L337" s="15" t="n">
        <v>335</v>
      </c>
      <c r="M337" s="15">
        <f>IF(L337&lt;$D$16,$D$12,IF(L337&lt;$E$16,$E$12,$F$13))</f>
        <v/>
      </c>
      <c r="N337" s="15">
        <f>M337-V337</f>
        <v/>
      </c>
      <c r="O337" s="15">
        <f>IF(MOD(L337,$B$11)=0,OFFSET(O337,-$B$11,0)+ $E$2*N337+$E$3*OFFSET(N337,-$B$11,0)+ $E$4*OFFSET(N337,-2* $B$11,0), O336)</f>
        <v/>
      </c>
      <c r="P337" s="15">
        <f>INT((2^$J$12-1)*O337/100)/(2^$J$12-1)*100</f>
        <v/>
      </c>
      <c r="Q337" s="15" t="n">
        <v>0</v>
      </c>
      <c r="R337" s="15">
        <f>P337+Q337</f>
        <v/>
      </c>
      <c r="S337" s="15">
        <f>$I$1*S336-$I$2*S335+$I$3*R316+$I$4*R315</f>
        <v/>
      </c>
      <c r="T337" s="15" t="n">
        <v>0</v>
      </c>
      <c r="U337" s="15">
        <f>S337+T337</f>
        <v/>
      </c>
      <c r="V337" s="15">
        <f>INT((2^$J$12-1)*U337/100)/(2^$J$12-1)*100</f>
        <v/>
      </c>
      <c r="X337" s="15">
        <f>M337 * 1.05</f>
        <v/>
      </c>
      <c r="Y337" s="15">
        <f>M337 * 0.95</f>
        <v/>
      </c>
      <c r="Z337" s="15">
        <f>IF(AND(V337 &lt;= X337, V337 &gt;= Y337), 1, 0)</f>
        <v/>
      </c>
      <c r="AC337" s="15">
        <f>N337^2</f>
        <v/>
      </c>
      <c r="AD337" s="15">
        <f>ABS(N337)</f>
        <v/>
      </c>
      <c r="AE337" s="15">
        <f>IF(M337&gt;0, ABS(N337)*(L337-$D$16),0)</f>
        <v/>
      </c>
    </row>
    <row r="338">
      <c r="L338" s="15" t="n">
        <v>336</v>
      </c>
      <c r="M338" s="15">
        <f>IF(L338&lt;$D$16,$D$12,IF(L338&lt;$E$16,$E$12,$F$13))</f>
        <v/>
      </c>
      <c r="N338" s="15">
        <f>M338-V338</f>
        <v/>
      </c>
      <c r="O338" s="15">
        <f>IF(MOD(L338,$B$11)=0,OFFSET(O338,-$B$11,0)+ $E$2*N338+$E$3*OFFSET(N338,-$B$11,0)+ $E$4*OFFSET(N338,-2* $B$11,0), O337)</f>
        <v/>
      </c>
      <c r="P338" s="15">
        <f>INT((2^$J$12-1)*O338/100)/(2^$J$12-1)*100</f>
        <v/>
      </c>
      <c r="Q338" s="15" t="n">
        <v>0</v>
      </c>
      <c r="R338" s="15">
        <f>P338+Q338</f>
        <v/>
      </c>
      <c r="S338" s="15">
        <f>$I$1*S337-$I$2*S336+$I$3*R317+$I$4*R316</f>
        <v/>
      </c>
      <c r="T338" s="15" t="n">
        <v>0</v>
      </c>
      <c r="U338" s="15">
        <f>S338+T338</f>
        <v/>
      </c>
      <c r="V338" s="15">
        <f>INT((2^$J$12-1)*U338/100)/(2^$J$12-1)*100</f>
        <v/>
      </c>
      <c r="X338" s="15">
        <f>M338 * 1.05</f>
        <v/>
      </c>
      <c r="Y338" s="15">
        <f>M338 * 0.95</f>
        <v/>
      </c>
      <c r="Z338" s="15">
        <f>IF(AND(V338 &lt;= X338, V338 &gt;= Y338), 1, 0)</f>
        <v/>
      </c>
      <c r="AC338" s="15">
        <f>N338^2</f>
        <v/>
      </c>
      <c r="AD338" s="15">
        <f>ABS(N338)</f>
        <v/>
      </c>
      <c r="AE338" s="15">
        <f>IF(M338&gt;0, ABS(N338)*(L338-$D$16),0)</f>
        <v/>
      </c>
    </row>
    <row r="339">
      <c r="L339" s="15" t="n">
        <v>337</v>
      </c>
      <c r="M339" s="15">
        <f>IF(L339&lt;$D$16,$D$12,IF(L339&lt;$E$16,$E$12,$F$13))</f>
        <v/>
      </c>
      <c r="N339" s="15">
        <f>M339-V339</f>
        <v/>
      </c>
      <c r="O339" s="15">
        <f>IF(MOD(L339,$B$11)=0,OFFSET(O339,-$B$11,0)+ $E$2*N339+$E$3*OFFSET(N339,-$B$11,0)+ $E$4*OFFSET(N339,-2* $B$11,0), O338)</f>
        <v/>
      </c>
      <c r="P339" s="15">
        <f>INT((2^$J$12-1)*O339/100)/(2^$J$12-1)*100</f>
        <v/>
      </c>
      <c r="Q339" s="15" t="n">
        <v>0</v>
      </c>
      <c r="R339" s="15">
        <f>P339+Q339</f>
        <v/>
      </c>
      <c r="S339" s="15">
        <f>$I$1*S338-$I$2*S337+$I$3*R318+$I$4*R317</f>
        <v/>
      </c>
      <c r="T339" s="15" t="n">
        <v>0</v>
      </c>
      <c r="U339" s="15">
        <f>S339+T339</f>
        <v/>
      </c>
      <c r="V339" s="15">
        <f>INT((2^$J$12-1)*U339/100)/(2^$J$12-1)*100</f>
        <v/>
      </c>
      <c r="X339" s="15">
        <f>M339 * 1.05</f>
        <v/>
      </c>
      <c r="Y339" s="15">
        <f>M339 * 0.95</f>
        <v/>
      </c>
      <c r="Z339" s="15">
        <f>IF(AND(V339 &lt;= X339, V339 &gt;= Y339), 1, 0)</f>
        <v/>
      </c>
      <c r="AC339" s="15">
        <f>N339^2</f>
        <v/>
      </c>
      <c r="AD339" s="15">
        <f>ABS(N339)</f>
        <v/>
      </c>
      <c r="AE339" s="15">
        <f>IF(M339&gt;0, ABS(N339)*(L339-$D$16),0)</f>
        <v/>
      </c>
    </row>
    <row r="340">
      <c r="L340" s="15" t="n">
        <v>338</v>
      </c>
      <c r="M340" s="15">
        <f>IF(L340&lt;$D$16,$D$12,IF(L340&lt;$E$16,$E$12,$F$13))</f>
        <v/>
      </c>
      <c r="N340" s="15">
        <f>M340-V340</f>
        <v/>
      </c>
      <c r="O340" s="15">
        <f>IF(MOD(L340,$B$11)=0,OFFSET(O340,-$B$11,0)+ $E$2*N340+$E$3*OFFSET(N340,-$B$11,0)+ $E$4*OFFSET(N340,-2* $B$11,0), O339)</f>
        <v/>
      </c>
      <c r="P340" s="15">
        <f>INT((2^$J$12-1)*O340/100)/(2^$J$12-1)*100</f>
        <v/>
      </c>
      <c r="Q340" s="15" t="n">
        <v>0</v>
      </c>
      <c r="R340" s="15">
        <f>P340+Q340</f>
        <v/>
      </c>
      <c r="S340" s="15">
        <f>$I$1*S339-$I$2*S338+$I$3*R319+$I$4*R318</f>
        <v/>
      </c>
      <c r="T340" s="15" t="n">
        <v>0</v>
      </c>
      <c r="U340" s="15">
        <f>S340+T340</f>
        <v/>
      </c>
      <c r="V340" s="15">
        <f>INT((2^$J$12-1)*U340/100)/(2^$J$12-1)*100</f>
        <v/>
      </c>
      <c r="X340" s="15">
        <f>M340 * 1.05</f>
        <v/>
      </c>
      <c r="Y340" s="15">
        <f>M340 * 0.95</f>
        <v/>
      </c>
      <c r="Z340" s="15">
        <f>IF(AND(V340 &lt;= X340, V340 &gt;= Y340), 1, 0)</f>
        <v/>
      </c>
      <c r="AC340" s="15">
        <f>N340^2</f>
        <v/>
      </c>
      <c r="AD340" s="15">
        <f>ABS(N340)</f>
        <v/>
      </c>
      <c r="AE340" s="15">
        <f>IF(M340&gt;0, ABS(N340)*(L340-$D$16),0)</f>
        <v/>
      </c>
    </row>
    <row r="341">
      <c r="L341" s="15" t="n">
        <v>339</v>
      </c>
      <c r="M341" s="15">
        <f>IF(L341&lt;$D$16,$D$12,IF(L341&lt;$E$16,$E$12,$F$13))</f>
        <v/>
      </c>
      <c r="N341" s="15">
        <f>M341-V341</f>
        <v/>
      </c>
      <c r="O341" s="15">
        <f>IF(MOD(L341,$B$11)=0,OFFSET(O341,-$B$11,0)+ $E$2*N341+$E$3*OFFSET(N341,-$B$11,0)+ $E$4*OFFSET(N341,-2* $B$11,0), O340)</f>
        <v/>
      </c>
      <c r="P341" s="15">
        <f>INT((2^$J$12-1)*O341/100)/(2^$J$12-1)*100</f>
        <v/>
      </c>
      <c r="Q341" s="15" t="n">
        <v>0</v>
      </c>
      <c r="R341" s="15">
        <f>P341+Q341</f>
        <v/>
      </c>
      <c r="S341" s="15">
        <f>$I$1*S340-$I$2*S339+$I$3*R320+$I$4*R319</f>
        <v/>
      </c>
      <c r="T341" s="15" t="n">
        <v>0</v>
      </c>
      <c r="U341" s="15">
        <f>S341+T341</f>
        <v/>
      </c>
      <c r="V341" s="15">
        <f>INT((2^$J$12-1)*U341/100)/(2^$J$12-1)*100</f>
        <v/>
      </c>
      <c r="X341" s="15">
        <f>M341 * 1.05</f>
        <v/>
      </c>
      <c r="Y341" s="15">
        <f>M341 * 0.95</f>
        <v/>
      </c>
      <c r="Z341" s="15">
        <f>IF(AND(V341 &lt;= X341, V341 &gt;= Y341), 1, 0)</f>
        <v/>
      </c>
      <c r="AC341" s="15">
        <f>N341^2</f>
        <v/>
      </c>
      <c r="AD341" s="15">
        <f>ABS(N341)</f>
        <v/>
      </c>
      <c r="AE341" s="15">
        <f>IF(M341&gt;0, ABS(N341)*(L341-$D$16),0)</f>
        <v/>
      </c>
    </row>
    <row r="342">
      <c r="L342" s="15" t="n">
        <v>340</v>
      </c>
      <c r="M342" s="15">
        <f>IF(L342&lt;$D$16,$D$12,IF(L342&lt;$E$16,$E$12,$F$13))</f>
        <v/>
      </c>
      <c r="N342" s="15">
        <f>M342-V342</f>
        <v/>
      </c>
      <c r="O342" s="15">
        <f>IF(MOD(L342,$B$11)=0,OFFSET(O342,-$B$11,0)+ $E$2*N342+$E$3*OFFSET(N342,-$B$11,0)+ $E$4*OFFSET(N342,-2* $B$11,0), O341)</f>
        <v/>
      </c>
      <c r="P342" s="15">
        <f>INT((2^$J$12-1)*O342/100)/(2^$J$12-1)*100</f>
        <v/>
      </c>
      <c r="Q342" s="15" t="n">
        <v>0</v>
      </c>
      <c r="R342" s="15">
        <f>P342+Q342</f>
        <v/>
      </c>
      <c r="S342" s="15">
        <f>$I$1*S341-$I$2*S340+$I$3*R321+$I$4*R320</f>
        <v/>
      </c>
      <c r="T342" s="15" t="n">
        <v>0</v>
      </c>
      <c r="U342" s="15">
        <f>S342+T342</f>
        <v/>
      </c>
      <c r="V342" s="15">
        <f>INT((2^$J$12-1)*U342/100)/(2^$J$12-1)*100</f>
        <v/>
      </c>
      <c r="X342" s="15">
        <f>M342 * 1.05</f>
        <v/>
      </c>
      <c r="Y342" s="15">
        <f>M342 * 0.95</f>
        <v/>
      </c>
      <c r="Z342" s="15">
        <f>IF(AND(V342 &lt;= X342, V342 &gt;= Y342), 1, 0)</f>
        <v/>
      </c>
      <c r="AC342" s="15">
        <f>N342^2</f>
        <v/>
      </c>
      <c r="AD342" s="15">
        <f>ABS(N342)</f>
        <v/>
      </c>
      <c r="AE342" s="15">
        <f>IF(M342&gt;0, ABS(N342)*(L342-$D$16),0)</f>
        <v/>
      </c>
    </row>
    <row r="343">
      <c r="L343" s="15" t="n">
        <v>341</v>
      </c>
      <c r="M343" s="15">
        <f>IF(L343&lt;$D$16,$D$12,IF(L343&lt;$E$16,$E$12,$F$13))</f>
        <v/>
      </c>
      <c r="N343" s="15">
        <f>M343-V343</f>
        <v/>
      </c>
      <c r="O343" s="15">
        <f>IF(MOD(L343,$B$11)=0,OFFSET(O343,-$B$11,0)+ $E$2*N343+$E$3*OFFSET(N343,-$B$11,0)+ $E$4*OFFSET(N343,-2* $B$11,0), O342)</f>
        <v/>
      </c>
      <c r="P343" s="15">
        <f>INT((2^$J$12-1)*O343/100)/(2^$J$12-1)*100</f>
        <v/>
      </c>
      <c r="Q343" s="15" t="n">
        <v>0</v>
      </c>
      <c r="R343" s="15">
        <f>P343+Q343</f>
        <v/>
      </c>
      <c r="S343" s="15">
        <f>$I$1*S342-$I$2*S341+$I$3*R322+$I$4*R321</f>
        <v/>
      </c>
      <c r="T343" s="15" t="n">
        <v>0</v>
      </c>
      <c r="U343" s="15">
        <f>S343+T343</f>
        <v/>
      </c>
      <c r="V343" s="15">
        <f>INT((2^$J$12-1)*U343/100)/(2^$J$12-1)*100</f>
        <v/>
      </c>
      <c r="X343" s="15">
        <f>M343 * 1.05</f>
        <v/>
      </c>
      <c r="Y343" s="15">
        <f>M343 * 0.95</f>
        <v/>
      </c>
      <c r="Z343" s="15">
        <f>IF(AND(V343 &lt;= X343, V343 &gt;= Y343), 1, 0)</f>
        <v/>
      </c>
      <c r="AC343" s="15">
        <f>N343^2</f>
        <v/>
      </c>
      <c r="AD343" s="15">
        <f>ABS(N343)</f>
        <v/>
      </c>
      <c r="AE343" s="15">
        <f>IF(M343&gt;0, ABS(N343)*(L343-$D$16),0)</f>
        <v/>
      </c>
    </row>
    <row r="344">
      <c r="L344" s="15" t="n">
        <v>342</v>
      </c>
      <c r="M344" s="15">
        <f>IF(L344&lt;$D$16,$D$12,IF(L344&lt;$E$16,$E$12,$F$13))</f>
        <v/>
      </c>
      <c r="N344" s="15">
        <f>M344-V344</f>
        <v/>
      </c>
      <c r="O344" s="15">
        <f>IF(MOD(L344,$B$11)=0,OFFSET(O344,-$B$11,0)+ $E$2*N344+$E$3*OFFSET(N344,-$B$11,0)+ $E$4*OFFSET(N344,-2* $B$11,0), O343)</f>
        <v/>
      </c>
      <c r="P344" s="15">
        <f>INT((2^$J$12-1)*O344/100)/(2^$J$12-1)*100</f>
        <v/>
      </c>
      <c r="Q344" s="15" t="n">
        <v>0</v>
      </c>
      <c r="R344" s="15">
        <f>P344+Q344</f>
        <v/>
      </c>
      <c r="S344" s="15">
        <f>$I$1*S343-$I$2*S342+$I$3*R323+$I$4*R322</f>
        <v/>
      </c>
      <c r="T344" s="15" t="n">
        <v>0</v>
      </c>
      <c r="U344" s="15">
        <f>S344+T344</f>
        <v/>
      </c>
      <c r="V344" s="15">
        <f>INT((2^$J$12-1)*U344/100)/(2^$J$12-1)*100</f>
        <v/>
      </c>
      <c r="X344" s="15">
        <f>M344 * 1.05</f>
        <v/>
      </c>
      <c r="Y344" s="15">
        <f>M344 * 0.95</f>
        <v/>
      </c>
      <c r="Z344" s="15">
        <f>IF(AND(V344 &lt;= X344, V344 &gt;= Y344), 1, 0)</f>
        <v/>
      </c>
      <c r="AC344" s="15">
        <f>N344^2</f>
        <v/>
      </c>
      <c r="AD344" s="15">
        <f>ABS(N344)</f>
        <v/>
      </c>
      <c r="AE344" s="15">
        <f>IF(M344&gt;0, ABS(N344)*(L344-$D$16),0)</f>
        <v/>
      </c>
    </row>
    <row r="345">
      <c r="L345" s="15" t="n">
        <v>343</v>
      </c>
      <c r="M345" s="15">
        <f>IF(L345&lt;$D$16,$D$12,IF(L345&lt;$E$16,$E$12,$F$13))</f>
        <v/>
      </c>
      <c r="N345" s="15">
        <f>M345-V345</f>
        <v/>
      </c>
      <c r="O345" s="15">
        <f>IF(MOD(L345,$B$11)=0,OFFSET(O345,-$B$11,0)+ $E$2*N345+$E$3*OFFSET(N345,-$B$11,0)+ $E$4*OFFSET(N345,-2* $B$11,0), O344)</f>
        <v/>
      </c>
      <c r="P345" s="15">
        <f>INT((2^$J$12-1)*O345/100)/(2^$J$12-1)*100</f>
        <v/>
      </c>
      <c r="Q345" s="15" t="n">
        <v>0</v>
      </c>
      <c r="R345" s="15">
        <f>P345+Q345</f>
        <v/>
      </c>
      <c r="S345" s="15">
        <f>$I$1*S344-$I$2*S343+$I$3*R324+$I$4*R323</f>
        <v/>
      </c>
      <c r="T345" s="15" t="n">
        <v>0</v>
      </c>
      <c r="U345" s="15">
        <f>S345+T345</f>
        <v/>
      </c>
      <c r="V345" s="15">
        <f>INT((2^$J$12-1)*U345/100)/(2^$J$12-1)*100</f>
        <v/>
      </c>
      <c r="X345" s="15">
        <f>M345 * 1.05</f>
        <v/>
      </c>
      <c r="Y345" s="15">
        <f>M345 * 0.95</f>
        <v/>
      </c>
      <c r="Z345" s="15">
        <f>IF(AND(V345 &lt;= X345, V345 &gt;= Y345), 1, 0)</f>
        <v/>
      </c>
      <c r="AC345" s="15">
        <f>N345^2</f>
        <v/>
      </c>
      <c r="AD345" s="15">
        <f>ABS(N345)</f>
        <v/>
      </c>
      <c r="AE345" s="15">
        <f>IF(M345&gt;0, ABS(N345)*(L345-$D$16),0)</f>
        <v/>
      </c>
    </row>
    <row r="346">
      <c r="L346" s="15" t="n">
        <v>344</v>
      </c>
      <c r="M346" s="15">
        <f>IF(L346&lt;$D$16,$D$12,IF(L346&lt;$E$16,$E$12,$F$13))</f>
        <v/>
      </c>
      <c r="N346" s="15">
        <f>M346-V346</f>
        <v/>
      </c>
      <c r="O346" s="15">
        <f>IF(MOD(L346,$B$11)=0,OFFSET(O346,-$B$11,0)+ $E$2*N346+$E$3*OFFSET(N346,-$B$11,0)+ $E$4*OFFSET(N346,-2* $B$11,0), O345)</f>
        <v/>
      </c>
      <c r="P346" s="15">
        <f>INT((2^$J$12-1)*O346/100)/(2^$J$12-1)*100</f>
        <v/>
      </c>
      <c r="Q346" s="15" t="n">
        <v>0</v>
      </c>
      <c r="R346" s="15">
        <f>P346+Q346</f>
        <v/>
      </c>
      <c r="S346" s="15">
        <f>$I$1*S345-$I$2*S344+$I$3*R325+$I$4*R324</f>
        <v/>
      </c>
      <c r="T346" s="15" t="n">
        <v>0</v>
      </c>
      <c r="U346" s="15">
        <f>S346+T346</f>
        <v/>
      </c>
      <c r="V346" s="15">
        <f>INT((2^$J$12-1)*U346/100)/(2^$J$12-1)*100</f>
        <v/>
      </c>
      <c r="X346" s="15">
        <f>M346 * 1.05</f>
        <v/>
      </c>
      <c r="Y346" s="15">
        <f>M346 * 0.95</f>
        <v/>
      </c>
      <c r="Z346" s="15">
        <f>IF(AND(V346 &lt;= X346, V346 &gt;= Y346), 1, 0)</f>
        <v/>
      </c>
      <c r="AC346" s="15">
        <f>N346^2</f>
        <v/>
      </c>
      <c r="AD346" s="15">
        <f>ABS(N346)</f>
        <v/>
      </c>
      <c r="AE346" s="15">
        <f>IF(M346&gt;0, ABS(N346)*(L346-$D$16),0)</f>
        <v/>
      </c>
    </row>
    <row r="347">
      <c r="L347" s="15" t="n">
        <v>345</v>
      </c>
      <c r="M347" s="15">
        <f>IF(L347&lt;$D$16,$D$12,IF(L347&lt;$E$16,$E$12,$F$13))</f>
        <v/>
      </c>
      <c r="N347" s="15">
        <f>M347-V347</f>
        <v/>
      </c>
      <c r="O347" s="15">
        <f>IF(MOD(L347,$B$11)=0,OFFSET(O347,-$B$11,0)+ $E$2*N347+$E$3*OFFSET(N347,-$B$11,0)+ $E$4*OFFSET(N347,-2* $B$11,0), O346)</f>
        <v/>
      </c>
      <c r="P347" s="15">
        <f>INT((2^$J$12-1)*O347/100)/(2^$J$12-1)*100</f>
        <v/>
      </c>
      <c r="Q347" s="15" t="n">
        <v>0</v>
      </c>
      <c r="R347" s="15">
        <f>P347+Q347</f>
        <v/>
      </c>
      <c r="S347" s="15">
        <f>$I$1*S346-$I$2*S345+$I$3*R326+$I$4*R325</f>
        <v/>
      </c>
      <c r="T347" s="15" t="n">
        <v>0</v>
      </c>
      <c r="U347" s="15">
        <f>S347+T347</f>
        <v/>
      </c>
      <c r="V347" s="15">
        <f>INT((2^$J$12-1)*U347/100)/(2^$J$12-1)*100</f>
        <v/>
      </c>
      <c r="X347" s="15">
        <f>M347 * 1.05</f>
        <v/>
      </c>
      <c r="Y347" s="15">
        <f>M347 * 0.95</f>
        <v/>
      </c>
      <c r="Z347" s="15">
        <f>IF(AND(V347 &lt;= X347, V347 &gt;= Y347), 1, 0)</f>
        <v/>
      </c>
      <c r="AC347" s="15">
        <f>N347^2</f>
        <v/>
      </c>
      <c r="AD347" s="15">
        <f>ABS(N347)</f>
        <v/>
      </c>
      <c r="AE347" s="15">
        <f>IF(M347&gt;0, ABS(N347)*(L347-$D$16),0)</f>
        <v/>
      </c>
    </row>
    <row r="348">
      <c r="L348" s="15" t="n">
        <v>346</v>
      </c>
      <c r="M348" s="15">
        <f>IF(L348&lt;$D$16,$D$12,IF(L348&lt;$E$16,$E$12,$F$13))</f>
        <v/>
      </c>
      <c r="N348" s="15">
        <f>M348-V348</f>
        <v/>
      </c>
      <c r="O348" s="15">
        <f>IF(MOD(L348,$B$11)=0,OFFSET(O348,-$B$11,0)+ $E$2*N348+$E$3*OFFSET(N348,-$B$11,0)+ $E$4*OFFSET(N348,-2* $B$11,0), O347)</f>
        <v/>
      </c>
      <c r="P348" s="15">
        <f>INT((2^$J$12-1)*O348/100)/(2^$J$12-1)*100</f>
        <v/>
      </c>
      <c r="Q348" s="15" t="n">
        <v>0</v>
      </c>
      <c r="R348" s="15">
        <f>P348+Q348</f>
        <v/>
      </c>
      <c r="S348" s="15">
        <f>$I$1*S347-$I$2*S346+$I$3*R327+$I$4*R326</f>
        <v/>
      </c>
      <c r="T348" s="15" t="n">
        <v>0</v>
      </c>
      <c r="U348" s="15">
        <f>S348+T348</f>
        <v/>
      </c>
      <c r="V348" s="15">
        <f>INT((2^$J$12-1)*U348/100)/(2^$J$12-1)*100</f>
        <v/>
      </c>
      <c r="X348" s="15">
        <f>M348 * 1.05</f>
        <v/>
      </c>
      <c r="Y348" s="15">
        <f>M348 * 0.95</f>
        <v/>
      </c>
      <c r="Z348" s="15">
        <f>IF(AND(V348 &lt;= X348, V348 &gt;= Y348), 1, 0)</f>
        <v/>
      </c>
      <c r="AC348" s="15">
        <f>N348^2</f>
        <v/>
      </c>
      <c r="AD348" s="15">
        <f>ABS(N348)</f>
        <v/>
      </c>
      <c r="AE348" s="15">
        <f>IF(M348&gt;0, ABS(N348)*(L348-$D$16),0)</f>
        <v/>
      </c>
    </row>
    <row r="349">
      <c r="L349" s="15" t="n">
        <v>347</v>
      </c>
      <c r="M349" s="15">
        <f>IF(L349&lt;$D$16,$D$12,IF(L349&lt;$E$16,$E$12,$F$13))</f>
        <v/>
      </c>
      <c r="N349" s="15">
        <f>M349-V349</f>
        <v/>
      </c>
      <c r="O349" s="15">
        <f>IF(MOD(L349,$B$11)=0,OFFSET(O349,-$B$11,0)+ $E$2*N349+$E$3*OFFSET(N349,-$B$11,0)+ $E$4*OFFSET(N349,-2* $B$11,0), O348)</f>
        <v/>
      </c>
      <c r="P349" s="15">
        <f>INT((2^$J$12-1)*O349/100)/(2^$J$12-1)*100</f>
        <v/>
      </c>
      <c r="Q349" s="15" t="n">
        <v>0</v>
      </c>
      <c r="R349" s="15">
        <f>P349+Q349</f>
        <v/>
      </c>
      <c r="S349" s="15">
        <f>$I$1*S348-$I$2*S347+$I$3*R328+$I$4*R327</f>
        <v/>
      </c>
      <c r="T349" s="15" t="n">
        <v>0</v>
      </c>
      <c r="U349" s="15">
        <f>S349+T349</f>
        <v/>
      </c>
      <c r="V349" s="15">
        <f>INT((2^$J$12-1)*U349/100)/(2^$J$12-1)*100</f>
        <v/>
      </c>
      <c r="X349" s="15">
        <f>M349 * 1.05</f>
        <v/>
      </c>
      <c r="Y349" s="15">
        <f>M349 * 0.95</f>
        <v/>
      </c>
      <c r="Z349" s="15">
        <f>IF(AND(V349 &lt;= X349, V349 &gt;= Y349), 1, 0)</f>
        <v/>
      </c>
      <c r="AC349" s="15">
        <f>N349^2</f>
        <v/>
      </c>
      <c r="AD349" s="15">
        <f>ABS(N349)</f>
        <v/>
      </c>
      <c r="AE349" s="15">
        <f>IF(M349&gt;0, ABS(N349)*(L349-$D$16),0)</f>
        <v/>
      </c>
    </row>
    <row r="350">
      <c r="L350" s="15" t="n">
        <v>348</v>
      </c>
      <c r="M350" s="15">
        <f>IF(L350&lt;$D$16,$D$12,IF(L350&lt;$E$16,$E$12,$F$13))</f>
        <v/>
      </c>
      <c r="N350" s="15">
        <f>M350-V350</f>
        <v/>
      </c>
      <c r="O350" s="15">
        <f>IF(MOD(L350,$B$11)=0,OFFSET(O350,-$B$11,0)+ $E$2*N350+$E$3*OFFSET(N350,-$B$11,0)+ $E$4*OFFSET(N350,-2* $B$11,0), O349)</f>
        <v/>
      </c>
      <c r="P350" s="15">
        <f>INT((2^$J$12-1)*O350/100)/(2^$J$12-1)*100</f>
        <v/>
      </c>
      <c r="Q350" s="15" t="n">
        <v>0</v>
      </c>
      <c r="R350" s="15">
        <f>P350+Q350</f>
        <v/>
      </c>
      <c r="S350" s="15">
        <f>$I$1*S349-$I$2*S348+$I$3*R329+$I$4*R328</f>
        <v/>
      </c>
      <c r="T350" s="15" t="n">
        <v>0</v>
      </c>
      <c r="U350" s="15">
        <f>S350+T350</f>
        <v/>
      </c>
      <c r="V350" s="15">
        <f>INT((2^$J$12-1)*U350/100)/(2^$J$12-1)*100</f>
        <v/>
      </c>
      <c r="X350" s="15">
        <f>M350 * 1.05</f>
        <v/>
      </c>
      <c r="Y350" s="15">
        <f>M350 * 0.95</f>
        <v/>
      </c>
      <c r="Z350" s="15">
        <f>IF(AND(V350 &lt;= X350, V350 &gt;= Y350), 1, 0)</f>
        <v/>
      </c>
      <c r="AC350" s="15">
        <f>N350^2</f>
        <v/>
      </c>
      <c r="AD350" s="15">
        <f>ABS(N350)</f>
        <v/>
      </c>
      <c r="AE350" s="15">
        <f>IF(M350&gt;0, ABS(N350)*(L350-$D$16),0)</f>
        <v/>
      </c>
    </row>
    <row r="351">
      <c r="L351" s="15" t="n">
        <v>349</v>
      </c>
      <c r="M351" s="15">
        <f>IF(L351&lt;$D$16,$D$12,IF(L351&lt;$E$16,$E$12,$F$13))</f>
        <v/>
      </c>
      <c r="N351" s="15">
        <f>M351-V351</f>
        <v/>
      </c>
      <c r="O351" s="15">
        <f>IF(MOD(L351,$B$11)=0,OFFSET(O351,-$B$11,0)+ $E$2*N351+$E$3*OFFSET(N351,-$B$11,0)+ $E$4*OFFSET(N351,-2* $B$11,0), O350)</f>
        <v/>
      </c>
      <c r="P351" s="15">
        <f>INT((2^$J$12-1)*O351/100)/(2^$J$12-1)*100</f>
        <v/>
      </c>
      <c r="Q351" s="15" t="n">
        <v>0</v>
      </c>
      <c r="R351" s="15">
        <f>P351+Q351</f>
        <v/>
      </c>
      <c r="S351" s="15">
        <f>$I$1*S350-$I$2*S349+$I$3*R330+$I$4*R329</f>
        <v/>
      </c>
      <c r="T351" s="15" t="n">
        <v>0</v>
      </c>
      <c r="U351" s="15">
        <f>S351+T351</f>
        <v/>
      </c>
      <c r="V351" s="15">
        <f>INT((2^$J$12-1)*U351/100)/(2^$J$12-1)*100</f>
        <v/>
      </c>
      <c r="X351" s="15">
        <f>M351 * 1.05</f>
        <v/>
      </c>
      <c r="Y351" s="15">
        <f>M351 * 0.95</f>
        <v/>
      </c>
      <c r="Z351" s="15">
        <f>IF(AND(V351 &lt;= X351, V351 &gt;= Y351), 1, 0)</f>
        <v/>
      </c>
      <c r="AC351" s="15">
        <f>N351^2</f>
        <v/>
      </c>
      <c r="AD351" s="15">
        <f>ABS(N351)</f>
        <v/>
      </c>
      <c r="AE351" s="15">
        <f>IF(M351&gt;0, ABS(N351)*(L351-$D$16),0)</f>
        <v/>
      </c>
    </row>
    <row r="352">
      <c r="L352" s="15" t="n">
        <v>350</v>
      </c>
      <c r="M352" s="15">
        <f>IF(L352&lt;$D$16,$D$12,IF(L352&lt;$E$16,$E$12,$F$13))</f>
        <v/>
      </c>
      <c r="N352" s="15">
        <f>M352-V352</f>
        <v/>
      </c>
      <c r="O352" s="15">
        <f>IF(MOD(L352,$B$11)=0,OFFSET(O352,-$B$11,0)+ $E$2*N352+$E$3*OFFSET(N352,-$B$11,0)+ $E$4*OFFSET(N352,-2* $B$11,0), O351)</f>
        <v/>
      </c>
      <c r="P352" s="15">
        <f>INT((2^$J$12-1)*O352/100)/(2^$J$12-1)*100</f>
        <v/>
      </c>
      <c r="Q352" s="15" t="n">
        <v>0</v>
      </c>
      <c r="R352" s="15">
        <f>P352+Q352</f>
        <v/>
      </c>
      <c r="S352" s="15">
        <f>$I$1*S351-$I$2*S350+$I$3*R331+$I$4*R330</f>
        <v/>
      </c>
      <c r="T352" s="15" t="n">
        <v>0</v>
      </c>
      <c r="U352" s="15">
        <f>S352+T352</f>
        <v/>
      </c>
      <c r="V352" s="15">
        <f>INT((2^$J$12-1)*U352/100)/(2^$J$12-1)*100</f>
        <v/>
      </c>
      <c r="X352" s="15">
        <f>M352 * 1.05</f>
        <v/>
      </c>
      <c r="Y352" s="15">
        <f>M352 * 0.95</f>
        <v/>
      </c>
      <c r="Z352" s="15">
        <f>IF(AND(V352 &lt;= X352, V352 &gt;= Y352), 1, 0)</f>
        <v/>
      </c>
      <c r="AC352" s="15">
        <f>N352^2</f>
        <v/>
      </c>
      <c r="AD352" s="15">
        <f>ABS(N352)</f>
        <v/>
      </c>
      <c r="AE352" s="15">
        <f>IF(M352&gt;0, ABS(N352)*(L352-$D$16),0)</f>
        <v/>
      </c>
    </row>
    <row r="353">
      <c r="L353" s="15" t="n">
        <v>351</v>
      </c>
      <c r="M353" s="15">
        <f>IF(L353&lt;$D$16,$D$12,IF(L353&lt;$E$16,$E$12,$F$13))</f>
        <v/>
      </c>
      <c r="N353" s="15">
        <f>M353-V353</f>
        <v/>
      </c>
      <c r="O353" s="15">
        <f>IF(MOD(L353,$B$11)=0,OFFSET(O353,-$B$11,0)+ $E$2*N353+$E$3*OFFSET(N353,-$B$11,0)+ $E$4*OFFSET(N353,-2* $B$11,0), O352)</f>
        <v/>
      </c>
      <c r="P353" s="15">
        <f>INT((2^$J$12-1)*O353/100)/(2^$J$12-1)*100</f>
        <v/>
      </c>
      <c r="Q353" s="15" t="n">
        <v>0</v>
      </c>
      <c r="R353" s="15">
        <f>P353+Q353</f>
        <v/>
      </c>
      <c r="S353" s="15">
        <f>$I$1*S352-$I$2*S351+$I$3*R332+$I$4*R331</f>
        <v/>
      </c>
      <c r="T353" s="15" t="n">
        <v>0</v>
      </c>
      <c r="U353" s="15">
        <f>S353+T353</f>
        <v/>
      </c>
      <c r="V353" s="15">
        <f>INT((2^$J$12-1)*U353/100)/(2^$J$12-1)*100</f>
        <v/>
      </c>
      <c r="X353" s="15">
        <f>M353 * 1.05</f>
        <v/>
      </c>
      <c r="Y353" s="15">
        <f>M353 * 0.95</f>
        <v/>
      </c>
      <c r="Z353" s="15">
        <f>IF(AND(V353 &lt;= X353, V353 &gt;= Y353), 1, 0)</f>
        <v/>
      </c>
      <c r="AC353" s="15">
        <f>N353^2</f>
        <v/>
      </c>
      <c r="AD353" s="15">
        <f>ABS(N353)</f>
        <v/>
      </c>
      <c r="AE353" s="15">
        <f>IF(M353&gt;0, ABS(N353)*(L353-$D$16),0)</f>
        <v/>
      </c>
    </row>
    <row r="354">
      <c r="L354" s="15" t="n">
        <v>352</v>
      </c>
      <c r="M354" s="15">
        <f>IF(L354&lt;$D$16,$D$12,IF(L354&lt;$E$16,$E$12,$F$13))</f>
        <v/>
      </c>
      <c r="N354" s="15">
        <f>M354-V354</f>
        <v/>
      </c>
      <c r="O354" s="15">
        <f>IF(MOD(L354,$B$11)=0,OFFSET(O354,-$B$11,0)+ $E$2*N354+$E$3*OFFSET(N354,-$B$11,0)+ $E$4*OFFSET(N354,-2* $B$11,0), O353)</f>
        <v/>
      </c>
      <c r="P354" s="15">
        <f>INT((2^$J$12-1)*O354/100)/(2^$J$12-1)*100</f>
        <v/>
      </c>
      <c r="Q354" s="15" t="n">
        <v>0</v>
      </c>
      <c r="R354" s="15">
        <f>P354+Q354</f>
        <v/>
      </c>
      <c r="S354" s="15">
        <f>$I$1*S353-$I$2*S352+$I$3*R333+$I$4*R332</f>
        <v/>
      </c>
      <c r="T354" s="15" t="n">
        <v>0</v>
      </c>
      <c r="U354" s="15">
        <f>S354+T354</f>
        <v/>
      </c>
      <c r="V354" s="15">
        <f>INT((2^$J$12-1)*U354/100)/(2^$J$12-1)*100</f>
        <v/>
      </c>
      <c r="X354" s="15">
        <f>M354 * 1.05</f>
        <v/>
      </c>
      <c r="Y354" s="15">
        <f>M354 * 0.95</f>
        <v/>
      </c>
      <c r="Z354" s="15">
        <f>IF(AND(V354 &lt;= X354, V354 &gt;= Y354), 1, 0)</f>
        <v/>
      </c>
      <c r="AC354" s="15">
        <f>N354^2</f>
        <v/>
      </c>
      <c r="AD354" s="15">
        <f>ABS(N354)</f>
        <v/>
      </c>
      <c r="AE354" s="15">
        <f>IF(M354&gt;0, ABS(N354)*(L354-$D$16),0)</f>
        <v/>
      </c>
    </row>
    <row r="355">
      <c r="L355" s="15" t="n">
        <v>353</v>
      </c>
      <c r="M355" s="15">
        <f>IF(L355&lt;$D$16,$D$12,IF(L355&lt;$E$16,$E$12,$F$13))</f>
        <v/>
      </c>
      <c r="N355" s="15">
        <f>M355-V355</f>
        <v/>
      </c>
      <c r="O355" s="15">
        <f>IF(MOD(L355,$B$11)=0,OFFSET(O355,-$B$11,0)+ $E$2*N355+$E$3*OFFSET(N355,-$B$11,0)+ $E$4*OFFSET(N355,-2* $B$11,0), O354)</f>
        <v/>
      </c>
      <c r="P355" s="15">
        <f>INT((2^$J$12-1)*O355/100)/(2^$J$12-1)*100</f>
        <v/>
      </c>
      <c r="Q355" s="15" t="n">
        <v>0</v>
      </c>
      <c r="R355" s="15">
        <f>P355+Q355</f>
        <v/>
      </c>
      <c r="S355" s="15">
        <f>$I$1*S354-$I$2*S353+$I$3*R334+$I$4*R333</f>
        <v/>
      </c>
      <c r="T355" s="15" t="n">
        <v>0</v>
      </c>
      <c r="U355" s="15">
        <f>S355+T355</f>
        <v/>
      </c>
      <c r="V355" s="15">
        <f>INT((2^$J$12-1)*U355/100)/(2^$J$12-1)*100</f>
        <v/>
      </c>
      <c r="X355" s="15">
        <f>M355 * 1.05</f>
        <v/>
      </c>
      <c r="Y355" s="15">
        <f>M355 * 0.95</f>
        <v/>
      </c>
      <c r="Z355" s="15">
        <f>IF(AND(V355 &lt;= X355, V355 &gt;= Y355), 1, 0)</f>
        <v/>
      </c>
      <c r="AC355" s="15">
        <f>N355^2</f>
        <v/>
      </c>
      <c r="AD355" s="15">
        <f>ABS(N355)</f>
        <v/>
      </c>
      <c r="AE355" s="15">
        <f>IF(M355&gt;0, ABS(N355)*(L355-$D$16),0)</f>
        <v/>
      </c>
    </row>
    <row r="356">
      <c r="L356" s="15" t="n">
        <v>354</v>
      </c>
      <c r="M356" s="15">
        <f>IF(L356&lt;$D$16,$D$12,IF(L356&lt;$E$16,$E$12,$F$13))</f>
        <v/>
      </c>
      <c r="N356" s="15">
        <f>M356-V356</f>
        <v/>
      </c>
      <c r="O356" s="15">
        <f>IF(MOD(L356,$B$11)=0,OFFSET(O356,-$B$11,0)+ $E$2*N356+$E$3*OFFSET(N356,-$B$11,0)+ $E$4*OFFSET(N356,-2* $B$11,0), O355)</f>
        <v/>
      </c>
      <c r="P356" s="15">
        <f>INT((2^$J$12-1)*O356/100)/(2^$J$12-1)*100</f>
        <v/>
      </c>
      <c r="Q356" s="15" t="n">
        <v>0</v>
      </c>
      <c r="R356" s="15">
        <f>P356+Q356</f>
        <v/>
      </c>
      <c r="S356" s="15">
        <f>$I$1*S355-$I$2*S354+$I$3*R335+$I$4*R334</f>
        <v/>
      </c>
      <c r="T356" s="15" t="n">
        <v>0</v>
      </c>
      <c r="U356" s="15">
        <f>S356+T356</f>
        <v/>
      </c>
      <c r="V356" s="15">
        <f>INT((2^$J$12-1)*U356/100)/(2^$J$12-1)*100</f>
        <v/>
      </c>
      <c r="X356" s="15">
        <f>M356 * 1.05</f>
        <v/>
      </c>
      <c r="Y356" s="15">
        <f>M356 * 0.95</f>
        <v/>
      </c>
      <c r="Z356" s="15">
        <f>IF(AND(V356 &lt;= X356, V356 &gt;= Y356), 1, 0)</f>
        <v/>
      </c>
      <c r="AC356" s="15">
        <f>N356^2</f>
        <v/>
      </c>
      <c r="AD356" s="15">
        <f>ABS(N356)</f>
        <v/>
      </c>
      <c r="AE356" s="15">
        <f>IF(M356&gt;0, ABS(N356)*(L356-$D$16),0)</f>
        <v/>
      </c>
    </row>
    <row r="357">
      <c r="L357" s="15" t="n">
        <v>355</v>
      </c>
      <c r="M357" s="15">
        <f>IF(L357&lt;$D$16,$D$12,IF(L357&lt;$E$16,$E$12,$F$13))</f>
        <v/>
      </c>
      <c r="N357" s="15">
        <f>M357-V357</f>
        <v/>
      </c>
      <c r="O357" s="15">
        <f>IF(MOD(L357,$B$11)=0,OFFSET(O357,-$B$11,0)+ $E$2*N357+$E$3*OFFSET(N357,-$B$11,0)+ $E$4*OFFSET(N357,-2* $B$11,0), O356)</f>
        <v/>
      </c>
      <c r="P357" s="15">
        <f>INT((2^$J$12-1)*O357/100)/(2^$J$12-1)*100</f>
        <v/>
      </c>
      <c r="Q357" s="15" t="n">
        <v>0</v>
      </c>
      <c r="R357" s="15">
        <f>P357+Q357</f>
        <v/>
      </c>
      <c r="S357" s="15">
        <f>$I$1*S356-$I$2*S355+$I$3*R336+$I$4*R335</f>
        <v/>
      </c>
      <c r="T357" s="15" t="n">
        <v>0</v>
      </c>
      <c r="U357" s="15">
        <f>S357+T357</f>
        <v/>
      </c>
      <c r="V357" s="15">
        <f>INT((2^$J$12-1)*U357/100)/(2^$J$12-1)*100</f>
        <v/>
      </c>
      <c r="X357" s="15">
        <f>M357 * 1.05</f>
        <v/>
      </c>
      <c r="Y357" s="15">
        <f>M357 * 0.95</f>
        <v/>
      </c>
      <c r="Z357" s="15">
        <f>IF(AND(V357 &lt;= X357, V357 &gt;= Y357), 1, 0)</f>
        <v/>
      </c>
      <c r="AC357" s="15">
        <f>N357^2</f>
        <v/>
      </c>
      <c r="AD357" s="15">
        <f>ABS(N357)</f>
        <v/>
      </c>
      <c r="AE357" s="15">
        <f>IF(M357&gt;0, ABS(N357)*(L357-$D$16),0)</f>
        <v/>
      </c>
    </row>
    <row r="358">
      <c r="L358" s="15" t="n">
        <v>356</v>
      </c>
      <c r="M358" s="15">
        <f>IF(L358&lt;$D$16,$D$12,IF(L358&lt;$E$16,$E$12,$F$13))</f>
        <v/>
      </c>
      <c r="N358" s="15">
        <f>M358-V358</f>
        <v/>
      </c>
      <c r="O358" s="15">
        <f>IF(MOD(L358,$B$11)=0,OFFSET(O358,-$B$11,0)+ $E$2*N358+$E$3*OFFSET(N358,-$B$11,0)+ $E$4*OFFSET(N358,-2* $B$11,0), O357)</f>
        <v/>
      </c>
      <c r="P358" s="15">
        <f>INT((2^$J$12-1)*O358/100)/(2^$J$12-1)*100</f>
        <v/>
      </c>
      <c r="Q358" s="15" t="n">
        <v>0</v>
      </c>
      <c r="R358" s="15">
        <f>P358+Q358</f>
        <v/>
      </c>
      <c r="S358" s="15">
        <f>$I$1*S357-$I$2*S356+$I$3*R337+$I$4*R336</f>
        <v/>
      </c>
      <c r="T358" s="15" t="n">
        <v>0</v>
      </c>
      <c r="U358" s="15">
        <f>S358+T358</f>
        <v/>
      </c>
      <c r="V358" s="15">
        <f>INT((2^$J$12-1)*U358/100)/(2^$J$12-1)*100</f>
        <v/>
      </c>
      <c r="X358" s="15">
        <f>M358 * 1.05</f>
        <v/>
      </c>
      <c r="Y358" s="15">
        <f>M358 * 0.95</f>
        <v/>
      </c>
      <c r="Z358" s="15">
        <f>IF(AND(V358 &lt;= X358, V358 &gt;= Y358), 1, 0)</f>
        <v/>
      </c>
      <c r="AC358" s="15">
        <f>N358^2</f>
        <v/>
      </c>
      <c r="AD358" s="15">
        <f>ABS(N358)</f>
        <v/>
      </c>
      <c r="AE358" s="15">
        <f>IF(M358&gt;0, ABS(N358)*(L358-$D$16),0)</f>
        <v/>
      </c>
    </row>
    <row r="359">
      <c r="L359" s="15" t="n">
        <v>357</v>
      </c>
      <c r="M359" s="15">
        <f>IF(L359&lt;$D$16,$D$12,IF(L359&lt;$E$16,$E$12,$F$13))</f>
        <v/>
      </c>
      <c r="N359" s="15">
        <f>M359-V359</f>
        <v/>
      </c>
      <c r="O359" s="15">
        <f>IF(MOD(L359,$B$11)=0,OFFSET(O359,-$B$11,0)+ $E$2*N359+$E$3*OFFSET(N359,-$B$11,0)+ $E$4*OFFSET(N359,-2* $B$11,0), O358)</f>
        <v/>
      </c>
      <c r="P359" s="15">
        <f>INT((2^$J$12-1)*O359/100)/(2^$J$12-1)*100</f>
        <v/>
      </c>
      <c r="Q359" s="15" t="n">
        <v>0</v>
      </c>
      <c r="R359" s="15">
        <f>P359+Q359</f>
        <v/>
      </c>
      <c r="S359" s="15">
        <f>$I$1*S358-$I$2*S357+$I$3*R338+$I$4*R337</f>
        <v/>
      </c>
      <c r="T359" s="15" t="n">
        <v>0</v>
      </c>
      <c r="U359" s="15">
        <f>S359+T359</f>
        <v/>
      </c>
      <c r="V359" s="15">
        <f>INT((2^$J$12-1)*U359/100)/(2^$J$12-1)*100</f>
        <v/>
      </c>
      <c r="X359" s="15">
        <f>M359 * 1.05</f>
        <v/>
      </c>
      <c r="Y359" s="15">
        <f>M359 * 0.95</f>
        <v/>
      </c>
      <c r="Z359" s="15">
        <f>IF(AND(V359 &lt;= X359, V359 &gt;= Y359), 1, 0)</f>
        <v/>
      </c>
      <c r="AC359" s="15">
        <f>N359^2</f>
        <v/>
      </c>
      <c r="AD359" s="15">
        <f>ABS(N359)</f>
        <v/>
      </c>
      <c r="AE359" s="15">
        <f>IF(M359&gt;0, ABS(N359)*(L359-$D$16),0)</f>
        <v/>
      </c>
    </row>
    <row r="360">
      <c r="L360" s="15" t="n">
        <v>358</v>
      </c>
      <c r="M360" s="15">
        <f>IF(L360&lt;$D$16,$D$12,IF(L360&lt;$E$16,$E$12,$F$13))</f>
        <v/>
      </c>
      <c r="N360" s="15">
        <f>M360-V360</f>
        <v/>
      </c>
      <c r="O360" s="15">
        <f>IF(MOD(L360,$B$11)=0,OFFSET(O360,-$B$11,0)+ $E$2*N360+$E$3*OFFSET(N360,-$B$11,0)+ $E$4*OFFSET(N360,-2* $B$11,0), O359)</f>
        <v/>
      </c>
      <c r="P360" s="15">
        <f>INT((2^$J$12-1)*O360/100)/(2^$J$12-1)*100</f>
        <v/>
      </c>
      <c r="Q360" s="15" t="n">
        <v>0</v>
      </c>
      <c r="R360" s="15">
        <f>P360+Q360</f>
        <v/>
      </c>
      <c r="S360" s="15">
        <f>$I$1*S359-$I$2*S358+$I$3*R339+$I$4*R338</f>
        <v/>
      </c>
      <c r="T360" s="15" t="n">
        <v>0</v>
      </c>
      <c r="U360" s="15">
        <f>S360+T360</f>
        <v/>
      </c>
      <c r="V360" s="15">
        <f>INT((2^$J$12-1)*U360/100)/(2^$J$12-1)*100</f>
        <v/>
      </c>
      <c r="X360" s="15">
        <f>M360 * 1.05</f>
        <v/>
      </c>
      <c r="Y360" s="15">
        <f>M360 * 0.95</f>
        <v/>
      </c>
      <c r="Z360" s="15">
        <f>IF(AND(V360 &lt;= X360, V360 &gt;= Y360), 1, 0)</f>
        <v/>
      </c>
      <c r="AC360" s="15">
        <f>N360^2</f>
        <v/>
      </c>
      <c r="AD360" s="15">
        <f>ABS(N360)</f>
        <v/>
      </c>
      <c r="AE360" s="15">
        <f>IF(M360&gt;0, ABS(N360)*(L360-$D$16),0)</f>
        <v/>
      </c>
    </row>
    <row r="361">
      <c r="L361" s="15" t="n">
        <v>359</v>
      </c>
      <c r="M361" s="15">
        <f>IF(L361&lt;$D$16,$D$12,IF(L361&lt;$E$16,$E$12,$F$13))</f>
        <v/>
      </c>
      <c r="N361" s="15">
        <f>M361-V361</f>
        <v/>
      </c>
      <c r="O361" s="15">
        <f>IF(MOD(L361,$B$11)=0,OFFSET(O361,-$B$11,0)+ $E$2*N361+$E$3*OFFSET(N361,-$B$11,0)+ $E$4*OFFSET(N361,-2* $B$11,0), O360)</f>
        <v/>
      </c>
      <c r="P361" s="15">
        <f>INT((2^$J$12-1)*O361/100)/(2^$J$12-1)*100</f>
        <v/>
      </c>
      <c r="Q361" s="15" t="n">
        <v>0</v>
      </c>
      <c r="R361" s="15">
        <f>P361+Q361</f>
        <v/>
      </c>
      <c r="S361" s="15">
        <f>$I$1*S360-$I$2*S359+$I$3*R340+$I$4*R339</f>
        <v/>
      </c>
      <c r="T361" s="15" t="n">
        <v>0</v>
      </c>
      <c r="U361" s="15">
        <f>S361+T361</f>
        <v/>
      </c>
      <c r="V361" s="15">
        <f>INT((2^$J$12-1)*U361/100)/(2^$J$12-1)*100</f>
        <v/>
      </c>
      <c r="X361" s="15">
        <f>M361 * 1.05</f>
        <v/>
      </c>
      <c r="Y361" s="15">
        <f>M361 * 0.95</f>
        <v/>
      </c>
      <c r="Z361" s="15">
        <f>IF(AND(V361 &lt;= X361, V361 &gt;= Y361), 1, 0)</f>
        <v/>
      </c>
      <c r="AC361" s="15">
        <f>N361^2</f>
        <v/>
      </c>
      <c r="AD361" s="15">
        <f>ABS(N361)</f>
        <v/>
      </c>
      <c r="AE361" s="15">
        <f>IF(M361&gt;0, ABS(N361)*(L361-$D$16),0)</f>
        <v/>
      </c>
    </row>
    <row r="362">
      <c r="L362" s="15" t="n">
        <v>360</v>
      </c>
      <c r="M362" s="15">
        <f>IF(L362&lt;$D$16,$D$12,IF(L362&lt;$E$16,$E$12,$F$13))</f>
        <v/>
      </c>
      <c r="N362" s="15">
        <f>M362-V362</f>
        <v/>
      </c>
      <c r="O362" s="15">
        <f>IF(MOD(L362,$B$11)=0,OFFSET(O362,-$B$11,0)+ $E$2*N362+$E$3*OFFSET(N362,-$B$11,0)+ $E$4*OFFSET(N362,-2* $B$11,0), O361)</f>
        <v/>
      </c>
      <c r="P362" s="15">
        <f>INT((2^$J$12-1)*O362/100)/(2^$J$12-1)*100</f>
        <v/>
      </c>
      <c r="Q362" s="15" t="n">
        <v>0</v>
      </c>
      <c r="R362" s="15">
        <f>P362+Q362</f>
        <v/>
      </c>
      <c r="S362" s="15">
        <f>$I$1*S361-$I$2*S360+$I$3*R341+$I$4*R340</f>
        <v/>
      </c>
      <c r="T362" s="15" t="n">
        <v>0</v>
      </c>
      <c r="U362" s="15">
        <f>S362+T362</f>
        <v/>
      </c>
      <c r="V362" s="15">
        <f>INT((2^$J$12-1)*U362/100)/(2^$J$12-1)*100</f>
        <v/>
      </c>
      <c r="X362" s="15">
        <f>M362 * 1.05</f>
        <v/>
      </c>
      <c r="Y362" s="15">
        <f>M362 * 0.95</f>
        <v/>
      </c>
      <c r="Z362" s="15">
        <f>IF(AND(V362 &lt;= X362, V362 &gt;= Y362), 1, 0)</f>
        <v/>
      </c>
      <c r="AC362" s="15">
        <f>N362^2</f>
        <v/>
      </c>
      <c r="AD362" s="15">
        <f>ABS(N362)</f>
        <v/>
      </c>
      <c r="AE362" s="15">
        <f>IF(M362&gt;0, ABS(N362)*(L362-$D$16),0)</f>
        <v/>
      </c>
    </row>
    <row r="363">
      <c r="L363" s="15" t="n">
        <v>361</v>
      </c>
      <c r="M363" s="15">
        <f>IF(L363&lt;$D$16,$D$12,IF(L363&lt;$E$16,$E$12,$F$13))</f>
        <v/>
      </c>
      <c r="N363" s="15">
        <f>M363-V363</f>
        <v/>
      </c>
      <c r="O363" s="15">
        <f>IF(MOD(L363,$B$11)=0,OFFSET(O363,-$B$11,0)+ $E$2*N363+$E$3*OFFSET(N363,-$B$11,0)+ $E$4*OFFSET(N363,-2* $B$11,0), O362)</f>
        <v/>
      </c>
      <c r="P363" s="15">
        <f>INT((2^$J$12-1)*O363/100)/(2^$J$12-1)*100</f>
        <v/>
      </c>
      <c r="Q363" s="15" t="n">
        <v>0</v>
      </c>
      <c r="R363" s="15">
        <f>P363+Q363</f>
        <v/>
      </c>
      <c r="S363" s="15">
        <f>$I$1*S362-$I$2*S361+$I$3*R342+$I$4*R341</f>
        <v/>
      </c>
      <c r="T363" s="15" t="n">
        <v>0</v>
      </c>
      <c r="U363" s="15">
        <f>S363+T363</f>
        <v/>
      </c>
      <c r="V363" s="15">
        <f>INT((2^$J$12-1)*U363/100)/(2^$J$12-1)*100</f>
        <v/>
      </c>
      <c r="X363" s="15">
        <f>M363 * 1.05</f>
        <v/>
      </c>
      <c r="Y363" s="15">
        <f>M363 * 0.95</f>
        <v/>
      </c>
      <c r="Z363" s="15">
        <f>IF(AND(V363 &lt;= X363, V363 &gt;= Y363), 1, 0)</f>
        <v/>
      </c>
      <c r="AC363" s="15">
        <f>N363^2</f>
        <v/>
      </c>
      <c r="AD363" s="15">
        <f>ABS(N363)</f>
        <v/>
      </c>
      <c r="AE363" s="15">
        <f>IF(M363&gt;0, ABS(N363)*(L363-$D$16),0)</f>
        <v/>
      </c>
    </row>
    <row r="364">
      <c r="L364" s="15" t="n">
        <v>362</v>
      </c>
      <c r="M364" s="15">
        <f>IF(L364&lt;$D$16,$D$12,IF(L364&lt;$E$16,$E$12,$F$13))</f>
        <v/>
      </c>
      <c r="N364" s="15">
        <f>M364-V364</f>
        <v/>
      </c>
      <c r="O364" s="15">
        <f>IF(MOD(L364,$B$11)=0,OFFSET(O364,-$B$11,0)+ $E$2*N364+$E$3*OFFSET(N364,-$B$11,0)+ $E$4*OFFSET(N364,-2* $B$11,0), O363)</f>
        <v/>
      </c>
      <c r="P364" s="15">
        <f>INT((2^$J$12-1)*O364/100)/(2^$J$12-1)*100</f>
        <v/>
      </c>
      <c r="Q364" s="15" t="n">
        <v>0</v>
      </c>
      <c r="R364" s="15">
        <f>P364+Q364</f>
        <v/>
      </c>
      <c r="S364" s="15">
        <f>$I$1*S363-$I$2*S362+$I$3*R343+$I$4*R342</f>
        <v/>
      </c>
      <c r="T364" s="15" t="n">
        <v>0</v>
      </c>
      <c r="U364" s="15">
        <f>S364+T364</f>
        <v/>
      </c>
      <c r="V364" s="15">
        <f>INT((2^$J$12-1)*U364/100)/(2^$J$12-1)*100</f>
        <v/>
      </c>
      <c r="X364" s="15">
        <f>M364 * 1.05</f>
        <v/>
      </c>
      <c r="Y364" s="15">
        <f>M364 * 0.95</f>
        <v/>
      </c>
      <c r="Z364" s="15">
        <f>IF(AND(V364 &lt;= X364, V364 &gt;= Y364), 1, 0)</f>
        <v/>
      </c>
      <c r="AC364" s="15">
        <f>N364^2</f>
        <v/>
      </c>
      <c r="AD364" s="15">
        <f>ABS(N364)</f>
        <v/>
      </c>
      <c r="AE364" s="15">
        <f>IF(M364&gt;0, ABS(N364)*(L364-$D$16),0)</f>
        <v/>
      </c>
    </row>
    <row r="365">
      <c r="L365" s="15" t="n">
        <v>363</v>
      </c>
      <c r="M365" s="15">
        <f>IF(L365&lt;$D$16,$D$12,IF(L365&lt;$E$16,$E$12,$F$13))</f>
        <v/>
      </c>
      <c r="N365" s="15">
        <f>M365-V365</f>
        <v/>
      </c>
      <c r="O365" s="15">
        <f>IF(MOD(L365,$B$11)=0,OFFSET(O365,-$B$11,0)+ $E$2*N365+$E$3*OFFSET(N365,-$B$11,0)+ $E$4*OFFSET(N365,-2* $B$11,0), O364)</f>
        <v/>
      </c>
      <c r="P365" s="15">
        <f>INT((2^$J$12-1)*O365/100)/(2^$J$12-1)*100</f>
        <v/>
      </c>
      <c r="Q365" s="15" t="n">
        <v>0</v>
      </c>
      <c r="R365" s="15">
        <f>P365+Q365</f>
        <v/>
      </c>
      <c r="S365" s="15">
        <f>$I$1*S364-$I$2*S363+$I$3*R344+$I$4*R343</f>
        <v/>
      </c>
      <c r="T365" s="15" t="n">
        <v>0</v>
      </c>
      <c r="U365" s="15">
        <f>S365+T365</f>
        <v/>
      </c>
      <c r="V365" s="15">
        <f>INT((2^$J$12-1)*U365/100)/(2^$J$12-1)*100</f>
        <v/>
      </c>
      <c r="X365" s="15">
        <f>M365 * 1.05</f>
        <v/>
      </c>
      <c r="Y365" s="15">
        <f>M365 * 0.95</f>
        <v/>
      </c>
      <c r="Z365" s="15">
        <f>IF(AND(V365 &lt;= X365, V365 &gt;= Y365), 1, 0)</f>
        <v/>
      </c>
      <c r="AC365" s="15">
        <f>N365^2</f>
        <v/>
      </c>
      <c r="AD365" s="15">
        <f>ABS(N365)</f>
        <v/>
      </c>
      <c r="AE365" s="15">
        <f>IF(M365&gt;0, ABS(N365)*(L365-$D$16),0)</f>
        <v/>
      </c>
    </row>
    <row r="366">
      <c r="L366" s="15" t="n">
        <v>364</v>
      </c>
      <c r="M366" s="15">
        <f>IF(L366&lt;$D$16,$D$12,IF(L366&lt;$E$16,$E$12,$F$13))</f>
        <v/>
      </c>
      <c r="N366" s="15">
        <f>M366-V366</f>
        <v/>
      </c>
      <c r="O366" s="15">
        <f>IF(MOD(L366,$B$11)=0,OFFSET(O366,-$B$11,0)+ $E$2*N366+$E$3*OFFSET(N366,-$B$11,0)+ $E$4*OFFSET(N366,-2* $B$11,0), O365)</f>
        <v/>
      </c>
      <c r="P366" s="15">
        <f>INT((2^$J$12-1)*O366/100)/(2^$J$12-1)*100</f>
        <v/>
      </c>
      <c r="Q366" s="15" t="n">
        <v>0</v>
      </c>
      <c r="R366" s="15">
        <f>P366+Q366</f>
        <v/>
      </c>
      <c r="S366" s="15">
        <f>$I$1*S365-$I$2*S364+$I$3*R345+$I$4*R344</f>
        <v/>
      </c>
      <c r="T366" s="15" t="n">
        <v>0</v>
      </c>
      <c r="U366" s="15">
        <f>S366+T366</f>
        <v/>
      </c>
      <c r="V366" s="15">
        <f>INT((2^$J$12-1)*U366/100)/(2^$J$12-1)*100</f>
        <v/>
      </c>
      <c r="X366" s="15">
        <f>M366 * 1.05</f>
        <v/>
      </c>
      <c r="Y366" s="15">
        <f>M366 * 0.95</f>
        <v/>
      </c>
      <c r="Z366" s="15">
        <f>IF(AND(V366 &lt;= X366, V366 &gt;= Y366), 1, 0)</f>
        <v/>
      </c>
      <c r="AC366" s="15">
        <f>N366^2</f>
        <v/>
      </c>
      <c r="AD366" s="15">
        <f>ABS(N366)</f>
        <v/>
      </c>
      <c r="AE366" s="15">
        <f>IF(M366&gt;0, ABS(N366)*(L366-$D$16),0)</f>
        <v/>
      </c>
    </row>
    <row r="367">
      <c r="L367" s="15" t="n">
        <v>365</v>
      </c>
      <c r="M367" s="15">
        <f>IF(L367&lt;$D$16,$D$12,IF(L367&lt;$E$16,$E$12,$F$13))</f>
        <v/>
      </c>
      <c r="N367" s="15">
        <f>M367-V367</f>
        <v/>
      </c>
      <c r="O367" s="15">
        <f>IF(MOD(L367,$B$11)=0,OFFSET(O367,-$B$11,0)+ $E$2*N367+$E$3*OFFSET(N367,-$B$11,0)+ $E$4*OFFSET(N367,-2* $B$11,0), O366)</f>
        <v/>
      </c>
      <c r="P367" s="15">
        <f>INT((2^$J$12-1)*O367/100)/(2^$J$12-1)*100</f>
        <v/>
      </c>
      <c r="Q367" s="15" t="n">
        <v>0</v>
      </c>
      <c r="R367" s="15">
        <f>P367+Q367</f>
        <v/>
      </c>
      <c r="S367" s="15">
        <f>$I$1*S366-$I$2*S365+$I$3*R346+$I$4*R345</f>
        <v/>
      </c>
      <c r="T367" s="15" t="n">
        <v>0</v>
      </c>
      <c r="U367" s="15">
        <f>S367+T367</f>
        <v/>
      </c>
      <c r="V367" s="15">
        <f>INT((2^$J$12-1)*U367/100)/(2^$J$12-1)*100</f>
        <v/>
      </c>
      <c r="X367" s="15">
        <f>M367 * 1.05</f>
        <v/>
      </c>
      <c r="Y367" s="15">
        <f>M367 * 0.95</f>
        <v/>
      </c>
      <c r="Z367" s="15">
        <f>IF(AND(V367 &lt;= X367, V367 &gt;= Y367), 1, 0)</f>
        <v/>
      </c>
      <c r="AC367" s="15">
        <f>N367^2</f>
        <v/>
      </c>
      <c r="AD367" s="15">
        <f>ABS(N367)</f>
        <v/>
      </c>
      <c r="AE367" s="15">
        <f>IF(M367&gt;0, ABS(N367)*(L367-$D$16),0)</f>
        <v/>
      </c>
    </row>
    <row r="368">
      <c r="L368" s="15" t="n">
        <v>366</v>
      </c>
      <c r="M368" s="15">
        <f>IF(L368&lt;$D$16,$D$12,IF(L368&lt;$E$16,$E$12,$F$13))</f>
        <v/>
      </c>
      <c r="N368" s="15">
        <f>M368-V368</f>
        <v/>
      </c>
      <c r="O368" s="15">
        <f>IF(MOD(L368,$B$11)=0,OFFSET(O368,-$B$11,0)+ $E$2*N368+$E$3*OFFSET(N368,-$B$11,0)+ $E$4*OFFSET(N368,-2* $B$11,0), O367)</f>
        <v/>
      </c>
      <c r="P368" s="15">
        <f>INT((2^$J$12-1)*O368/100)/(2^$J$12-1)*100</f>
        <v/>
      </c>
      <c r="Q368" s="15" t="n">
        <v>0</v>
      </c>
      <c r="R368" s="15">
        <f>P368+Q368</f>
        <v/>
      </c>
      <c r="S368" s="15">
        <f>$I$1*S367-$I$2*S366+$I$3*R347+$I$4*R346</f>
        <v/>
      </c>
      <c r="T368" s="15" t="n">
        <v>0</v>
      </c>
      <c r="U368" s="15">
        <f>S368+T368</f>
        <v/>
      </c>
      <c r="V368" s="15">
        <f>INT((2^$J$12-1)*U368/100)/(2^$J$12-1)*100</f>
        <v/>
      </c>
      <c r="X368" s="15">
        <f>M368 * 1.05</f>
        <v/>
      </c>
      <c r="Y368" s="15">
        <f>M368 * 0.95</f>
        <v/>
      </c>
      <c r="Z368" s="15">
        <f>IF(AND(V368 &lt;= X368, V368 &gt;= Y368), 1, 0)</f>
        <v/>
      </c>
      <c r="AC368" s="15">
        <f>N368^2</f>
        <v/>
      </c>
      <c r="AD368" s="15">
        <f>ABS(N368)</f>
        <v/>
      </c>
      <c r="AE368" s="15">
        <f>IF(M368&gt;0, ABS(N368)*(L368-$D$16),0)</f>
        <v/>
      </c>
    </row>
    <row r="369">
      <c r="L369" s="15" t="n">
        <v>367</v>
      </c>
      <c r="M369" s="15">
        <f>IF(L369&lt;$D$16,$D$12,IF(L369&lt;$E$16,$E$12,$F$13))</f>
        <v/>
      </c>
      <c r="N369" s="15">
        <f>M369-V369</f>
        <v/>
      </c>
      <c r="O369" s="15">
        <f>IF(MOD(L369,$B$11)=0,OFFSET(O369,-$B$11,0)+ $E$2*N369+$E$3*OFFSET(N369,-$B$11,0)+ $E$4*OFFSET(N369,-2* $B$11,0), O368)</f>
        <v/>
      </c>
      <c r="P369" s="15">
        <f>INT((2^$J$12-1)*O369/100)/(2^$J$12-1)*100</f>
        <v/>
      </c>
      <c r="Q369" s="15" t="n">
        <v>0</v>
      </c>
      <c r="R369" s="15">
        <f>P369+Q369</f>
        <v/>
      </c>
      <c r="S369" s="15">
        <f>$I$1*S368-$I$2*S367+$I$3*R348+$I$4*R347</f>
        <v/>
      </c>
      <c r="T369" s="15" t="n">
        <v>0</v>
      </c>
      <c r="U369" s="15">
        <f>S369+T369</f>
        <v/>
      </c>
      <c r="V369" s="15">
        <f>INT((2^$J$12-1)*U369/100)/(2^$J$12-1)*100</f>
        <v/>
      </c>
      <c r="X369" s="15">
        <f>M369 * 1.05</f>
        <v/>
      </c>
      <c r="Y369" s="15">
        <f>M369 * 0.95</f>
        <v/>
      </c>
      <c r="Z369" s="15">
        <f>IF(AND(V369 &lt;= X369, V369 &gt;= Y369), 1, 0)</f>
        <v/>
      </c>
      <c r="AC369" s="15">
        <f>N369^2</f>
        <v/>
      </c>
      <c r="AD369" s="15">
        <f>ABS(N369)</f>
        <v/>
      </c>
      <c r="AE369" s="15">
        <f>IF(M369&gt;0, ABS(N369)*(L369-$D$16),0)</f>
        <v/>
      </c>
    </row>
    <row r="370">
      <c r="L370" s="15" t="n">
        <v>368</v>
      </c>
      <c r="M370" s="15">
        <f>IF(L370&lt;$D$16,$D$12,IF(L370&lt;$E$16,$E$12,$F$13))</f>
        <v/>
      </c>
      <c r="N370" s="15">
        <f>M370-V370</f>
        <v/>
      </c>
      <c r="O370" s="15">
        <f>IF(MOD(L370,$B$11)=0,OFFSET(O370,-$B$11,0)+ $E$2*N370+$E$3*OFFSET(N370,-$B$11,0)+ $E$4*OFFSET(N370,-2* $B$11,0), O369)</f>
        <v/>
      </c>
      <c r="P370" s="15">
        <f>INT((2^$J$12-1)*O370/100)/(2^$J$12-1)*100</f>
        <v/>
      </c>
      <c r="Q370" s="15" t="n">
        <v>0</v>
      </c>
      <c r="R370" s="15">
        <f>P370+Q370</f>
        <v/>
      </c>
      <c r="S370" s="15">
        <f>$I$1*S369-$I$2*S368+$I$3*R349+$I$4*R348</f>
        <v/>
      </c>
      <c r="T370" s="15" t="n">
        <v>0</v>
      </c>
      <c r="U370" s="15">
        <f>S370+T370</f>
        <v/>
      </c>
      <c r="V370" s="15">
        <f>INT((2^$J$12-1)*U370/100)/(2^$J$12-1)*100</f>
        <v/>
      </c>
      <c r="X370" s="15">
        <f>M370 * 1.05</f>
        <v/>
      </c>
      <c r="Y370" s="15">
        <f>M370 * 0.95</f>
        <v/>
      </c>
      <c r="Z370" s="15">
        <f>IF(AND(V370 &lt;= X370, V370 &gt;= Y370), 1, 0)</f>
        <v/>
      </c>
      <c r="AC370" s="15">
        <f>N370^2</f>
        <v/>
      </c>
      <c r="AD370" s="15">
        <f>ABS(N370)</f>
        <v/>
      </c>
      <c r="AE370" s="15">
        <f>IF(M370&gt;0, ABS(N370)*(L370-$D$16),0)</f>
        <v/>
      </c>
    </row>
    <row r="371">
      <c r="L371" s="15" t="n">
        <v>369</v>
      </c>
      <c r="M371" s="15">
        <f>IF(L371&lt;$D$16,$D$12,IF(L371&lt;$E$16,$E$12,$F$13))</f>
        <v/>
      </c>
      <c r="N371" s="15">
        <f>M371-V371</f>
        <v/>
      </c>
      <c r="O371" s="15">
        <f>IF(MOD(L371,$B$11)=0,OFFSET(O371,-$B$11,0)+ $E$2*N371+$E$3*OFFSET(N371,-$B$11,0)+ $E$4*OFFSET(N371,-2* $B$11,0), O370)</f>
        <v/>
      </c>
      <c r="P371" s="15">
        <f>INT((2^$J$12-1)*O371/100)/(2^$J$12-1)*100</f>
        <v/>
      </c>
      <c r="Q371" s="15" t="n">
        <v>0</v>
      </c>
      <c r="R371" s="15">
        <f>P371+Q371</f>
        <v/>
      </c>
      <c r="S371" s="15">
        <f>$I$1*S370-$I$2*S369+$I$3*R350+$I$4*R349</f>
        <v/>
      </c>
      <c r="T371" s="15" t="n">
        <v>0</v>
      </c>
      <c r="U371" s="15">
        <f>S371+T371</f>
        <v/>
      </c>
      <c r="V371" s="15">
        <f>INT((2^$J$12-1)*U371/100)/(2^$J$12-1)*100</f>
        <v/>
      </c>
      <c r="X371" s="15">
        <f>M371 * 1.05</f>
        <v/>
      </c>
      <c r="Y371" s="15">
        <f>M371 * 0.95</f>
        <v/>
      </c>
      <c r="Z371" s="15">
        <f>IF(AND(V371 &lt;= X371, V371 &gt;= Y371), 1, 0)</f>
        <v/>
      </c>
      <c r="AC371" s="15">
        <f>N371^2</f>
        <v/>
      </c>
      <c r="AD371" s="15">
        <f>ABS(N371)</f>
        <v/>
      </c>
      <c r="AE371" s="15">
        <f>IF(M371&gt;0, ABS(N371)*(L371-$D$16),0)</f>
        <v/>
      </c>
    </row>
    <row r="372">
      <c r="L372" s="15" t="n">
        <v>370</v>
      </c>
      <c r="M372" s="15">
        <f>IF(L372&lt;$D$16,$D$12,IF(L372&lt;$E$16,$E$12,$F$13))</f>
        <v/>
      </c>
      <c r="N372" s="15">
        <f>M372-V372</f>
        <v/>
      </c>
      <c r="O372" s="15">
        <f>IF(MOD(L372,$B$11)=0,OFFSET(O372,-$B$11,0)+ $E$2*N372+$E$3*OFFSET(N372,-$B$11,0)+ $E$4*OFFSET(N372,-2* $B$11,0), O371)</f>
        <v/>
      </c>
      <c r="P372" s="15">
        <f>INT((2^$J$12-1)*O372/100)/(2^$J$12-1)*100</f>
        <v/>
      </c>
      <c r="Q372" s="15" t="n">
        <v>0</v>
      </c>
      <c r="R372" s="15">
        <f>P372+Q372</f>
        <v/>
      </c>
      <c r="S372" s="15">
        <f>$I$1*S371-$I$2*S370+$I$3*R351+$I$4*R350</f>
        <v/>
      </c>
      <c r="T372" s="15" t="n">
        <v>0</v>
      </c>
      <c r="U372" s="15">
        <f>S372+T372</f>
        <v/>
      </c>
      <c r="V372" s="15">
        <f>INT((2^$J$12-1)*U372/100)/(2^$J$12-1)*100</f>
        <v/>
      </c>
      <c r="X372" s="15">
        <f>M372 * 1.05</f>
        <v/>
      </c>
      <c r="Y372" s="15">
        <f>M372 * 0.95</f>
        <v/>
      </c>
      <c r="Z372" s="15">
        <f>IF(AND(V372 &lt;= X372, V372 &gt;= Y372), 1, 0)</f>
        <v/>
      </c>
      <c r="AC372" s="15">
        <f>N372^2</f>
        <v/>
      </c>
      <c r="AD372" s="15">
        <f>ABS(N372)</f>
        <v/>
      </c>
      <c r="AE372" s="15">
        <f>IF(M372&gt;0, ABS(N372)*(L372-$D$16),0)</f>
        <v/>
      </c>
    </row>
    <row r="373">
      <c r="L373" s="15" t="n">
        <v>371</v>
      </c>
      <c r="M373" s="15">
        <f>IF(L373&lt;$D$16,$D$12,IF(L373&lt;$E$16,$E$12,$F$13))</f>
        <v/>
      </c>
      <c r="N373" s="15">
        <f>M373-V373</f>
        <v/>
      </c>
      <c r="O373" s="15">
        <f>IF(MOD(L373,$B$11)=0,OFFSET(O373,-$B$11,0)+ $E$2*N373+$E$3*OFFSET(N373,-$B$11,0)+ $E$4*OFFSET(N373,-2* $B$11,0), O372)</f>
        <v/>
      </c>
      <c r="P373" s="15">
        <f>INT((2^$J$12-1)*O373/100)/(2^$J$12-1)*100</f>
        <v/>
      </c>
      <c r="Q373" s="15" t="n">
        <v>0</v>
      </c>
      <c r="R373" s="15">
        <f>P373+Q373</f>
        <v/>
      </c>
      <c r="S373" s="15">
        <f>$I$1*S372-$I$2*S371+$I$3*R352+$I$4*R351</f>
        <v/>
      </c>
      <c r="T373" s="15" t="n">
        <v>0</v>
      </c>
      <c r="U373" s="15">
        <f>S373+T373</f>
        <v/>
      </c>
      <c r="V373" s="15">
        <f>INT((2^$J$12-1)*U373/100)/(2^$J$12-1)*100</f>
        <v/>
      </c>
      <c r="X373" s="15">
        <f>M373 * 1.05</f>
        <v/>
      </c>
      <c r="Y373" s="15">
        <f>M373 * 0.95</f>
        <v/>
      </c>
      <c r="Z373" s="15">
        <f>IF(AND(V373 &lt;= X373, V373 &gt;= Y373), 1, 0)</f>
        <v/>
      </c>
      <c r="AC373" s="15">
        <f>N373^2</f>
        <v/>
      </c>
      <c r="AD373" s="15">
        <f>ABS(N373)</f>
        <v/>
      </c>
      <c r="AE373" s="15">
        <f>IF(M373&gt;0, ABS(N373)*(L373-$D$16),0)</f>
        <v/>
      </c>
    </row>
    <row r="374">
      <c r="L374" s="15" t="n">
        <v>372</v>
      </c>
      <c r="M374" s="15">
        <f>IF(L374&lt;$D$16,$D$12,IF(L374&lt;$E$16,$E$12,$F$13))</f>
        <v/>
      </c>
      <c r="N374" s="15">
        <f>M374-V374</f>
        <v/>
      </c>
      <c r="O374" s="15">
        <f>IF(MOD(L374,$B$11)=0,OFFSET(O374,-$B$11,0)+ $E$2*N374+$E$3*OFFSET(N374,-$B$11,0)+ $E$4*OFFSET(N374,-2* $B$11,0), O373)</f>
        <v/>
      </c>
      <c r="P374" s="15">
        <f>INT((2^$J$12-1)*O374/100)/(2^$J$12-1)*100</f>
        <v/>
      </c>
      <c r="Q374" s="15" t="n">
        <v>0</v>
      </c>
      <c r="R374" s="15">
        <f>P374+Q374</f>
        <v/>
      </c>
      <c r="S374" s="15">
        <f>$I$1*S373-$I$2*S372+$I$3*R353+$I$4*R352</f>
        <v/>
      </c>
      <c r="T374" s="15" t="n">
        <v>0</v>
      </c>
      <c r="U374" s="15">
        <f>S374+T374</f>
        <v/>
      </c>
      <c r="V374" s="15">
        <f>INT((2^$J$12-1)*U374/100)/(2^$J$12-1)*100</f>
        <v/>
      </c>
      <c r="X374" s="15">
        <f>M374 * 1.05</f>
        <v/>
      </c>
      <c r="Y374" s="15">
        <f>M374 * 0.95</f>
        <v/>
      </c>
      <c r="Z374" s="15">
        <f>IF(AND(V374 &lt;= X374, V374 &gt;= Y374), 1, 0)</f>
        <v/>
      </c>
      <c r="AC374" s="15">
        <f>N374^2</f>
        <v/>
      </c>
      <c r="AD374" s="15">
        <f>ABS(N374)</f>
        <v/>
      </c>
      <c r="AE374" s="15">
        <f>IF(M374&gt;0, ABS(N374)*(L374-$D$16),0)</f>
        <v/>
      </c>
    </row>
    <row r="375">
      <c r="L375" s="15" t="n">
        <v>373</v>
      </c>
      <c r="M375" s="15">
        <f>IF(L375&lt;$D$16,$D$12,IF(L375&lt;$E$16,$E$12,$F$13))</f>
        <v/>
      </c>
      <c r="N375" s="15">
        <f>M375-V375</f>
        <v/>
      </c>
      <c r="O375" s="15">
        <f>IF(MOD(L375,$B$11)=0,OFFSET(O375,-$B$11,0)+ $E$2*N375+$E$3*OFFSET(N375,-$B$11,0)+ $E$4*OFFSET(N375,-2* $B$11,0), O374)</f>
        <v/>
      </c>
      <c r="P375" s="15">
        <f>INT((2^$J$12-1)*O375/100)/(2^$J$12-1)*100</f>
        <v/>
      </c>
      <c r="Q375" s="15" t="n">
        <v>0</v>
      </c>
      <c r="R375" s="15">
        <f>P375+Q375</f>
        <v/>
      </c>
      <c r="S375" s="15">
        <f>$I$1*S374-$I$2*S373+$I$3*R354+$I$4*R353</f>
        <v/>
      </c>
      <c r="T375" s="15" t="n">
        <v>0</v>
      </c>
      <c r="U375" s="15">
        <f>S375+T375</f>
        <v/>
      </c>
      <c r="V375" s="15">
        <f>INT((2^$J$12-1)*U375/100)/(2^$J$12-1)*100</f>
        <v/>
      </c>
      <c r="X375" s="15">
        <f>M375 * 1.05</f>
        <v/>
      </c>
      <c r="Y375" s="15">
        <f>M375 * 0.95</f>
        <v/>
      </c>
      <c r="Z375" s="15">
        <f>IF(AND(V375 &lt;= X375, V375 &gt;= Y375), 1, 0)</f>
        <v/>
      </c>
      <c r="AC375" s="15">
        <f>N375^2</f>
        <v/>
      </c>
      <c r="AD375" s="15">
        <f>ABS(N375)</f>
        <v/>
      </c>
      <c r="AE375" s="15">
        <f>IF(M375&gt;0, ABS(N375)*(L375-$D$16),0)</f>
        <v/>
      </c>
    </row>
    <row r="376">
      <c r="L376" s="15" t="n">
        <v>374</v>
      </c>
      <c r="M376" s="15">
        <f>IF(L376&lt;$D$16,$D$12,IF(L376&lt;$E$16,$E$12,$F$13))</f>
        <v/>
      </c>
      <c r="N376" s="15">
        <f>M376-V376</f>
        <v/>
      </c>
      <c r="O376" s="15">
        <f>IF(MOD(L376,$B$11)=0,OFFSET(O376,-$B$11,0)+ $E$2*N376+$E$3*OFFSET(N376,-$B$11,0)+ $E$4*OFFSET(N376,-2* $B$11,0), O375)</f>
        <v/>
      </c>
      <c r="P376" s="15">
        <f>INT((2^$J$12-1)*O376/100)/(2^$J$12-1)*100</f>
        <v/>
      </c>
      <c r="Q376" s="15" t="n">
        <v>0</v>
      </c>
      <c r="R376" s="15">
        <f>P376+Q376</f>
        <v/>
      </c>
      <c r="S376" s="15">
        <f>$I$1*S375-$I$2*S374+$I$3*R355+$I$4*R354</f>
        <v/>
      </c>
      <c r="T376" s="15" t="n">
        <v>0</v>
      </c>
      <c r="U376" s="15">
        <f>S376+T376</f>
        <v/>
      </c>
      <c r="V376" s="15">
        <f>INT((2^$J$12-1)*U376/100)/(2^$J$12-1)*100</f>
        <v/>
      </c>
      <c r="X376" s="15">
        <f>M376 * 1.05</f>
        <v/>
      </c>
      <c r="Y376" s="15">
        <f>M376 * 0.95</f>
        <v/>
      </c>
      <c r="Z376" s="15">
        <f>IF(AND(V376 &lt;= X376, V376 &gt;= Y376), 1, 0)</f>
        <v/>
      </c>
      <c r="AC376" s="15">
        <f>N376^2</f>
        <v/>
      </c>
      <c r="AD376" s="15">
        <f>ABS(N376)</f>
        <v/>
      </c>
      <c r="AE376" s="15">
        <f>IF(M376&gt;0, ABS(N376)*(L376-$D$16),0)</f>
        <v/>
      </c>
    </row>
    <row r="377">
      <c r="L377" s="15" t="n">
        <v>375</v>
      </c>
      <c r="M377" s="15">
        <f>IF(L377&lt;$D$16,$D$12,IF(L377&lt;$E$16,$E$12,$F$13))</f>
        <v/>
      </c>
      <c r="N377" s="15">
        <f>M377-V377</f>
        <v/>
      </c>
      <c r="O377" s="15">
        <f>IF(MOD(L377,$B$11)=0,OFFSET(O377,-$B$11,0)+ $E$2*N377+$E$3*OFFSET(N377,-$B$11,0)+ $E$4*OFFSET(N377,-2* $B$11,0), O376)</f>
        <v/>
      </c>
      <c r="P377" s="15">
        <f>INT((2^$J$12-1)*O377/100)/(2^$J$12-1)*100</f>
        <v/>
      </c>
      <c r="Q377" s="15" t="n">
        <v>0</v>
      </c>
      <c r="R377" s="15">
        <f>P377+Q377</f>
        <v/>
      </c>
      <c r="S377" s="15">
        <f>$I$1*S376-$I$2*S375+$I$3*R356+$I$4*R355</f>
        <v/>
      </c>
      <c r="T377" s="15" t="n">
        <v>0</v>
      </c>
      <c r="U377" s="15">
        <f>S377+T377</f>
        <v/>
      </c>
      <c r="V377" s="15">
        <f>INT((2^$J$12-1)*U377/100)/(2^$J$12-1)*100</f>
        <v/>
      </c>
      <c r="X377" s="15">
        <f>M377 * 1.05</f>
        <v/>
      </c>
      <c r="Y377" s="15">
        <f>M377 * 0.95</f>
        <v/>
      </c>
      <c r="Z377" s="15">
        <f>IF(AND(V377 &lt;= X377, V377 &gt;= Y377), 1, 0)</f>
        <v/>
      </c>
      <c r="AC377" s="15">
        <f>N377^2</f>
        <v/>
      </c>
      <c r="AD377" s="15">
        <f>ABS(N377)</f>
        <v/>
      </c>
      <c r="AE377" s="15">
        <f>IF(M377&gt;0, ABS(N377)*(L377-$D$16),0)</f>
        <v/>
      </c>
    </row>
    <row r="378">
      <c r="L378" s="15" t="n">
        <v>376</v>
      </c>
      <c r="M378" s="15">
        <f>IF(L378&lt;$D$16,$D$12,IF(L378&lt;$E$16,$E$12,$F$13))</f>
        <v/>
      </c>
      <c r="N378" s="15">
        <f>M378-V378</f>
        <v/>
      </c>
      <c r="O378" s="15">
        <f>IF(MOD(L378,$B$11)=0,OFFSET(O378,-$B$11,0)+ $E$2*N378+$E$3*OFFSET(N378,-$B$11,0)+ $E$4*OFFSET(N378,-2* $B$11,0), O377)</f>
        <v/>
      </c>
      <c r="P378" s="15">
        <f>INT((2^$J$12-1)*O378/100)/(2^$J$12-1)*100</f>
        <v/>
      </c>
      <c r="Q378" s="15" t="n">
        <v>0</v>
      </c>
      <c r="R378" s="15">
        <f>P378+Q378</f>
        <v/>
      </c>
      <c r="S378" s="15">
        <f>$I$1*S377-$I$2*S376+$I$3*R357+$I$4*R356</f>
        <v/>
      </c>
      <c r="T378" s="15" t="n">
        <v>0</v>
      </c>
      <c r="U378" s="15">
        <f>S378+T378</f>
        <v/>
      </c>
      <c r="V378" s="15">
        <f>INT((2^$J$12-1)*U378/100)/(2^$J$12-1)*100</f>
        <v/>
      </c>
      <c r="X378" s="15">
        <f>M378 * 1.05</f>
        <v/>
      </c>
      <c r="Y378" s="15">
        <f>M378 * 0.95</f>
        <v/>
      </c>
      <c r="Z378" s="15">
        <f>IF(AND(V378 &lt;= X378, V378 &gt;= Y378), 1, 0)</f>
        <v/>
      </c>
      <c r="AC378" s="15">
        <f>N378^2</f>
        <v/>
      </c>
      <c r="AD378" s="15">
        <f>ABS(N378)</f>
        <v/>
      </c>
      <c r="AE378" s="15">
        <f>IF(M378&gt;0, ABS(N378)*(L378-$D$16),0)</f>
        <v/>
      </c>
    </row>
    <row r="379">
      <c r="L379" s="15" t="n">
        <v>377</v>
      </c>
      <c r="M379" s="15">
        <f>IF(L379&lt;$D$16,$D$12,IF(L379&lt;$E$16,$E$12,$F$13))</f>
        <v/>
      </c>
      <c r="N379" s="15">
        <f>M379-V379</f>
        <v/>
      </c>
      <c r="O379" s="15">
        <f>IF(MOD(L379,$B$11)=0,OFFSET(O379,-$B$11,0)+ $E$2*N379+$E$3*OFFSET(N379,-$B$11,0)+ $E$4*OFFSET(N379,-2* $B$11,0), O378)</f>
        <v/>
      </c>
      <c r="P379" s="15">
        <f>INT((2^$J$12-1)*O379/100)/(2^$J$12-1)*100</f>
        <v/>
      </c>
      <c r="Q379" s="15" t="n">
        <v>0</v>
      </c>
      <c r="R379" s="15">
        <f>P379+Q379</f>
        <v/>
      </c>
      <c r="S379" s="15">
        <f>$I$1*S378-$I$2*S377+$I$3*R358+$I$4*R357</f>
        <v/>
      </c>
      <c r="T379" s="15" t="n">
        <v>0</v>
      </c>
      <c r="U379" s="15">
        <f>S379+T379</f>
        <v/>
      </c>
      <c r="V379" s="15">
        <f>INT((2^$J$12-1)*U379/100)/(2^$J$12-1)*100</f>
        <v/>
      </c>
      <c r="X379" s="15">
        <f>M379 * 1.05</f>
        <v/>
      </c>
      <c r="Y379" s="15">
        <f>M379 * 0.95</f>
        <v/>
      </c>
      <c r="Z379" s="15">
        <f>IF(AND(V379 &lt;= X379, V379 &gt;= Y379), 1, 0)</f>
        <v/>
      </c>
      <c r="AC379" s="15">
        <f>N379^2</f>
        <v/>
      </c>
      <c r="AD379" s="15">
        <f>ABS(N379)</f>
        <v/>
      </c>
      <c r="AE379" s="15">
        <f>IF(M379&gt;0, ABS(N379)*(L379-$D$16),0)</f>
        <v/>
      </c>
    </row>
    <row r="380">
      <c r="L380" s="15" t="n">
        <v>378</v>
      </c>
      <c r="M380" s="15">
        <f>IF(L380&lt;$D$16,$D$12,IF(L380&lt;$E$16,$E$12,$F$13))</f>
        <v/>
      </c>
      <c r="N380" s="15">
        <f>M380-V380</f>
        <v/>
      </c>
      <c r="O380" s="15">
        <f>IF(MOD(L380,$B$11)=0,OFFSET(O380,-$B$11,0)+ $E$2*N380+$E$3*OFFSET(N380,-$B$11,0)+ $E$4*OFFSET(N380,-2* $B$11,0), O379)</f>
        <v/>
      </c>
      <c r="P380" s="15">
        <f>INT((2^$J$12-1)*O380/100)/(2^$J$12-1)*100</f>
        <v/>
      </c>
      <c r="Q380" s="15" t="n">
        <v>0</v>
      </c>
      <c r="R380" s="15">
        <f>P380+Q380</f>
        <v/>
      </c>
      <c r="S380" s="15">
        <f>$I$1*S379-$I$2*S378+$I$3*R359+$I$4*R358</f>
        <v/>
      </c>
      <c r="T380" s="15" t="n">
        <v>0</v>
      </c>
      <c r="U380" s="15">
        <f>S380+T380</f>
        <v/>
      </c>
      <c r="V380" s="15">
        <f>INT((2^$J$12-1)*U380/100)/(2^$J$12-1)*100</f>
        <v/>
      </c>
      <c r="X380" s="15">
        <f>M380 * 1.05</f>
        <v/>
      </c>
      <c r="Y380" s="15">
        <f>M380 * 0.95</f>
        <v/>
      </c>
      <c r="Z380" s="15">
        <f>IF(AND(V380 &lt;= X380, V380 &gt;= Y380), 1, 0)</f>
        <v/>
      </c>
      <c r="AC380" s="15">
        <f>N380^2</f>
        <v/>
      </c>
      <c r="AD380" s="15">
        <f>ABS(N380)</f>
        <v/>
      </c>
      <c r="AE380" s="15">
        <f>IF(M380&gt;0, ABS(N380)*(L380-$D$16),0)</f>
        <v/>
      </c>
    </row>
    <row r="381">
      <c r="L381" s="15" t="n">
        <v>379</v>
      </c>
      <c r="M381" s="15">
        <f>IF(L381&lt;$D$16,$D$12,IF(L381&lt;$E$16,$E$12,$F$13))</f>
        <v/>
      </c>
      <c r="N381" s="15">
        <f>M381-V381</f>
        <v/>
      </c>
      <c r="O381" s="15">
        <f>IF(MOD(L381,$B$11)=0,OFFSET(O381,-$B$11,0)+ $E$2*N381+$E$3*OFFSET(N381,-$B$11,0)+ $E$4*OFFSET(N381,-2* $B$11,0), O380)</f>
        <v/>
      </c>
      <c r="P381" s="15">
        <f>INT((2^$J$12-1)*O381/100)/(2^$J$12-1)*100</f>
        <v/>
      </c>
      <c r="Q381" s="15" t="n">
        <v>0</v>
      </c>
      <c r="R381" s="15">
        <f>P381+Q381</f>
        <v/>
      </c>
      <c r="S381" s="15">
        <f>$I$1*S380-$I$2*S379+$I$3*R360+$I$4*R359</f>
        <v/>
      </c>
      <c r="T381" s="15" t="n">
        <v>0</v>
      </c>
      <c r="U381" s="15">
        <f>S381+T381</f>
        <v/>
      </c>
      <c r="V381" s="15">
        <f>INT((2^$J$12-1)*U381/100)/(2^$J$12-1)*100</f>
        <v/>
      </c>
      <c r="X381" s="15">
        <f>M381 * 1.05</f>
        <v/>
      </c>
      <c r="Y381" s="15">
        <f>M381 * 0.95</f>
        <v/>
      </c>
      <c r="Z381" s="15">
        <f>IF(AND(V381 &lt;= X381, V381 &gt;= Y381), 1, 0)</f>
        <v/>
      </c>
      <c r="AC381" s="15">
        <f>N381^2</f>
        <v/>
      </c>
      <c r="AD381" s="15">
        <f>ABS(N381)</f>
        <v/>
      </c>
      <c r="AE381" s="15">
        <f>IF(M381&gt;0, ABS(N381)*(L381-$D$16),0)</f>
        <v/>
      </c>
    </row>
    <row r="382">
      <c r="L382" s="15" t="n">
        <v>380</v>
      </c>
      <c r="M382" s="15">
        <f>IF(L382&lt;$D$16,$D$12,IF(L382&lt;$E$16,$E$12,$F$13))</f>
        <v/>
      </c>
      <c r="N382" s="15">
        <f>M382-V382</f>
        <v/>
      </c>
      <c r="O382" s="15">
        <f>IF(MOD(L382,$B$11)=0,OFFSET(O382,-$B$11,0)+ $E$2*N382+$E$3*OFFSET(N382,-$B$11,0)+ $E$4*OFFSET(N382,-2* $B$11,0), O381)</f>
        <v/>
      </c>
      <c r="P382" s="15">
        <f>INT((2^$J$12-1)*O382/100)/(2^$J$12-1)*100</f>
        <v/>
      </c>
      <c r="Q382" s="15" t="n">
        <v>0</v>
      </c>
      <c r="R382" s="15">
        <f>P382+Q382</f>
        <v/>
      </c>
      <c r="S382" s="15">
        <f>$I$1*S381-$I$2*S380+$I$3*R361+$I$4*R360</f>
        <v/>
      </c>
      <c r="T382" s="15" t="n">
        <v>0</v>
      </c>
      <c r="U382" s="15">
        <f>S382+T382</f>
        <v/>
      </c>
      <c r="V382" s="15">
        <f>INT((2^$J$12-1)*U382/100)/(2^$J$12-1)*100</f>
        <v/>
      </c>
      <c r="X382" s="15">
        <f>M382 * 1.05</f>
        <v/>
      </c>
      <c r="Y382" s="15">
        <f>M382 * 0.95</f>
        <v/>
      </c>
      <c r="Z382" s="15">
        <f>IF(AND(V382 &lt;= X382, V382 &gt;= Y382), 1, 0)</f>
        <v/>
      </c>
      <c r="AC382" s="15">
        <f>N382^2</f>
        <v/>
      </c>
      <c r="AD382" s="15">
        <f>ABS(N382)</f>
        <v/>
      </c>
      <c r="AE382" s="15">
        <f>IF(M382&gt;0, ABS(N382)*(L382-$D$16),0)</f>
        <v/>
      </c>
    </row>
    <row r="383">
      <c r="L383" s="15" t="n">
        <v>381</v>
      </c>
      <c r="M383" s="15">
        <f>IF(L383&lt;$D$16,$D$12,IF(L383&lt;$E$16,$E$12,$F$13))</f>
        <v/>
      </c>
      <c r="N383" s="15">
        <f>M383-V383</f>
        <v/>
      </c>
      <c r="O383" s="15">
        <f>IF(MOD(L383,$B$11)=0,OFFSET(O383,-$B$11,0)+ $E$2*N383+$E$3*OFFSET(N383,-$B$11,0)+ $E$4*OFFSET(N383,-2* $B$11,0), O382)</f>
        <v/>
      </c>
      <c r="P383" s="15">
        <f>INT((2^$J$12-1)*O383/100)/(2^$J$12-1)*100</f>
        <v/>
      </c>
      <c r="Q383" s="15" t="n">
        <v>0</v>
      </c>
      <c r="R383" s="15">
        <f>P383+Q383</f>
        <v/>
      </c>
      <c r="S383" s="15">
        <f>$I$1*S382-$I$2*S381+$I$3*R362+$I$4*R361</f>
        <v/>
      </c>
      <c r="T383" s="15" t="n">
        <v>0</v>
      </c>
      <c r="U383" s="15">
        <f>S383+T383</f>
        <v/>
      </c>
      <c r="V383" s="15">
        <f>INT((2^$J$12-1)*U383/100)/(2^$J$12-1)*100</f>
        <v/>
      </c>
      <c r="X383" s="15">
        <f>M383 * 1.05</f>
        <v/>
      </c>
      <c r="Y383" s="15">
        <f>M383 * 0.95</f>
        <v/>
      </c>
      <c r="Z383" s="15">
        <f>IF(AND(V383 &lt;= X383, V383 &gt;= Y383), 1, 0)</f>
        <v/>
      </c>
      <c r="AC383" s="15">
        <f>N383^2</f>
        <v/>
      </c>
      <c r="AD383" s="15">
        <f>ABS(N383)</f>
        <v/>
      </c>
      <c r="AE383" s="15">
        <f>IF(M383&gt;0, ABS(N383)*(L383-$D$16),0)</f>
        <v/>
      </c>
    </row>
    <row r="384">
      <c r="L384" s="15" t="n">
        <v>382</v>
      </c>
      <c r="M384" s="15">
        <f>IF(L384&lt;$D$16,$D$12,IF(L384&lt;$E$16,$E$12,$F$13))</f>
        <v/>
      </c>
      <c r="N384" s="15">
        <f>M384-V384</f>
        <v/>
      </c>
      <c r="O384" s="15">
        <f>IF(MOD(L384,$B$11)=0,OFFSET(O384,-$B$11,0)+ $E$2*N384+$E$3*OFFSET(N384,-$B$11,0)+ $E$4*OFFSET(N384,-2* $B$11,0), O383)</f>
        <v/>
      </c>
      <c r="P384" s="15">
        <f>INT((2^$J$12-1)*O384/100)/(2^$J$12-1)*100</f>
        <v/>
      </c>
      <c r="Q384" s="15" t="n">
        <v>0</v>
      </c>
      <c r="R384" s="15">
        <f>P384+Q384</f>
        <v/>
      </c>
      <c r="S384" s="15">
        <f>$I$1*S383-$I$2*S382+$I$3*R363+$I$4*R362</f>
        <v/>
      </c>
      <c r="T384" s="15" t="n">
        <v>0</v>
      </c>
      <c r="U384" s="15">
        <f>S384+T384</f>
        <v/>
      </c>
      <c r="V384" s="15">
        <f>INT((2^$J$12-1)*U384/100)/(2^$J$12-1)*100</f>
        <v/>
      </c>
      <c r="X384" s="15">
        <f>M384 * 1.05</f>
        <v/>
      </c>
      <c r="Y384" s="15">
        <f>M384 * 0.95</f>
        <v/>
      </c>
      <c r="Z384" s="15">
        <f>IF(AND(V384 &lt;= X384, V384 &gt;= Y384), 1, 0)</f>
        <v/>
      </c>
      <c r="AC384" s="15">
        <f>N384^2</f>
        <v/>
      </c>
      <c r="AD384" s="15">
        <f>ABS(N384)</f>
        <v/>
      </c>
      <c r="AE384" s="15">
        <f>IF(M384&gt;0, ABS(N384)*(L384-$D$16),0)</f>
        <v/>
      </c>
    </row>
    <row r="385">
      <c r="L385" s="15" t="n">
        <v>383</v>
      </c>
      <c r="M385" s="15">
        <f>IF(L385&lt;$D$16,$D$12,IF(L385&lt;$E$16,$E$12,$F$13))</f>
        <v/>
      </c>
      <c r="N385" s="15">
        <f>M385-V385</f>
        <v/>
      </c>
      <c r="O385" s="15">
        <f>IF(MOD(L385,$B$11)=0,OFFSET(O385,-$B$11,0)+ $E$2*N385+$E$3*OFFSET(N385,-$B$11,0)+ $E$4*OFFSET(N385,-2* $B$11,0), O384)</f>
        <v/>
      </c>
      <c r="P385" s="15">
        <f>INT((2^$J$12-1)*O385/100)/(2^$J$12-1)*100</f>
        <v/>
      </c>
      <c r="Q385" s="15" t="n">
        <v>0</v>
      </c>
      <c r="R385" s="15">
        <f>P385+Q385</f>
        <v/>
      </c>
      <c r="S385" s="15">
        <f>$I$1*S384-$I$2*S383+$I$3*R364+$I$4*R363</f>
        <v/>
      </c>
      <c r="T385" s="15" t="n">
        <v>0</v>
      </c>
      <c r="U385" s="15">
        <f>S385+T385</f>
        <v/>
      </c>
      <c r="V385" s="15">
        <f>INT((2^$J$12-1)*U385/100)/(2^$J$12-1)*100</f>
        <v/>
      </c>
      <c r="X385" s="15">
        <f>M385 * 1.05</f>
        <v/>
      </c>
      <c r="Y385" s="15">
        <f>M385 * 0.95</f>
        <v/>
      </c>
      <c r="Z385" s="15">
        <f>IF(AND(V385 &lt;= X385, V385 &gt;= Y385), 1, 0)</f>
        <v/>
      </c>
      <c r="AC385" s="15">
        <f>N385^2</f>
        <v/>
      </c>
      <c r="AD385" s="15">
        <f>ABS(N385)</f>
        <v/>
      </c>
      <c r="AE385" s="15">
        <f>IF(M385&gt;0, ABS(N385)*(L385-$D$16),0)</f>
        <v/>
      </c>
    </row>
    <row r="386">
      <c r="L386" s="15" t="n">
        <v>384</v>
      </c>
      <c r="M386" s="15">
        <f>IF(L386&lt;$D$16,$D$12,IF(L386&lt;$E$16,$E$12,$F$13))</f>
        <v/>
      </c>
      <c r="N386" s="15">
        <f>M386-V386</f>
        <v/>
      </c>
      <c r="O386" s="15">
        <f>IF(MOD(L386,$B$11)=0,OFFSET(O386,-$B$11,0)+ $E$2*N386+$E$3*OFFSET(N386,-$B$11,0)+ $E$4*OFFSET(N386,-2* $B$11,0), O385)</f>
        <v/>
      </c>
      <c r="P386" s="15">
        <f>INT((2^$J$12-1)*O386/100)/(2^$J$12-1)*100</f>
        <v/>
      </c>
      <c r="Q386" s="15" t="n">
        <v>0</v>
      </c>
      <c r="R386" s="15">
        <f>P386+Q386</f>
        <v/>
      </c>
      <c r="S386" s="15">
        <f>$I$1*S385-$I$2*S384+$I$3*R365+$I$4*R364</f>
        <v/>
      </c>
      <c r="T386" s="15" t="n">
        <v>0</v>
      </c>
      <c r="U386" s="15">
        <f>S386+T386</f>
        <v/>
      </c>
      <c r="V386" s="15">
        <f>INT((2^$J$12-1)*U386/100)/(2^$J$12-1)*100</f>
        <v/>
      </c>
      <c r="X386" s="15">
        <f>M386 * 1.05</f>
        <v/>
      </c>
      <c r="Y386" s="15">
        <f>M386 * 0.95</f>
        <v/>
      </c>
      <c r="Z386" s="15">
        <f>IF(AND(V386 &lt;= X386, V386 &gt;= Y386), 1, 0)</f>
        <v/>
      </c>
      <c r="AC386" s="15">
        <f>N386^2</f>
        <v/>
      </c>
      <c r="AD386" s="15">
        <f>ABS(N386)</f>
        <v/>
      </c>
      <c r="AE386" s="15">
        <f>IF(M386&gt;0, ABS(N386)*(L386-$D$16),0)</f>
        <v/>
      </c>
    </row>
    <row r="387">
      <c r="L387" s="15" t="n">
        <v>385</v>
      </c>
      <c r="M387" s="15">
        <f>IF(L387&lt;$D$16,$D$12,IF(L387&lt;$E$16,$E$12,$F$13))</f>
        <v/>
      </c>
      <c r="N387" s="15">
        <f>M387-V387</f>
        <v/>
      </c>
      <c r="O387" s="15">
        <f>IF(MOD(L387,$B$11)=0,OFFSET(O387,-$B$11,0)+ $E$2*N387+$E$3*OFFSET(N387,-$B$11,0)+ $E$4*OFFSET(N387,-2* $B$11,0), O386)</f>
        <v/>
      </c>
      <c r="P387" s="15">
        <f>INT((2^$J$12-1)*O387/100)/(2^$J$12-1)*100</f>
        <v/>
      </c>
      <c r="Q387" s="15" t="n">
        <v>0</v>
      </c>
      <c r="R387" s="15">
        <f>P387+Q387</f>
        <v/>
      </c>
      <c r="S387" s="15">
        <f>$I$1*S386-$I$2*S385+$I$3*R366+$I$4*R365</f>
        <v/>
      </c>
      <c r="T387" s="15" t="n">
        <v>0</v>
      </c>
      <c r="U387" s="15">
        <f>S387+T387</f>
        <v/>
      </c>
      <c r="V387" s="15">
        <f>INT((2^$J$12-1)*U387/100)/(2^$J$12-1)*100</f>
        <v/>
      </c>
      <c r="X387" s="15">
        <f>M387 * 1.05</f>
        <v/>
      </c>
      <c r="Y387" s="15">
        <f>M387 * 0.95</f>
        <v/>
      </c>
      <c r="Z387" s="15">
        <f>IF(AND(V387 &lt;= X387, V387 &gt;= Y387), 1, 0)</f>
        <v/>
      </c>
      <c r="AC387" s="15">
        <f>N387^2</f>
        <v/>
      </c>
      <c r="AD387" s="15">
        <f>ABS(N387)</f>
        <v/>
      </c>
      <c r="AE387" s="15">
        <f>IF(M387&gt;0, ABS(N387)*(L387-$D$16),0)</f>
        <v/>
      </c>
    </row>
    <row r="388">
      <c r="L388" s="15" t="n">
        <v>386</v>
      </c>
      <c r="M388" s="15">
        <f>IF(L388&lt;$D$16,$D$12,IF(L388&lt;$E$16,$E$12,$F$13))</f>
        <v/>
      </c>
      <c r="N388" s="15">
        <f>M388-V388</f>
        <v/>
      </c>
      <c r="O388" s="15">
        <f>IF(MOD(L388,$B$11)=0,OFFSET(O388,-$B$11,0)+ $E$2*N388+$E$3*OFFSET(N388,-$B$11,0)+ $E$4*OFFSET(N388,-2* $B$11,0), O387)</f>
        <v/>
      </c>
      <c r="P388" s="15">
        <f>INT((2^$J$12-1)*O388/100)/(2^$J$12-1)*100</f>
        <v/>
      </c>
      <c r="Q388" s="15" t="n">
        <v>0</v>
      </c>
      <c r="R388" s="15">
        <f>P388+Q388</f>
        <v/>
      </c>
      <c r="S388" s="15">
        <f>$I$1*S387-$I$2*S386+$I$3*R367+$I$4*R366</f>
        <v/>
      </c>
      <c r="T388" s="15" t="n">
        <v>0</v>
      </c>
      <c r="U388" s="15">
        <f>S388+T388</f>
        <v/>
      </c>
      <c r="V388" s="15">
        <f>INT((2^$J$12-1)*U388/100)/(2^$J$12-1)*100</f>
        <v/>
      </c>
      <c r="X388" s="15">
        <f>M388 * 1.05</f>
        <v/>
      </c>
      <c r="Y388" s="15">
        <f>M388 * 0.95</f>
        <v/>
      </c>
      <c r="Z388" s="15">
        <f>IF(AND(V388 &lt;= X388, V388 &gt;= Y388), 1, 0)</f>
        <v/>
      </c>
      <c r="AC388" s="15">
        <f>N388^2</f>
        <v/>
      </c>
      <c r="AD388" s="15">
        <f>ABS(N388)</f>
        <v/>
      </c>
      <c r="AE388" s="15">
        <f>IF(M388&gt;0, ABS(N388)*(L388-$D$16),0)</f>
        <v/>
      </c>
    </row>
    <row r="389">
      <c r="L389" s="15" t="n">
        <v>387</v>
      </c>
      <c r="M389" s="15">
        <f>IF(L389&lt;$D$16,$D$12,IF(L389&lt;$E$16,$E$12,$F$13))</f>
        <v/>
      </c>
      <c r="N389" s="15">
        <f>M389-V389</f>
        <v/>
      </c>
      <c r="O389" s="15">
        <f>IF(MOD(L389,$B$11)=0,OFFSET(O389,-$B$11,0)+ $E$2*N389+$E$3*OFFSET(N389,-$B$11,0)+ $E$4*OFFSET(N389,-2* $B$11,0), O388)</f>
        <v/>
      </c>
      <c r="P389" s="15">
        <f>INT((2^$J$12-1)*O389/100)/(2^$J$12-1)*100</f>
        <v/>
      </c>
      <c r="Q389" s="15" t="n">
        <v>0</v>
      </c>
      <c r="R389" s="15">
        <f>P389+Q389</f>
        <v/>
      </c>
      <c r="S389" s="15">
        <f>$I$1*S388-$I$2*S387+$I$3*R368+$I$4*R367</f>
        <v/>
      </c>
      <c r="T389" s="15" t="n">
        <v>0</v>
      </c>
      <c r="U389" s="15">
        <f>S389+T389</f>
        <v/>
      </c>
      <c r="V389" s="15">
        <f>INT((2^$J$12-1)*U389/100)/(2^$J$12-1)*100</f>
        <v/>
      </c>
      <c r="X389" s="15">
        <f>M389 * 1.05</f>
        <v/>
      </c>
      <c r="Y389" s="15">
        <f>M389 * 0.95</f>
        <v/>
      </c>
      <c r="Z389" s="15">
        <f>IF(AND(V389 &lt;= X389, V389 &gt;= Y389), 1, 0)</f>
        <v/>
      </c>
      <c r="AC389" s="15">
        <f>N389^2</f>
        <v/>
      </c>
      <c r="AD389" s="15">
        <f>ABS(N389)</f>
        <v/>
      </c>
      <c r="AE389" s="15">
        <f>IF(M389&gt;0, ABS(N389)*(L389-$D$16),0)</f>
        <v/>
      </c>
    </row>
    <row r="390">
      <c r="L390" s="15" t="n">
        <v>388</v>
      </c>
      <c r="M390" s="15">
        <f>IF(L390&lt;$D$16,$D$12,IF(L390&lt;$E$16,$E$12,$F$13))</f>
        <v/>
      </c>
      <c r="N390" s="15">
        <f>M390-V390</f>
        <v/>
      </c>
      <c r="O390" s="15">
        <f>IF(MOD(L390,$B$11)=0,OFFSET(O390,-$B$11,0)+ $E$2*N390+$E$3*OFFSET(N390,-$B$11,0)+ $E$4*OFFSET(N390,-2* $B$11,0), O389)</f>
        <v/>
      </c>
      <c r="P390" s="15">
        <f>INT((2^$J$12-1)*O390/100)/(2^$J$12-1)*100</f>
        <v/>
      </c>
      <c r="Q390" s="15" t="n">
        <v>0</v>
      </c>
      <c r="R390" s="15">
        <f>P390+Q390</f>
        <v/>
      </c>
      <c r="S390" s="15">
        <f>$I$1*S389-$I$2*S388+$I$3*R369+$I$4*R368</f>
        <v/>
      </c>
      <c r="T390" s="15" t="n">
        <v>0</v>
      </c>
      <c r="U390" s="15">
        <f>S390+T390</f>
        <v/>
      </c>
      <c r="V390" s="15">
        <f>INT((2^$J$12-1)*U390/100)/(2^$J$12-1)*100</f>
        <v/>
      </c>
      <c r="X390" s="15">
        <f>M390 * 1.05</f>
        <v/>
      </c>
      <c r="Y390" s="15">
        <f>M390 * 0.95</f>
        <v/>
      </c>
      <c r="Z390" s="15">
        <f>IF(AND(V390 &lt;= X390, V390 &gt;= Y390), 1, 0)</f>
        <v/>
      </c>
      <c r="AC390" s="15">
        <f>N390^2</f>
        <v/>
      </c>
      <c r="AD390" s="15">
        <f>ABS(N390)</f>
        <v/>
      </c>
      <c r="AE390" s="15">
        <f>IF(M390&gt;0, ABS(N390)*(L390-$D$16),0)</f>
        <v/>
      </c>
    </row>
    <row r="391">
      <c r="L391" s="15" t="n">
        <v>389</v>
      </c>
      <c r="M391" s="15">
        <f>IF(L391&lt;$D$16,$D$12,IF(L391&lt;$E$16,$E$12,$F$13))</f>
        <v/>
      </c>
      <c r="N391" s="15">
        <f>M391-V391</f>
        <v/>
      </c>
      <c r="O391" s="15">
        <f>IF(MOD(L391,$B$11)=0,OFFSET(O391,-$B$11,0)+ $E$2*N391+$E$3*OFFSET(N391,-$B$11,0)+ $E$4*OFFSET(N391,-2* $B$11,0), O390)</f>
        <v/>
      </c>
      <c r="P391" s="15">
        <f>INT((2^$J$12-1)*O391/100)/(2^$J$12-1)*100</f>
        <v/>
      </c>
      <c r="Q391" s="15" t="n">
        <v>0</v>
      </c>
      <c r="R391" s="15">
        <f>P391+Q391</f>
        <v/>
      </c>
      <c r="S391" s="15">
        <f>$I$1*S390-$I$2*S389+$I$3*R370+$I$4*R369</f>
        <v/>
      </c>
      <c r="T391" s="15" t="n">
        <v>0</v>
      </c>
      <c r="U391" s="15">
        <f>S391+T391</f>
        <v/>
      </c>
      <c r="V391" s="15">
        <f>INT((2^$J$12-1)*U391/100)/(2^$J$12-1)*100</f>
        <v/>
      </c>
      <c r="X391" s="15">
        <f>M391 * 1.05</f>
        <v/>
      </c>
      <c r="Y391" s="15">
        <f>M391 * 0.95</f>
        <v/>
      </c>
      <c r="Z391" s="15">
        <f>IF(AND(V391 &lt;= X391, V391 &gt;= Y391), 1, 0)</f>
        <v/>
      </c>
      <c r="AC391" s="15">
        <f>N391^2</f>
        <v/>
      </c>
      <c r="AD391" s="15">
        <f>ABS(N391)</f>
        <v/>
      </c>
      <c r="AE391" s="15">
        <f>IF(M391&gt;0, ABS(N391)*(L391-$D$16),0)</f>
        <v/>
      </c>
    </row>
    <row r="392">
      <c r="L392" s="15" t="n">
        <v>390</v>
      </c>
      <c r="M392" s="15">
        <f>IF(L392&lt;$D$16,$D$12,IF(L392&lt;$E$16,$E$12,$F$13))</f>
        <v/>
      </c>
      <c r="N392" s="15">
        <f>M392-V392</f>
        <v/>
      </c>
      <c r="O392" s="15">
        <f>IF(MOD(L392,$B$11)=0,OFFSET(O392,-$B$11,0)+ $E$2*N392+$E$3*OFFSET(N392,-$B$11,0)+ $E$4*OFFSET(N392,-2* $B$11,0), O391)</f>
        <v/>
      </c>
      <c r="P392" s="15">
        <f>INT((2^$J$12-1)*O392/100)/(2^$J$12-1)*100</f>
        <v/>
      </c>
      <c r="Q392" s="15" t="n">
        <v>0</v>
      </c>
      <c r="R392" s="15">
        <f>P392+Q392</f>
        <v/>
      </c>
      <c r="S392" s="15">
        <f>$I$1*S391-$I$2*S390+$I$3*R371+$I$4*R370</f>
        <v/>
      </c>
      <c r="T392" s="15" t="n">
        <v>0</v>
      </c>
      <c r="U392" s="15">
        <f>S392+T392</f>
        <v/>
      </c>
      <c r="V392" s="15">
        <f>INT((2^$J$12-1)*U392/100)/(2^$J$12-1)*100</f>
        <v/>
      </c>
      <c r="X392" s="15">
        <f>M392 * 1.05</f>
        <v/>
      </c>
      <c r="Y392" s="15">
        <f>M392 * 0.95</f>
        <v/>
      </c>
      <c r="Z392" s="15">
        <f>IF(AND(V392 &lt;= X392, V392 &gt;= Y392), 1, 0)</f>
        <v/>
      </c>
      <c r="AC392" s="15">
        <f>N392^2</f>
        <v/>
      </c>
      <c r="AD392" s="15">
        <f>ABS(N392)</f>
        <v/>
      </c>
      <c r="AE392" s="15">
        <f>IF(M392&gt;0, ABS(N392)*(L392-$D$16),0)</f>
        <v/>
      </c>
    </row>
    <row r="393">
      <c r="L393" s="15" t="n">
        <v>391</v>
      </c>
      <c r="M393" s="15">
        <f>IF(L393&lt;$D$16,$D$12,IF(L393&lt;$E$16,$E$12,$F$13))</f>
        <v/>
      </c>
      <c r="N393" s="15">
        <f>M393-V393</f>
        <v/>
      </c>
      <c r="O393" s="15">
        <f>IF(MOD(L393,$B$11)=0,OFFSET(O393,-$B$11,0)+ $E$2*N393+$E$3*OFFSET(N393,-$B$11,0)+ $E$4*OFFSET(N393,-2* $B$11,0), O392)</f>
        <v/>
      </c>
      <c r="P393" s="15">
        <f>INT((2^$J$12-1)*O393/100)/(2^$J$12-1)*100</f>
        <v/>
      </c>
      <c r="Q393" s="15" t="n">
        <v>0</v>
      </c>
      <c r="R393" s="15">
        <f>P393+Q393</f>
        <v/>
      </c>
      <c r="S393" s="15">
        <f>$I$1*S392-$I$2*S391+$I$3*R372+$I$4*R371</f>
        <v/>
      </c>
      <c r="T393" s="15" t="n">
        <v>0</v>
      </c>
      <c r="U393" s="15">
        <f>S393+T393</f>
        <v/>
      </c>
      <c r="V393" s="15">
        <f>INT((2^$J$12-1)*U393/100)/(2^$J$12-1)*100</f>
        <v/>
      </c>
      <c r="X393" s="15">
        <f>M393 * 1.05</f>
        <v/>
      </c>
      <c r="Y393" s="15">
        <f>M393 * 0.95</f>
        <v/>
      </c>
      <c r="Z393" s="15">
        <f>IF(AND(V393 &lt;= X393, V393 &gt;= Y393), 1, 0)</f>
        <v/>
      </c>
      <c r="AC393" s="15">
        <f>N393^2</f>
        <v/>
      </c>
      <c r="AD393" s="15">
        <f>ABS(N393)</f>
        <v/>
      </c>
      <c r="AE393" s="15">
        <f>IF(M393&gt;0, ABS(N393)*(L393-$D$16),0)</f>
        <v/>
      </c>
    </row>
    <row r="394">
      <c r="L394" s="15" t="n">
        <v>392</v>
      </c>
      <c r="M394" s="15">
        <f>IF(L394&lt;$D$16,$D$12,IF(L394&lt;$E$16,$E$12,$F$13))</f>
        <v/>
      </c>
      <c r="N394" s="15">
        <f>M394-V394</f>
        <v/>
      </c>
      <c r="O394" s="15">
        <f>IF(MOD(L394,$B$11)=0,OFFSET(O394,-$B$11,0)+ $E$2*N394+$E$3*OFFSET(N394,-$B$11,0)+ $E$4*OFFSET(N394,-2* $B$11,0), O393)</f>
        <v/>
      </c>
      <c r="P394" s="15">
        <f>INT((2^$J$12-1)*O394/100)/(2^$J$12-1)*100</f>
        <v/>
      </c>
      <c r="Q394" s="15" t="n">
        <v>0</v>
      </c>
      <c r="R394" s="15">
        <f>P394+Q394</f>
        <v/>
      </c>
      <c r="S394" s="15">
        <f>$I$1*S393-$I$2*S392+$I$3*R373+$I$4*R372</f>
        <v/>
      </c>
      <c r="T394" s="15" t="n">
        <v>0</v>
      </c>
      <c r="U394" s="15">
        <f>S394+T394</f>
        <v/>
      </c>
      <c r="V394" s="15">
        <f>INT((2^$J$12-1)*U394/100)/(2^$J$12-1)*100</f>
        <v/>
      </c>
      <c r="X394" s="15">
        <f>M394 * 1.05</f>
        <v/>
      </c>
      <c r="Y394" s="15">
        <f>M394 * 0.95</f>
        <v/>
      </c>
      <c r="Z394" s="15">
        <f>IF(AND(V394 &lt;= X394, V394 &gt;= Y394), 1, 0)</f>
        <v/>
      </c>
      <c r="AC394" s="15">
        <f>N394^2</f>
        <v/>
      </c>
      <c r="AD394" s="15">
        <f>ABS(N394)</f>
        <v/>
      </c>
      <c r="AE394" s="15">
        <f>IF(M394&gt;0, ABS(N394)*(L394-$D$16),0)</f>
        <v/>
      </c>
    </row>
    <row r="395">
      <c r="L395" s="15" t="n">
        <v>393</v>
      </c>
      <c r="M395" s="15">
        <f>IF(L395&lt;$D$16,$D$12,IF(L395&lt;$E$16,$E$12,$F$13))</f>
        <v/>
      </c>
      <c r="N395" s="15">
        <f>M395-V395</f>
        <v/>
      </c>
      <c r="O395" s="15">
        <f>IF(MOD(L395,$B$11)=0,OFFSET(O395,-$B$11,0)+ $E$2*N395+$E$3*OFFSET(N395,-$B$11,0)+ $E$4*OFFSET(N395,-2* $B$11,0), O394)</f>
        <v/>
      </c>
      <c r="P395" s="15">
        <f>INT((2^$J$12-1)*O395/100)/(2^$J$12-1)*100</f>
        <v/>
      </c>
      <c r="Q395" s="15" t="n">
        <v>0</v>
      </c>
      <c r="R395" s="15">
        <f>P395+Q395</f>
        <v/>
      </c>
      <c r="S395" s="15">
        <f>$I$1*S394-$I$2*S393+$I$3*R374+$I$4*R373</f>
        <v/>
      </c>
      <c r="T395" s="15" t="n">
        <v>0</v>
      </c>
      <c r="U395" s="15">
        <f>S395+T395</f>
        <v/>
      </c>
      <c r="V395" s="15">
        <f>INT((2^$J$12-1)*U395/100)/(2^$J$12-1)*100</f>
        <v/>
      </c>
      <c r="X395" s="15">
        <f>M395 * 1.05</f>
        <v/>
      </c>
      <c r="Y395" s="15">
        <f>M395 * 0.95</f>
        <v/>
      </c>
      <c r="Z395" s="15">
        <f>IF(AND(V395 &lt;= X395, V395 &gt;= Y395), 1, 0)</f>
        <v/>
      </c>
      <c r="AC395" s="15">
        <f>N395^2</f>
        <v/>
      </c>
      <c r="AD395" s="15">
        <f>ABS(N395)</f>
        <v/>
      </c>
      <c r="AE395" s="15">
        <f>IF(M395&gt;0, ABS(N395)*(L395-$D$16),0)</f>
        <v/>
      </c>
    </row>
    <row r="396">
      <c r="L396" s="15" t="n">
        <v>394</v>
      </c>
      <c r="M396" s="15">
        <f>IF(L396&lt;$D$16,$D$12,IF(L396&lt;$E$16,$E$12,$F$13))</f>
        <v/>
      </c>
      <c r="N396" s="15">
        <f>M396-V396</f>
        <v/>
      </c>
      <c r="O396" s="15">
        <f>IF(MOD(L396,$B$11)=0,OFFSET(O396,-$B$11,0)+ $E$2*N396+$E$3*OFFSET(N396,-$B$11,0)+ $E$4*OFFSET(N396,-2* $B$11,0), O395)</f>
        <v/>
      </c>
      <c r="P396" s="15">
        <f>INT((2^$J$12-1)*O396/100)/(2^$J$12-1)*100</f>
        <v/>
      </c>
      <c r="Q396" s="15" t="n">
        <v>0</v>
      </c>
      <c r="R396" s="15">
        <f>P396+Q396</f>
        <v/>
      </c>
      <c r="S396" s="15">
        <f>$I$1*S395-$I$2*S394+$I$3*R375+$I$4*R374</f>
        <v/>
      </c>
      <c r="T396" s="15" t="n">
        <v>0</v>
      </c>
      <c r="U396" s="15">
        <f>S396+T396</f>
        <v/>
      </c>
      <c r="V396" s="15">
        <f>INT((2^$J$12-1)*U396/100)/(2^$J$12-1)*100</f>
        <v/>
      </c>
      <c r="X396" s="15">
        <f>M396 * 1.05</f>
        <v/>
      </c>
      <c r="Y396" s="15">
        <f>M396 * 0.95</f>
        <v/>
      </c>
      <c r="Z396" s="15">
        <f>IF(AND(V396 &lt;= X396, V396 &gt;= Y396), 1, 0)</f>
        <v/>
      </c>
      <c r="AC396" s="15">
        <f>N396^2</f>
        <v/>
      </c>
      <c r="AD396" s="15">
        <f>ABS(N396)</f>
        <v/>
      </c>
      <c r="AE396" s="15">
        <f>IF(M396&gt;0, ABS(N396)*(L396-$D$16),0)</f>
        <v/>
      </c>
    </row>
    <row r="397">
      <c r="L397" s="15" t="n">
        <v>395</v>
      </c>
      <c r="M397" s="15">
        <f>IF(L397&lt;$D$16,$D$12,IF(L397&lt;$E$16,$E$12,$F$13))</f>
        <v/>
      </c>
      <c r="N397" s="15">
        <f>M397-V397</f>
        <v/>
      </c>
      <c r="O397" s="15">
        <f>IF(MOD(L397,$B$11)=0,OFFSET(O397,-$B$11,0)+ $E$2*N397+$E$3*OFFSET(N397,-$B$11,0)+ $E$4*OFFSET(N397,-2* $B$11,0), O396)</f>
        <v/>
      </c>
      <c r="P397" s="15">
        <f>INT((2^$J$12-1)*O397/100)/(2^$J$12-1)*100</f>
        <v/>
      </c>
      <c r="Q397" s="15" t="n">
        <v>0</v>
      </c>
      <c r="R397" s="15">
        <f>P397+Q397</f>
        <v/>
      </c>
      <c r="S397" s="15">
        <f>$I$1*S396-$I$2*S395+$I$3*R376+$I$4*R375</f>
        <v/>
      </c>
      <c r="T397" s="15" t="n">
        <v>0</v>
      </c>
      <c r="U397" s="15">
        <f>S397+T397</f>
        <v/>
      </c>
      <c r="V397" s="15">
        <f>INT((2^$J$12-1)*U397/100)/(2^$J$12-1)*100</f>
        <v/>
      </c>
      <c r="X397" s="15">
        <f>M397 * 1.05</f>
        <v/>
      </c>
      <c r="Y397" s="15">
        <f>M397 * 0.95</f>
        <v/>
      </c>
      <c r="Z397" s="15">
        <f>IF(AND(V397 &lt;= X397, V397 &gt;= Y397), 1, 0)</f>
        <v/>
      </c>
      <c r="AC397" s="15">
        <f>N397^2</f>
        <v/>
      </c>
      <c r="AD397" s="15">
        <f>ABS(N397)</f>
        <v/>
      </c>
      <c r="AE397" s="15">
        <f>IF(M397&gt;0, ABS(N397)*(L397-$D$16),0)</f>
        <v/>
      </c>
    </row>
    <row r="398">
      <c r="L398" s="15" t="n">
        <v>396</v>
      </c>
      <c r="M398" s="15">
        <f>IF(L398&lt;$D$16,$D$12,IF(L398&lt;$E$16,$E$12,$F$13))</f>
        <v/>
      </c>
      <c r="N398" s="15">
        <f>M398-V398</f>
        <v/>
      </c>
      <c r="O398" s="15">
        <f>IF(MOD(L398,$B$11)=0,OFFSET(O398,-$B$11,0)+ $E$2*N398+$E$3*OFFSET(N398,-$B$11,0)+ $E$4*OFFSET(N398,-2* $B$11,0), O397)</f>
        <v/>
      </c>
      <c r="P398" s="15">
        <f>INT((2^$J$12-1)*O398/100)/(2^$J$12-1)*100</f>
        <v/>
      </c>
      <c r="Q398" s="15" t="n">
        <v>0</v>
      </c>
      <c r="R398" s="15">
        <f>P398+Q398</f>
        <v/>
      </c>
      <c r="S398" s="15">
        <f>$I$1*S397-$I$2*S396+$I$3*R377+$I$4*R376</f>
        <v/>
      </c>
      <c r="T398" s="15" t="n">
        <v>0</v>
      </c>
      <c r="U398" s="15">
        <f>S398+T398</f>
        <v/>
      </c>
      <c r="V398" s="15">
        <f>INT((2^$J$12-1)*U398/100)/(2^$J$12-1)*100</f>
        <v/>
      </c>
      <c r="X398" s="15">
        <f>M398 * 1.05</f>
        <v/>
      </c>
      <c r="Y398" s="15">
        <f>M398 * 0.95</f>
        <v/>
      </c>
      <c r="Z398" s="15">
        <f>IF(AND(V398 &lt;= X398, V398 &gt;= Y398), 1, 0)</f>
        <v/>
      </c>
      <c r="AC398" s="15">
        <f>N398^2</f>
        <v/>
      </c>
      <c r="AD398" s="15">
        <f>ABS(N398)</f>
        <v/>
      </c>
      <c r="AE398" s="15">
        <f>IF(M398&gt;0, ABS(N398)*(L398-$D$16),0)</f>
        <v/>
      </c>
    </row>
    <row r="399">
      <c r="L399" s="15" t="n">
        <v>397</v>
      </c>
      <c r="M399" s="15">
        <f>IF(L399&lt;$D$16,$D$12,IF(L399&lt;$E$16,$E$12,$F$13))</f>
        <v/>
      </c>
      <c r="N399" s="15">
        <f>M399-V399</f>
        <v/>
      </c>
      <c r="O399" s="15">
        <f>IF(MOD(L399,$B$11)=0,OFFSET(O399,-$B$11,0)+ $E$2*N399+$E$3*OFFSET(N399,-$B$11,0)+ $E$4*OFFSET(N399,-2* $B$11,0), O398)</f>
        <v/>
      </c>
      <c r="P399" s="15">
        <f>INT((2^$J$12-1)*O399/100)/(2^$J$12-1)*100</f>
        <v/>
      </c>
      <c r="Q399" s="15" t="n">
        <v>0</v>
      </c>
      <c r="R399" s="15">
        <f>P399+Q399</f>
        <v/>
      </c>
      <c r="S399" s="15">
        <f>$I$1*S398-$I$2*S397+$I$3*R378+$I$4*R377</f>
        <v/>
      </c>
      <c r="T399" s="15" t="n">
        <v>0</v>
      </c>
      <c r="U399" s="15">
        <f>S399+T399</f>
        <v/>
      </c>
      <c r="V399" s="15">
        <f>INT((2^$J$12-1)*U399/100)/(2^$J$12-1)*100</f>
        <v/>
      </c>
      <c r="X399" s="15">
        <f>M399 * 1.05</f>
        <v/>
      </c>
      <c r="Y399" s="15">
        <f>M399 * 0.95</f>
        <v/>
      </c>
      <c r="Z399" s="15">
        <f>IF(AND(V399 &lt;= X399, V399 &gt;= Y399), 1, 0)</f>
        <v/>
      </c>
      <c r="AC399" s="15">
        <f>N399^2</f>
        <v/>
      </c>
      <c r="AD399" s="15">
        <f>ABS(N399)</f>
        <v/>
      </c>
      <c r="AE399" s="15">
        <f>IF(M399&gt;0, ABS(N399)*(L399-$D$16),0)</f>
        <v/>
      </c>
    </row>
    <row r="400">
      <c r="L400" s="15" t="n">
        <v>398</v>
      </c>
      <c r="M400" s="15">
        <f>IF(L400&lt;$D$16,$D$12,IF(L400&lt;$E$16,$E$12,$F$13))</f>
        <v/>
      </c>
      <c r="N400" s="15">
        <f>M400-V400</f>
        <v/>
      </c>
      <c r="O400" s="15">
        <f>IF(MOD(L400,$B$11)=0,OFFSET(O400,-$B$11,0)+ $E$2*N400+$E$3*OFFSET(N400,-$B$11,0)+ $E$4*OFFSET(N400,-2* $B$11,0), O399)</f>
        <v/>
      </c>
      <c r="P400" s="15">
        <f>INT((2^$J$12-1)*O400/100)/(2^$J$12-1)*100</f>
        <v/>
      </c>
      <c r="Q400" s="15" t="n">
        <v>0</v>
      </c>
      <c r="R400" s="15">
        <f>P400+Q400</f>
        <v/>
      </c>
      <c r="S400" s="15">
        <f>$I$1*S399-$I$2*S398+$I$3*R379+$I$4*R378</f>
        <v/>
      </c>
      <c r="T400" s="15" t="n">
        <v>0</v>
      </c>
      <c r="U400" s="15">
        <f>S400+T400</f>
        <v/>
      </c>
      <c r="V400" s="15">
        <f>INT((2^$J$12-1)*U400/100)/(2^$J$12-1)*100</f>
        <v/>
      </c>
      <c r="X400" s="15">
        <f>M400 * 1.05</f>
        <v/>
      </c>
      <c r="Y400" s="15">
        <f>M400 * 0.95</f>
        <v/>
      </c>
      <c r="Z400" s="15">
        <f>IF(AND(V400 &lt;= X400, V400 &gt;= Y400), 1, 0)</f>
        <v/>
      </c>
      <c r="AC400" s="15">
        <f>N400^2</f>
        <v/>
      </c>
      <c r="AD400" s="15">
        <f>ABS(N400)</f>
        <v/>
      </c>
      <c r="AE400" s="15">
        <f>IF(M400&gt;0, ABS(N400)*(L400-$D$16),0)</f>
        <v/>
      </c>
    </row>
    <row r="401">
      <c r="L401" s="15" t="n">
        <v>399</v>
      </c>
      <c r="M401" s="15">
        <f>IF(L401&lt;$D$16,$D$12,IF(L401&lt;$E$16,$E$12,$F$13))</f>
        <v/>
      </c>
      <c r="N401" s="15">
        <f>M401-V401</f>
        <v/>
      </c>
      <c r="O401" s="15">
        <f>IF(MOD(L401,$B$11)=0,OFFSET(O401,-$B$11,0)+ $E$2*N401+$E$3*OFFSET(N401,-$B$11,0)+ $E$4*OFFSET(N401,-2* $B$11,0), O400)</f>
        <v/>
      </c>
      <c r="P401" s="15">
        <f>INT((2^$J$12-1)*O401/100)/(2^$J$12-1)*100</f>
        <v/>
      </c>
      <c r="Q401" s="15" t="n">
        <v>0</v>
      </c>
      <c r="R401" s="15">
        <f>P401+Q401</f>
        <v/>
      </c>
      <c r="S401" s="15">
        <f>$I$1*S400-$I$2*S399+$I$3*R380+$I$4*R379</f>
        <v/>
      </c>
      <c r="T401" s="15" t="n">
        <v>0</v>
      </c>
      <c r="U401" s="15">
        <f>S401+T401</f>
        <v/>
      </c>
      <c r="V401" s="15">
        <f>INT((2^$J$12-1)*U401/100)/(2^$J$12-1)*100</f>
        <v/>
      </c>
      <c r="X401" s="15">
        <f>M401 * 1.05</f>
        <v/>
      </c>
      <c r="Y401" s="15">
        <f>M401 * 0.95</f>
        <v/>
      </c>
      <c r="Z401" s="15">
        <f>IF(AND(V401 &lt;= X401, V401 &gt;= Y401), 1, 0)</f>
        <v/>
      </c>
      <c r="AC401" s="15">
        <f>N401^2</f>
        <v/>
      </c>
      <c r="AD401" s="15">
        <f>ABS(N401)</f>
        <v/>
      </c>
      <c r="AE401" s="15">
        <f>IF(M401&gt;0, ABS(N401)*(L401-$D$16),0)</f>
        <v/>
      </c>
    </row>
    <row r="402">
      <c r="L402" s="15" t="n">
        <v>400</v>
      </c>
      <c r="M402" s="15">
        <f>IF(L402&lt;$D$16,$D$12,IF(L402&lt;$E$16,$E$12,$F$13))</f>
        <v/>
      </c>
      <c r="N402" s="15">
        <f>M402-V402</f>
        <v/>
      </c>
      <c r="O402" s="15">
        <f>IF(MOD(L402,$B$11)=0,OFFSET(O402,-$B$11,0)+ $E$2*N402+$E$3*OFFSET(N402,-$B$11,0)+ $E$4*OFFSET(N402,-2* $B$11,0), O401)</f>
        <v/>
      </c>
      <c r="P402" s="15">
        <f>INT((2^$J$12-1)*O402/100)/(2^$J$12-1)*100</f>
        <v/>
      </c>
      <c r="Q402" s="15" t="n">
        <v>0</v>
      </c>
      <c r="R402" s="15">
        <f>P402+Q402</f>
        <v/>
      </c>
      <c r="S402" s="15">
        <f>$I$1*S401-$I$2*S400+$I$3*R381+$I$4*R380</f>
        <v/>
      </c>
      <c r="T402" s="15" t="n">
        <v>0</v>
      </c>
      <c r="U402" s="15">
        <f>S402+T402</f>
        <v/>
      </c>
      <c r="V402" s="15">
        <f>INT((2^$J$12-1)*U402/100)/(2^$J$12-1)*100</f>
        <v/>
      </c>
      <c r="X402" s="15">
        <f>M402 * 1.05</f>
        <v/>
      </c>
      <c r="Y402" s="15">
        <f>M402 * 0.95</f>
        <v/>
      </c>
      <c r="Z402" s="15">
        <f>IF(AND(V402 &lt;= X402, V402 &gt;= Y402), 1, 0)</f>
        <v/>
      </c>
      <c r="AC402" s="15">
        <f>N402^2</f>
        <v/>
      </c>
      <c r="AD402" s="15">
        <f>ABS(N402)</f>
        <v/>
      </c>
      <c r="AE402" s="15">
        <f>IF(M402&gt;0, ABS(N402)*(L402-$D$16),0)</f>
        <v/>
      </c>
    </row>
    <row r="403">
      <c r="L403" s="15" t="n">
        <v>401</v>
      </c>
      <c r="M403" s="15">
        <f>IF(L403&lt;$D$16,$D$12,IF(L403&lt;$E$16,$E$12,$F$13))</f>
        <v/>
      </c>
      <c r="N403" s="15">
        <f>M403-V403</f>
        <v/>
      </c>
      <c r="O403" s="15">
        <f>IF(MOD(L403,$B$11)=0,OFFSET(O403,-$B$11,0)+ $E$2*N403+$E$3*OFFSET(N403,-$B$11,0)+ $E$4*OFFSET(N403,-2* $B$11,0), O402)</f>
        <v/>
      </c>
      <c r="P403" s="15">
        <f>INT((2^$J$12-1)*O403/100)/(2^$J$12-1)*100</f>
        <v/>
      </c>
      <c r="Q403" s="15" t="n">
        <v>0</v>
      </c>
      <c r="R403" s="15">
        <f>P403+Q403</f>
        <v/>
      </c>
      <c r="S403" s="15">
        <f>$I$1*S402-$I$2*S401+$I$3*R382+$I$4*R381</f>
        <v/>
      </c>
      <c r="T403" s="15" t="n">
        <v>0</v>
      </c>
      <c r="U403" s="15">
        <f>S403+T403</f>
        <v/>
      </c>
      <c r="V403" s="15">
        <f>INT((2^$J$12-1)*U403/100)/(2^$J$12-1)*100</f>
        <v/>
      </c>
      <c r="X403" s="15">
        <f>M403 * 1.05</f>
        <v/>
      </c>
      <c r="Y403" s="15">
        <f>M403 * 0.95</f>
        <v/>
      </c>
      <c r="Z403" s="15">
        <f>IF(AND(V403 &lt;= X403, V403 &gt;= Y403), 1, 0)</f>
        <v/>
      </c>
      <c r="AC403" s="15">
        <f>N403^2</f>
        <v/>
      </c>
      <c r="AD403" s="15">
        <f>ABS(N403)</f>
        <v/>
      </c>
      <c r="AE403" s="15">
        <f>IF(M403&gt;0, ABS(N403)*(L403-$D$16),0)</f>
        <v/>
      </c>
    </row>
    <row r="404">
      <c r="L404" s="15" t="n">
        <v>402</v>
      </c>
      <c r="M404" s="15">
        <f>IF(L404&lt;$D$16,$D$12,IF(L404&lt;$E$16,$E$12,$F$13))</f>
        <v/>
      </c>
      <c r="N404" s="15">
        <f>M404-V404</f>
        <v/>
      </c>
      <c r="O404" s="15">
        <f>IF(MOD(L404,$B$11)=0,OFFSET(O404,-$B$11,0)+ $E$2*N404+$E$3*OFFSET(N404,-$B$11,0)+ $E$4*OFFSET(N404,-2* $B$11,0), O403)</f>
        <v/>
      </c>
      <c r="P404" s="15">
        <f>INT((2^$J$12-1)*O404/100)/(2^$J$12-1)*100</f>
        <v/>
      </c>
      <c r="Q404" s="15" t="n">
        <v>0</v>
      </c>
      <c r="R404" s="15">
        <f>P404+Q404</f>
        <v/>
      </c>
      <c r="S404" s="15">
        <f>$I$1*S403-$I$2*S402+$I$3*R383+$I$4*R382</f>
        <v/>
      </c>
      <c r="T404" s="15" t="n">
        <v>0</v>
      </c>
      <c r="U404" s="15">
        <f>S404+T404</f>
        <v/>
      </c>
      <c r="V404" s="15">
        <f>INT((2^$J$12-1)*U404/100)/(2^$J$12-1)*100</f>
        <v/>
      </c>
      <c r="X404" s="15">
        <f>M404 * 1.05</f>
        <v/>
      </c>
      <c r="Y404" s="15">
        <f>M404 * 0.95</f>
        <v/>
      </c>
      <c r="Z404" s="15">
        <f>IF(AND(V404 &lt;= X404, V404 &gt;= Y404), 1, 0)</f>
        <v/>
      </c>
      <c r="AC404" s="15">
        <f>N404^2</f>
        <v/>
      </c>
      <c r="AD404" s="15">
        <f>ABS(N404)</f>
        <v/>
      </c>
      <c r="AE404" s="15">
        <f>IF(M404&gt;0, ABS(N404)*(L404-$D$16),0)</f>
        <v/>
      </c>
    </row>
    <row r="405">
      <c r="L405" s="15" t="n">
        <v>403</v>
      </c>
      <c r="M405" s="15">
        <f>IF(L405&lt;$D$16,$D$12,IF(L405&lt;$E$16,$E$12,$F$13))</f>
        <v/>
      </c>
      <c r="N405" s="15">
        <f>M405-V405</f>
        <v/>
      </c>
      <c r="O405" s="15">
        <f>IF(MOD(L405,$B$11)=0,OFFSET(O405,-$B$11,0)+ $E$2*N405+$E$3*OFFSET(N405,-$B$11,0)+ $E$4*OFFSET(N405,-2* $B$11,0), O404)</f>
        <v/>
      </c>
      <c r="P405" s="15">
        <f>INT((2^$J$12-1)*O405/100)/(2^$J$12-1)*100</f>
        <v/>
      </c>
      <c r="Q405" s="15" t="n">
        <v>0</v>
      </c>
      <c r="R405" s="15">
        <f>P405+Q405</f>
        <v/>
      </c>
      <c r="S405" s="15">
        <f>$I$1*S404-$I$2*S403+$I$3*R384+$I$4*R383</f>
        <v/>
      </c>
      <c r="T405" s="15" t="n">
        <v>0</v>
      </c>
      <c r="U405" s="15">
        <f>S405+T405</f>
        <v/>
      </c>
      <c r="V405" s="15">
        <f>INT((2^$J$12-1)*U405/100)/(2^$J$12-1)*100</f>
        <v/>
      </c>
      <c r="X405" s="15">
        <f>M405 * 1.05</f>
        <v/>
      </c>
      <c r="Y405" s="15">
        <f>M405 * 0.95</f>
        <v/>
      </c>
      <c r="Z405" s="15">
        <f>IF(AND(V405 &lt;= X405, V405 &gt;= Y405), 1, 0)</f>
        <v/>
      </c>
      <c r="AC405" s="15">
        <f>N405^2</f>
        <v/>
      </c>
      <c r="AD405" s="15">
        <f>ABS(N405)</f>
        <v/>
      </c>
      <c r="AE405" s="15">
        <f>IF(M405&gt;0, ABS(N405)*(L405-$D$16),0)</f>
        <v/>
      </c>
    </row>
    <row r="406">
      <c r="L406" s="15" t="n">
        <v>404</v>
      </c>
      <c r="M406" s="15">
        <f>IF(L406&lt;$D$16,$D$12,IF(L406&lt;$E$16,$E$12,$F$13))</f>
        <v/>
      </c>
      <c r="N406" s="15">
        <f>M406-V406</f>
        <v/>
      </c>
      <c r="O406" s="15">
        <f>IF(MOD(L406,$B$11)=0,OFFSET(O406,-$B$11,0)+ $E$2*N406+$E$3*OFFSET(N406,-$B$11,0)+ $E$4*OFFSET(N406,-2* $B$11,0), O405)</f>
        <v/>
      </c>
      <c r="P406" s="15">
        <f>INT((2^$J$12-1)*O406/100)/(2^$J$12-1)*100</f>
        <v/>
      </c>
      <c r="Q406" s="15" t="n">
        <v>0</v>
      </c>
      <c r="R406" s="15">
        <f>P406+Q406</f>
        <v/>
      </c>
      <c r="S406" s="15">
        <f>$I$1*S405-$I$2*S404+$I$3*R385+$I$4*R384</f>
        <v/>
      </c>
      <c r="T406" s="15" t="n">
        <v>0</v>
      </c>
      <c r="U406" s="15">
        <f>S406+T406</f>
        <v/>
      </c>
      <c r="V406" s="15">
        <f>INT((2^$J$12-1)*U406/100)/(2^$J$12-1)*100</f>
        <v/>
      </c>
      <c r="X406" s="15">
        <f>M406 * 1.05</f>
        <v/>
      </c>
      <c r="Y406" s="15">
        <f>M406 * 0.95</f>
        <v/>
      </c>
      <c r="Z406" s="15">
        <f>IF(AND(V406 &lt;= X406, V406 &gt;= Y406), 1, 0)</f>
        <v/>
      </c>
      <c r="AC406" s="15">
        <f>N406^2</f>
        <v/>
      </c>
      <c r="AD406" s="15">
        <f>ABS(N406)</f>
        <v/>
      </c>
      <c r="AE406" s="15">
        <f>IF(M406&gt;0, ABS(N406)*(L406-$D$16),0)</f>
        <v/>
      </c>
    </row>
    <row r="407">
      <c r="L407" s="15" t="n">
        <v>405</v>
      </c>
      <c r="M407" s="15">
        <f>IF(L407&lt;$D$16,$D$12,IF(L407&lt;$E$16,$E$12,$F$13))</f>
        <v/>
      </c>
      <c r="N407" s="15">
        <f>M407-V407</f>
        <v/>
      </c>
      <c r="O407" s="15">
        <f>IF(MOD(L407,$B$11)=0,OFFSET(O407,-$B$11,0)+ $E$2*N407+$E$3*OFFSET(N407,-$B$11,0)+ $E$4*OFFSET(N407,-2* $B$11,0), O406)</f>
        <v/>
      </c>
      <c r="P407" s="15">
        <f>INT((2^$J$12-1)*O407/100)/(2^$J$12-1)*100</f>
        <v/>
      </c>
      <c r="Q407" s="15" t="n">
        <v>0</v>
      </c>
      <c r="R407" s="15">
        <f>P407+Q407</f>
        <v/>
      </c>
      <c r="S407" s="15">
        <f>$I$1*S406-$I$2*S405+$I$3*R386+$I$4*R385</f>
        <v/>
      </c>
      <c r="T407" s="15" t="n">
        <v>0</v>
      </c>
      <c r="U407" s="15">
        <f>S407+T407</f>
        <v/>
      </c>
      <c r="V407" s="15">
        <f>INT((2^$J$12-1)*U407/100)/(2^$J$12-1)*100</f>
        <v/>
      </c>
      <c r="X407" s="15">
        <f>M407 * 1.05</f>
        <v/>
      </c>
      <c r="Y407" s="15">
        <f>M407 * 0.95</f>
        <v/>
      </c>
      <c r="Z407" s="15">
        <f>IF(AND(V407 &lt;= X407, V407 &gt;= Y407), 1, 0)</f>
        <v/>
      </c>
      <c r="AC407" s="15">
        <f>N407^2</f>
        <v/>
      </c>
      <c r="AD407" s="15">
        <f>ABS(N407)</f>
        <v/>
      </c>
      <c r="AE407" s="15">
        <f>IF(M407&gt;0, ABS(N407)*(L407-$D$16),0)</f>
        <v/>
      </c>
    </row>
    <row r="408">
      <c r="L408" s="15" t="n">
        <v>406</v>
      </c>
      <c r="M408" s="15">
        <f>IF(L408&lt;$D$16,$D$12,IF(L408&lt;$E$16,$E$12,$F$13))</f>
        <v/>
      </c>
      <c r="N408" s="15">
        <f>M408-V408</f>
        <v/>
      </c>
      <c r="O408" s="15">
        <f>IF(MOD(L408,$B$11)=0,OFFSET(O408,-$B$11,0)+ $E$2*N408+$E$3*OFFSET(N408,-$B$11,0)+ $E$4*OFFSET(N408,-2* $B$11,0), O407)</f>
        <v/>
      </c>
      <c r="P408" s="15">
        <f>INT((2^$J$12-1)*O408/100)/(2^$J$12-1)*100</f>
        <v/>
      </c>
      <c r="Q408" s="15" t="n">
        <v>0</v>
      </c>
      <c r="R408" s="15">
        <f>P408+Q408</f>
        <v/>
      </c>
      <c r="S408" s="15">
        <f>$I$1*S407-$I$2*S406+$I$3*R387+$I$4*R386</f>
        <v/>
      </c>
      <c r="T408" s="15" t="n">
        <v>0</v>
      </c>
      <c r="U408" s="15">
        <f>S408+T408</f>
        <v/>
      </c>
      <c r="V408" s="15">
        <f>INT((2^$J$12-1)*U408/100)/(2^$J$12-1)*100</f>
        <v/>
      </c>
      <c r="X408" s="15">
        <f>M408 * 1.05</f>
        <v/>
      </c>
      <c r="Y408" s="15">
        <f>M408 * 0.95</f>
        <v/>
      </c>
      <c r="Z408" s="15">
        <f>IF(AND(V408 &lt;= X408, V408 &gt;= Y408), 1, 0)</f>
        <v/>
      </c>
      <c r="AC408" s="15">
        <f>N408^2</f>
        <v/>
      </c>
      <c r="AD408" s="15">
        <f>ABS(N408)</f>
        <v/>
      </c>
      <c r="AE408" s="15">
        <f>IF(M408&gt;0, ABS(N408)*(L408-$D$16),0)</f>
        <v/>
      </c>
    </row>
    <row r="409">
      <c r="L409" s="15" t="n">
        <v>407</v>
      </c>
      <c r="M409" s="15">
        <f>IF(L409&lt;$D$16,$D$12,IF(L409&lt;$E$16,$E$12,$F$13))</f>
        <v/>
      </c>
      <c r="N409" s="15">
        <f>M409-V409</f>
        <v/>
      </c>
      <c r="O409" s="15">
        <f>IF(MOD(L409,$B$11)=0,OFFSET(O409,-$B$11,0)+ $E$2*N409+$E$3*OFFSET(N409,-$B$11,0)+ $E$4*OFFSET(N409,-2* $B$11,0), O408)</f>
        <v/>
      </c>
      <c r="P409" s="15">
        <f>INT((2^$J$12-1)*O409/100)/(2^$J$12-1)*100</f>
        <v/>
      </c>
      <c r="Q409" s="15" t="n">
        <v>0</v>
      </c>
      <c r="R409" s="15">
        <f>P409+Q409</f>
        <v/>
      </c>
      <c r="S409" s="15">
        <f>$I$1*S408-$I$2*S407+$I$3*R388+$I$4*R387</f>
        <v/>
      </c>
      <c r="T409" s="15" t="n">
        <v>0</v>
      </c>
      <c r="U409" s="15">
        <f>S409+T409</f>
        <v/>
      </c>
      <c r="V409" s="15">
        <f>INT((2^$J$12-1)*U409/100)/(2^$J$12-1)*100</f>
        <v/>
      </c>
      <c r="X409" s="15">
        <f>M409 * 1.05</f>
        <v/>
      </c>
      <c r="Y409" s="15">
        <f>M409 * 0.95</f>
        <v/>
      </c>
      <c r="Z409" s="15">
        <f>IF(AND(V409 &lt;= X409, V409 &gt;= Y409), 1, 0)</f>
        <v/>
      </c>
      <c r="AC409" s="15">
        <f>N409^2</f>
        <v/>
      </c>
      <c r="AD409" s="15">
        <f>ABS(N409)</f>
        <v/>
      </c>
      <c r="AE409" s="15">
        <f>IF(M409&gt;0, ABS(N409)*(L409-$D$16),0)</f>
        <v/>
      </c>
    </row>
    <row r="410">
      <c r="L410" s="15" t="n">
        <v>408</v>
      </c>
      <c r="M410" s="15">
        <f>IF(L410&lt;$D$16,$D$12,IF(L410&lt;$E$16,$E$12,$F$13))</f>
        <v/>
      </c>
      <c r="N410" s="15">
        <f>M410-V410</f>
        <v/>
      </c>
      <c r="O410" s="15">
        <f>IF(MOD(L410,$B$11)=0,OFFSET(O410,-$B$11,0)+ $E$2*N410+$E$3*OFFSET(N410,-$B$11,0)+ $E$4*OFFSET(N410,-2* $B$11,0), O409)</f>
        <v/>
      </c>
      <c r="P410" s="15">
        <f>INT((2^$J$12-1)*O410/100)/(2^$J$12-1)*100</f>
        <v/>
      </c>
      <c r="Q410" s="15" t="n">
        <v>0</v>
      </c>
      <c r="R410" s="15">
        <f>P410+Q410</f>
        <v/>
      </c>
      <c r="S410" s="15">
        <f>$I$1*S409-$I$2*S408+$I$3*R389+$I$4*R388</f>
        <v/>
      </c>
      <c r="T410" s="15" t="n">
        <v>0</v>
      </c>
      <c r="U410" s="15">
        <f>S410+T410</f>
        <v/>
      </c>
      <c r="V410" s="15">
        <f>INT((2^$J$12-1)*U410/100)/(2^$J$12-1)*100</f>
        <v/>
      </c>
      <c r="X410" s="15">
        <f>M410 * 1.05</f>
        <v/>
      </c>
      <c r="Y410" s="15">
        <f>M410 * 0.95</f>
        <v/>
      </c>
      <c r="Z410" s="15">
        <f>IF(AND(V410 &lt;= X410, V410 &gt;= Y410), 1, 0)</f>
        <v/>
      </c>
      <c r="AC410" s="15">
        <f>N410^2</f>
        <v/>
      </c>
      <c r="AD410" s="15">
        <f>ABS(N410)</f>
        <v/>
      </c>
      <c r="AE410" s="15">
        <f>IF(M410&gt;0, ABS(N410)*(L410-$D$16),0)</f>
        <v/>
      </c>
    </row>
    <row r="411">
      <c r="L411" s="15" t="n">
        <v>409</v>
      </c>
      <c r="M411" s="15">
        <f>IF(L411&lt;$D$16,$D$12,IF(L411&lt;$E$16,$E$12,$F$13))</f>
        <v/>
      </c>
      <c r="N411" s="15">
        <f>M411-V411</f>
        <v/>
      </c>
      <c r="O411" s="15">
        <f>IF(MOD(L411,$B$11)=0,OFFSET(O411,-$B$11,0)+ $E$2*N411+$E$3*OFFSET(N411,-$B$11,0)+ $E$4*OFFSET(N411,-2* $B$11,0), O410)</f>
        <v/>
      </c>
      <c r="P411" s="15">
        <f>INT((2^$J$12-1)*O411/100)/(2^$J$12-1)*100</f>
        <v/>
      </c>
      <c r="Q411" s="15" t="n">
        <v>0</v>
      </c>
      <c r="R411" s="15">
        <f>P411+Q411</f>
        <v/>
      </c>
      <c r="S411" s="15">
        <f>$I$1*S410-$I$2*S409+$I$3*R390+$I$4*R389</f>
        <v/>
      </c>
      <c r="T411" s="15" t="n">
        <v>0</v>
      </c>
      <c r="U411" s="15">
        <f>S411+T411</f>
        <v/>
      </c>
      <c r="V411" s="15">
        <f>INT((2^$J$12-1)*U411/100)/(2^$J$12-1)*100</f>
        <v/>
      </c>
      <c r="X411" s="15">
        <f>M411 * 1.05</f>
        <v/>
      </c>
      <c r="Y411" s="15">
        <f>M411 * 0.95</f>
        <v/>
      </c>
      <c r="Z411" s="15">
        <f>IF(AND(V411 &lt;= X411, V411 &gt;= Y411), 1, 0)</f>
        <v/>
      </c>
      <c r="AC411" s="15">
        <f>N411^2</f>
        <v/>
      </c>
      <c r="AD411" s="15">
        <f>ABS(N411)</f>
        <v/>
      </c>
      <c r="AE411" s="15">
        <f>IF(M411&gt;0, ABS(N411)*(L411-$D$16),0)</f>
        <v/>
      </c>
    </row>
    <row r="412">
      <c r="L412" s="15" t="n">
        <v>410</v>
      </c>
      <c r="M412" s="15">
        <f>IF(L412&lt;$D$16,$D$12,IF(L412&lt;$E$16,$E$12,$F$13))</f>
        <v/>
      </c>
      <c r="N412" s="15">
        <f>M412-V412</f>
        <v/>
      </c>
      <c r="O412" s="15">
        <f>IF(MOD(L412,$B$11)=0,OFFSET(O412,-$B$11,0)+ $E$2*N412+$E$3*OFFSET(N412,-$B$11,0)+ $E$4*OFFSET(N412,-2* $B$11,0), O411)</f>
        <v/>
      </c>
      <c r="P412" s="15">
        <f>INT((2^$J$12-1)*O412/100)/(2^$J$12-1)*100</f>
        <v/>
      </c>
      <c r="Q412" s="15" t="n">
        <v>0</v>
      </c>
      <c r="R412" s="15">
        <f>P412+Q412</f>
        <v/>
      </c>
      <c r="S412" s="15">
        <f>$I$1*S411-$I$2*S410+$I$3*R391+$I$4*R390</f>
        <v/>
      </c>
      <c r="T412" s="15" t="n">
        <v>0</v>
      </c>
      <c r="U412" s="15">
        <f>S412+T412</f>
        <v/>
      </c>
      <c r="V412" s="15">
        <f>INT((2^$J$12-1)*U412/100)/(2^$J$12-1)*100</f>
        <v/>
      </c>
      <c r="X412" s="15">
        <f>M412 * 1.05</f>
        <v/>
      </c>
      <c r="Y412" s="15">
        <f>M412 * 0.95</f>
        <v/>
      </c>
      <c r="Z412" s="15">
        <f>IF(AND(V412 &lt;= X412, V412 &gt;= Y412), 1, 0)</f>
        <v/>
      </c>
      <c r="AC412" s="15">
        <f>N412^2</f>
        <v/>
      </c>
      <c r="AD412" s="15">
        <f>ABS(N412)</f>
        <v/>
      </c>
      <c r="AE412" s="15">
        <f>IF(M412&gt;0, ABS(N412)*(L412-$D$16),0)</f>
        <v/>
      </c>
    </row>
    <row r="413">
      <c r="L413" s="15" t="n">
        <v>411</v>
      </c>
      <c r="M413" s="15">
        <f>IF(L413&lt;$D$16,$D$12,IF(L413&lt;$E$16,$E$12,$F$13))</f>
        <v/>
      </c>
      <c r="N413" s="15">
        <f>M413-V413</f>
        <v/>
      </c>
      <c r="O413" s="15">
        <f>IF(MOD(L413,$B$11)=0,OFFSET(O413,-$B$11,0)+ $E$2*N413+$E$3*OFFSET(N413,-$B$11,0)+ $E$4*OFFSET(N413,-2* $B$11,0), O412)</f>
        <v/>
      </c>
      <c r="P413" s="15">
        <f>INT((2^$J$12-1)*O413/100)/(2^$J$12-1)*100</f>
        <v/>
      </c>
      <c r="Q413" s="15" t="n">
        <v>0</v>
      </c>
      <c r="R413" s="15">
        <f>P413+Q413</f>
        <v/>
      </c>
      <c r="S413" s="15">
        <f>$I$1*S412-$I$2*S411+$I$3*R392+$I$4*R391</f>
        <v/>
      </c>
      <c r="T413" s="15" t="n">
        <v>0</v>
      </c>
      <c r="U413" s="15">
        <f>S413+T413</f>
        <v/>
      </c>
      <c r="V413" s="15">
        <f>INT((2^$J$12-1)*U413/100)/(2^$J$12-1)*100</f>
        <v/>
      </c>
      <c r="X413" s="15">
        <f>M413 * 1.05</f>
        <v/>
      </c>
      <c r="Y413" s="15">
        <f>M413 * 0.95</f>
        <v/>
      </c>
      <c r="Z413" s="15">
        <f>IF(AND(V413 &lt;= X413, V413 &gt;= Y413), 1, 0)</f>
        <v/>
      </c>
      <c r="AC413" s="15">
        <f>N413^2</f>
        <v/>
      </c>
      <c r="AD413" s="15">
        <f>ABS(N413)</f>
        <v/>
      </c>
      <c r="AE413" s="15">
        <f>IF(M413&gt;0, ABS(N413)*(L413-$D$16),0)</f>
        <v/>
      </c>
    </row>
    <row r="414">
      <c r="L414" s="15" t="n">
        <v>412</v>
      </c>
      <c r="M414" s="15">
        <f>IF(L414&lt;$D$16,$D$12,IF(L414&lt;$E$16,$E$12,$F$13))</f>
        <v/>
      </c>
      <c r="N414" s="15">
        <f>M414-V414</f>
        <v/>
      </c>
      <c r="O414" s="15">
        <f>IF(MOD(L414,$B$11)=0,OFFSET(O414,-$B$11,0)+ $E$2*N414+$E$3*OFFSET(N414,-$B$11,0)+ $E$4*OFFSET(N414,-2* $B$11,0), O413)</f>
        <v/>
      </c>
      <c r="P414" s="15">
        <f>INT((2^$J$12-1)*O414/100)/(2^$J$12-1)*100</f>
        <v/>
      </c>
      <c r="Q414" s="15" t="n">
        <v>0</v>
      </c>
      <c r="R414" s="15">
        <f>P414+Q414</f>
        <v/>
      </c>
      <c r="S414" s="15">
        <f>$I$1*S413-$I$2*S412+$I$3*R393+$I$4*R392</f>
        <v/>
      </c>
      <c r="T414" s="15" t="n">
        <v>0</v>
      </c>
      <c r="U414" s="15">
        <f>S414+T414</f>
        <v/>
      </c>
      <c r="V414" s="15">
        <f>INT((2^$J$12-1)*U414/100)/(2^$J$12-1)*100</f>
        <v/>
      </c>
      <c r="X414" s="15">
        <f>M414 * 1.05</f>
        <v/>
      </c>
      <c r="Y414" s="15">
        <f>M414 * 0.95</f>
        <v/>
      </c>
      <c r="Z414" s="15">
        <f>IF(AND(V414 &lt;= X414, V414 &gt;= Y414), 1, 0)</f>
        <v/>
      </c>
      <c r="AC414" s="15">
        <f>N414^2</f>
        <v/>
      </c>
      <c r="AD414" s="15">
        <f>ABS(N414)</f>
        <v/>
      </c>
      <c r="AE414" s="15">
        <f>IF(M414&gt;0, ABS(N414)*(L414-$D$16),0)</f>
        <v/>
      </c>
    </row>
    <row r="415">
      <c r="L415" s="15" t="n">
        <v>413</v>
      </c>
      <c r="M415" s="15">
        <f>IF(L415&lt;$D$16,$D$12,IF(L415&lt;$E$16,$E$12,$F$13))</f>
        <v/>
      </c>
      <c r="N415" s="15">
        <f>M415-V415</f>
        <v/>
      </c>
      <c r="O415" s="15">
        <f>IF(MOD(L415,$B$11)=0,OFFSET(O415,-$B$11,0)+ $E$2*N415+$E$3*OFFSET(N415,-$B$11,0)+ $E$4*OFFSET(N415,-2* $B$11,0), O414)</f>
        <v/>
      </c>
      <c r="P415" s="15">
        <f>INT((2^$J$12-1)*O415/100)/(2^$J$12-1)*100</f>
        <v/>
      </c>
      <c r="Q415" s="15" t="n">
        <v>0</v>
      </c>
      <c r="R415" s="15">
        <f>P415+Q415</f>
        <v/>
      </c>
      <c r="S415" s="15">
        <f>$I$1*S414-$I$2*S413+$I$3*R394+$I$4*R393</f>
        <v/>
      </c>
      <c r="T415" s="15" t="n">
        <v>0</v>
      </c>
      <c r="U415" s="15">
        <f>S415+T415</f>
        <v/>
      </c>
      <c r="V415" s="15">
        <f>INT((2^$J$12-1)*U415/100)/(2^$J$12-1)*100</f>
        <v/>
      </c>
      <c r="X415" s="15">
        <f>M415 * 1.05</f>
        <v/>
      </c>
      <c r="Y415" s="15">
        <f>M415 * 0.95</f>
        <v/>
      </c>
      <c r="Z415" s="15">
        <f>IF(AND(V415 &lt;= X415, V415 &gt;= Y415), 1, 0)</f>
        <v/>
      </c>
      <c r="AC415" s="15">
        <f>N415^2</f>
        <v/>
      </c>
      <c r="AD415" s="15">
        <f>ABS(N415)</f>
        <v/>
      </c>
      <c r="AE415" s="15">
        <f>IF(M415&gt;0, ABS(N415)*(L415-$D$16),0)</f>
        <v/>
      </c>
    </row>
    <row r="416">
      <c r="L416" s="15" t="n">
        <v>414</v>
      </c>
      <c r="M416" s="15">
        <f>IF(L416&lt;$D$16,$D$12,IF(L416&lt;$E$16,$E$12,$F$13))</f>
        <v/>
      </c>
      <c r="N416" s="15">
        <f>M416-V416</f>
        <v/>
      </c>
      <c r="O416" s="15">
        <f>IF(MOD(L416,$B$11)=0,OFFSET(O416,-$B$11,0)+ $E$2*N416+$E$3*OFFSET(N416,-$B$11,0)+ $E$4*OFFSET(N416,-2* $B$11,0), O415)</f>
        <v/>
      </c>
      <c r="P416" s="15">
        <f>INT((2^$J$12-1)*O416/100)/(2^$J$12-1)*100</f>
        <v/>
      </c>
      <c r="Q416" s="15" t="n">
        <v>0</v>
      </c>
      <c r="R416" s="15">
        <f>P416+Q416</f>
        <v/>
      </c>
      <c r="S416" s="15">
        <f>$I$1*S415-$I$2*S414+$I$3*R395+$I$4*R394</f>
        <v/>
      </c>
      <c r="T416" s="15" t="n">
        <v>0</v>
      </c>
      <c r="U416" s="15">
        <f>S416+T416</f>
        <v/>
      </c>
      <c r="V416" s="15">
        <f>INT((2^$J$12-1)*U416/100)/(2^$J$12-1)*100</f>
        <v/>
      </c>
      <c r="X416" s="15">
        <f>M416 * 1.05</f>
        <v/>
      </c>
      <c r="Y416" s="15">
        <f>M416 * 0.95</f>
        <v/>
      </c>
      <c r="Z416" s="15">
        <f>IF(AND(V416 &lt;= X416, V416 &gt;= Y416), 1, 0)</f>
        <v/>
      </c>
      <c r="AC416" s="15">
        <f>N416^2</f>
        <v/>
      </c>
      <c r="AD416" s="15">
        <f>ABS(N416)</f>
        <v/>
      </c>
      <c r="AE416" s="15">
        <f>IF(M416&gt;0, ABS(N416)*(L416-$D$16),0)</f>
        <v/>
      </c>
    </row>
    <row r="417">
      <c r="L417" s="15" t="n">
        <v>415</v>
      </c>
      <c r="M417" s="15">
        <f>IF(L417&lt;$D$16,$D$12,IF(L417&lt;$E$16,$E$12,$F$13))</f>
        <v/>
      </c>
      <c r="N417" s="15">
        <f>M417-V417</f>
        <v/>
      </c>
      <c r="O417" s="15">
        <f>IF(MOD(L417,$B$11)=0,OFFSET(O417,-$B$11,0)+ $E$2*N417+$E$3*OFFSET(N417,-$B$11,0)+ $E$4*OFFSET(N417,-2* $B$11,0), O416)</f>
        <v/>
      </c>
      <c r="P417" s="15">
        <f>INT((2^$J$12-1)*O417/100)/(2^$J$12-1)*100</f>
        <v/>
      </c>
      <c r="Q417" s="15" t="n">
        <v>0</v>
      </c>
      <c r="R417" s="15">
        <f>P417+Q417</f>
        <v/>
      </c>
      <c r="S417" s="15">
        <f>$I$1*S416-$I$2*S415+$I$3*R396+$I$4*R395</f>
        <v/>
      </c>
      <c r="T417" s="15" t="n">
        <v>0</v>
      </c>
      <c r="U417" s="15">
        <f>S417+T417</f>
        <v/>
      </c>
      <c r="V417" s="15">
        <f>INT((2^$J$12-1)*U417/100)/(2^$J$12-1)*100</f>
        <v/>
      </c>
      <c r="X417" s="15">
        <f>M417 * 1.05</f>
        <v/>
      </c>
      <c r="Y417" s="15">
        <f>M417 * 0.95</f>
        <v/>
      </c>
      <c r="Z417" s="15">
        <f>IF(AND(V417 &lt;= X417, V417 &gt;= Y417), 1, 0)</f>
        <v/>
      </c>
      <c r="AC417" s="15">
        <f>N417^2</f>
        <v/>
      </c>
      <c r="AD417" s="15">
        <f>ABS(N417)</f>
        <v/>
      </c>
      <c r="AE417" s="15">
        <f>IF(M417&gt;0, ABS(N417)*(L417-$D$16),0)</f>
        <v/>
      </c>
    </row>
    <row r="418">
      <c r="L418" s="15" t="n">
        <v>416</v>
      </c>
      <c r="M418" s="15">
        <f>IF(L418&lt;$D$16,$D$12,IF(L418&lt;$E$16,$E$12,$F$13))</f>
        <v/>
      </c>
      <c r="N418" s="15">
        <f>M418-V418</f>
        <v/>
      </c>
      <c r="O418" s="15">
        <f>IF(MOD(L418,$B$11)=0,OFFSET(O418,-$B$11,0)+ $E$2*N418+$E$3*OFFSET(N418,-$B$11,0)+ $E$4*OFFSET(N418,-2* $B$11,0), O417)</f>
        <v/>
      </c>
      <c r="P418" s="15">
        <f>INT((2^$J$12-1)*O418/100)/(2^$J$12-1)*100</f>
        <v/>
      </c>
      <c r="Q418" s="15" t="n">
        <v>0</v>
      </c>
      <c r="R418" s="15">
        <f>P418+Q418</f>
        <v/>
      </c>
      <c r="S418" s="15">
        <f>$I$1*S417-$I$2*S416+$I$3*R397+$I$4*R396</f>
        <v/>
      </c>
      <c r="T418" s="15" t="n">
        <v>0</v>
      </c>
      <c r="U418" s="15">
        <f>S418+T418</f>
        <v/>
      </c>
      <c r="V418" s="15">
        <f>INT((2^$J$12-1)*U418/100)/(2^$J$12-1)*100</f>
        <v/>
      </c>
      <c r="X418" s="15">
        <f>M418 * 1.05</f>
        <v/>
      </c>
      <c r="Y418" s="15">
        <f>M418 * 0.95</f>
        <v/>
      </c>
      <c r="Z418" s="15">
        <f>IF(AND(V418 &lt;= X418, V418 &gt;= Y418), 1, 0)</f>
        <v/>
      </c>
      <c r="AC418" s="15">
        <f>N418^2</f>
        <v/>
      </c>
      <c r="AD418" s="15">
        <f>ABS(N418)</f>
        <v/>
      </c>
      <c r="AE418" s="15">
        <f>IF(M418&gt;0, ABS(N418)*(L418-$D$16),0)</f>
        <v/>
      </c>
    </row>
    <row r="419">
      <c r="L419" s="15" t="n">
        <v>417</v>
      </c>
      <c r="M419" s="15">
        <f>IF(L419&lt;$D$16,$D$12,IF(L419&lt;$E$16,$E$12,$F$13))</f>
        <v/>
      </c>
      <c r="N419" s="15">
        <f>M419-V419</f>
        <v/>
      </c>
      <c r="O419" s="15">
        <f>IF(MOD(L419,$B$11)=0,OFFSET(O419,-$B$11,0)+ $E$2*N419+$E$3*OFFSET(N419,-$B$11,0)+ $E$4*OFFSET(N419,-2* $B$11,0), O418)</f>
        <v/>
      </c>
      <c r="P419" s="15">
        <f>INT((2^$J$12-1)*O419/100)/(2^$J$12-1)*100</f>
        <v/>
      </c>
      <c r="Q419" s="15" t="n">
        <v>0</v>
      </c>
      <c r="R419" s="15">
        <f>P419+Q419</f>
        <v/>
      </c>
      <c r="S419" s="15">
        <f>$I$1*S418-$I$2*S417+$I$3*R398+$I$4*R397</f>
        <v/>
      </c>
      <c r="T419" s="15" t="n">
        <v>0</v>
      </c>
      <c r="U419" s="15">
        <f>S419+T419</f>
        <v/>
      </c>
      <c r="V419" s="15">
        <f>INT((2^$J$12-1)*U419/100)/(2^$J$12-1)*100</f>
        <v/>
      </c>
      <c r="X419" s="15">
        <f>M419 * 1.05</f>
        <v/>
      </c>
      <c r="Y419" s="15">
        <f>M419 * 0.95</f>
        <v/>
      </c>
      <c r="Z419" s="15">
        <f>IF(AND(V419 &lt;= X419, V419 &gt;= Y419), 1, 0)</f>
        <v/>
      </c>
      <c r="AC419" s="15">
        <f>N419^2</f>
        <v/>
      </c>
      <c r="AD419" s="15">
        <f>ABS(N419)</f>
        <v/>
      </c>
      <c r="AE419" s="15">
        <f>IF(M419&gt;0, ABS(N419)*(L419-$D$16),0)</f>
        <v/>
      </c>
    </row>
    <row r="420">
      <c r="L420" s="15" t="n">
        <v>418</v>
      </c>
      <c r="M420" s="15">
        <f>IF(L420&lt;$D$16,$D$12,IF(L420&lt;$E$16,$E$12,$F$13))</f>
        <v/>
      </c>
      <c r="N420" s="15">
        <f>M420-V420</f>
        <v/>
      </c>
      <c r="O420" s="15">
        <f>IF(MOD(L420,$B$11)=0,OFFSET(O420,-$B$11,0)+ $E$2*N420+$E$3*OFFSET(N420,-$B$11,0)+ $E$4*OFFSET(N420,-2* $B$11,0), O419)</f>
        <v/>
      </c>
      <c r="P420" s="15">
        <f>INT((2^$J$12-1)*O420/100)/(2^$J$12-1)*100</f>
        <v/>
      </c>
      <c r="Q420" s="15" t="n">
        <v>0</v>
      </c>
      <c r="R420" s="15">
        <f>P420+Q420</f>
        <v/>
      </c>
      <c r="S420" s="15">
        <f>$I$1*S419-$I$2*S418+$I$3*R399+$I$4*R398</f>
        <v/>
      </c>
      <c r="T420" s="15" t="n">
        <v>0</v>
      </c>
      <c r="U420" s="15">
        <f>S420+T420</f>
        <v/>
      </c>
      <c r="V420" s="15">
        <f>INT((2^$J$12-1)*U420/100)/(2^$J$12-1)*100</f>
        <v/>
      </c>
      <c r="X420" s="15">
        <f>M420 * 1.05</f>
        <v/>
      </c>
      <c r="Y420" s="15">
        <f>M420 * 0.95</f>
        <v/>
      </c>
      <c r="Z420" s="15">
        <f>IF(AND(V420 &lt;= X420, V420 &gt;= Y420), 1, 0)</f>
        <v/>
      </c>
      <c r="AC420" s="15">
        <f>N420^2</f>
        <v/>
      </c>
      <c r="AD420" s="15">
        <f>ABS(N420)</f>
        <v/>
      </c>
      <c r="AE420" s="15">
        <f>IF(M420&gt;0, ABS(N420)*(L420-$D$16),0)</f>
        <v/>
      </c>
    </row>
    <row r="421">
      <c r="L421" s="15" t="n">
        <v>419</v>
      </c>
      <c r="M421" s="15">
        <f>IF(L421&lt;$D$16,$D$12,IF(L421&lt;$E$16,$E$12,$F$13))</f>
        <v/>
      </c>
      <c r="N421" s="15">
        <f>M421-V421</f>
        <v/>
      </c>
      <c r="O421" s="15">
        <f>IF(MOD(L421,$B$11)=0,OFFSET(O421,-$B$11,0)+ $E$2*N421+$E$3*OFFSET(N421,-$B$11,0)+ $E$4*OFFSET(N421,-2* $B$11,0), O420)</f>
        <v/>
      </c>
      <c r="P421" s="15">
        <f>INT((2^$J$12-1)*O421/100)/(2^$J$12-1)*100</f>
        <v/>
      </c>
      <c r="Q421" s="15" t="n">
        <v>0</v>
      </c>
      <c r="R421" s="15">
        <f>P421+Q421</f>
        <v/>
      </c>
      <c r="S421" s="15">
        <f>$I$1*S420-$I$2*S419+$I$3*R400+$I$4*R399</f>
        <v/>
      </c>
      <c r="T421" s="15" t="n">
        <v>0</v>
      </c>
      <c r="U421" s="15">
        <f>S421+T421</f>
        <v/>
      </c>
      <c r="V421" s="15">
        <f>INT((2^$J$12-1)*U421/100)/(2^$J$12-1)*100</f>
        <v/>
      </c>
      <c r="X421" s="15">
        <f>M421 * 1.05</f>
        <v/>
      </c>
      <c r="Y421" s="15">
        <f>M421 * 0.95</f>
        <v/>
      </c>
      <c r="Z421" s="15">
        <f>IF(AND(V421 &lt;= X421, V421 &gt;= Y421), 1, 0)</f>
        <v/>
      </c>
      <c r="AC421" s="15">
        <f>N421^2</f>
        <v/>
      </c>
      <c r="AD421" s="15">
        <f>ABS(N421)</f>
        <v/>
      </c>
      <c r="AE421" s="15">
        <f>IF(M421&gt;0, ABS(N421)*(L421-$D$16),0)</f>
        <v/>
      </c>
    </row>
    <row r="422">
      <c r="L422" s="15" t="n">
        <v>420</v>
      </c>
      <c r="M422" s="15">
        <f>IF(L422&lt;$D$16,$D$12,IF(L422&lt;$E$16,$E$12,$F$13))</f>
        <v/>
      </c>
      <c r="N422" s="15">
        <f>M422-V422</f>
        <v/>
      </c>
      <c r="O422" s="15">
        <f>IF(MOD(L422,$B$11)=0,OFFSET(O422,-$B$11,0)+ $E$2*N422+$E$3*OFFSET(N422,-$B$11,0)+ $E$4*OFFSET(N422,-2* $B$11,0), O421)</f>
        <v/>
      </c>
      <c r="P422" s="15">
        <f>INT((2^$J$12-1)*O422/100)/(2^$J$12-1)*100</f>
        <v/>
      </c>
      <c r="Q422" s="15" t="n">
        <v>0</v>
      </c>
      <c r="R422" s="15">
        <f>P422+Q422</f>
        <v/>
      </c>
      <c r="S422" s="15">
        <f>$I$1*S421-$I$2*S420+$I$3*R401+$I$4*R400</f>
        <v/>
      </c>
      <c r="T422" s="15" t="n">
        <v>0</v>
      </c>
      <c r="U422" s="15">
        <f>S422+T422</f>
        <v/>
      </c>
      <c r="V422" s="15">
        <f>INT((2^$J$12-1)*U422/100)/(2^$J$12-1)*100</f>
        <v/>
      </c>
      <c r="X422" s="15">
        <f>M422 * 1.05</f>
        <v/>
      </c>
      <c r="Y422" s="15">
        <f>M422 * 0.95</f>
        <v/>
      </c>
      <c r="Z422" s="15">
        <f>IF(AND(V422 &lt;= X422, V422 &gt;= Y422), 1, 0)</f>
        <v/>
      </c>
      <c r="AC422" s="15">
        <f>N422^2</f>
        <v/>
      </c>
      <c r="AD422" s="15">
        <f>ABS(N422)</f>
        <v/>
      </c>
      <c r="AE422" s="15">
        <f>IF(M422&gt;0, ABS(N422)*(L422-$D$16),0)</f>
        <v/>
      </c>
    </row>
    <row r="423">
      <c r="L423" s="15" t="n">
        <v>421</v>
      </c>
      <c r="M423" s="15">
        <f>IF(L423&lt;$D$16,$D$12,IF(L423&lt;$E$16,$E$12,$F$13))</f>
        <v/>
      </c>
      <c r="N423" s="15">
        <f>M423-V423</f>
        <v/>
      </c>
      <c r="O423" s="15">
        <f>IF(MOD(L423,$B$11)=0,OFFSET(O423,-$B$11,0)+ $E$2*N423+$E$3*OFFSET(N423,-$B$11,0)+ $E$4*OFFSET(N423,-2* $B$11,0), O422)</f>
        <v/>
      </c>
      <c r="P423" s="15">
        <f>INT((2^$J$12-1)*O423/100)/(2^$J$12-1)*100</f>
        <v/>
      </c>
      <c r="Q423" s="15" t="n">
        <v>0</v>
      </c>
      <c r="R423" s="15">
        <f>P423+Q423</f>
        <v/>
      </c>
      <c r="S423" s="15">
        <f>$I$1*S422-$I$2*S421+$I$3*R402+$I$4*R401</f>
        <v/>
      </c>
      <c r="T423" s="15" t="n">
        <v>0</v>
      </c>
      <c r="U423" s="15">
        <f>S423+T423</f>
        <v/>
      </c>
      <c r="V423" s="15">
        <f>INT((2^$J$12-1)*U423/100)/(2^$J$12-1)*100</f>
        <v/>
      </c>
      <c r="X423" s="15">
        <f>M423 * 1.05</f>
        <v/>
      </c>
      <c r="Y423" s="15">
        <f>M423 * 0.95</f>
        <v/>
      </c>
      <c r="Z423" s="15">
        <f>IF(AND(V423 &lt;= X423, V423 &gt;= Y423), 1, 0)</f>
        <v/>
      </c>
      <c r="AC423" s="15">
        <f>N423^2</f>
        <v/>
      </c>
      <c r="AD423" s="15">
        <f>ABS(N423)</f>
        <v/>
      </c>
      <c r="AE423" s="15">
        <f>IF(M423&gt;0, ABS(N423)*(L423-$D$16),0)</f>
        <v/>
      </c>
    </row>
    <row r="424">
      <c r="L424" s="15" t="n">
        <v>422</v>
      </c>
      <c r="M424" s="15">
        <f>IF(L424&lt;$D$16,$D$12,IF(L424&lt;$E$16,$E$12,$F$13))</f>
        <v/>
      </c>
      <c r="N424" s="15">
        <f>M424-V424</f>
        <v/>
      </c>
      <c r="O424" s="15">
        <f>IF(MOD(L424,$B$11)=0,OFFSET(O424,-$B$11,0)+ $E$2*N424+$E$3*OFFSET(N424,-$B$11,0)+ $E$4*OFFSET(N424,-2* $B$11,0), O423)</f>
        <v/>
      </c>
      <c r="P424" s="15">
        <f>INT((2^$J$12-1)*O424/100)/(2^$J$12-1)*100</f>
        <v/>
      </c>
      <c r="Q424" s="15" t="n">
        <v>0</v>
      </c>
      <c r="R424" s="15">
        <f>P424+Q424</f>
        <v/>
      </c>
      <c r="S424" s="15">
        <f>$I$1*S423-$I$2*S422+$I$3*R403+$I$4*R402</f>
        <v/>
      </c>
      <c r="T424" s="15" t="n">
        <v>0</v>
      </c>
      <c r="U424" s="15">
        <f>S424+T424</f>
        <v/>
      </c>
      <c r="V424" s="15">
        <f>INT((2^$J$12-1)*U424/100)/(2^$J$12-1)*100</f>
        <v/>
      </c>
      <c r="X424" s="15">
        <f>M424 * 1.05</f>
        <v/>
      </c>
      <c r="Y424" s="15">
        <f>M424 * 0.95</f>
        <v/>
      </c>
      <c r="Z424" s="15">
        <f>IF(AND(V424 &lt;= X424, V424 &gt;= Y424), 1, 0)</f>
        <v/>
      </c>
      <c r="AC424" s="15">
        <f>N424^2</f>
        <v/>
      </c>
      <c r="AD424" s="15">
        <f>ABS(N424)</f>
        <v/>
      </c>
      <c r="AE424" s="15">
        <f>IF(M424&gt;0, ABS(N424)*(L424-$D$16),0)</f>
        <v/>
      </c>
    </row>
    <row r="425">
      <c r="L425" s="15" t="n">
        <v>423</v>
      </c>
      <c r="M425" s="15">
        <f>IF(L425&lt;$D$16,$D$12,IF(L425&lt;$E$16,$E$12,$F$13))</f>
        <v/>
      </c>
      <c r="N425" s="15">
        <f>M425-V425</f>
        <v/>
      </c>
      <c r="O425" s="15">
        <f>IF(MOD(L425,$B$11)=0,OFFSET(O425,-$B$11,0)+ $E$2*N425+$E$3*OFFSET(N425,-$B$11,0)+ $E$4*OFFSET(N425,-2* $B$11,0), O424)</f>
        <v/>
      </c>
      <c r="P425" s="15">
        <f>INT((2^$J$12-1)*O425/100)/(2^$J$12-1)*100</f>
        <v/>
      </c>
      <c r="Q425" s="15" t="n">
        <v>0</v>
      </c>
      <c r="R425" s="15">
        <f>P425+Q425</f>
        <v/>
      </c>
      <c r="S425" s="15">
        <f>$I$1*S424-$I$2*S423+$I$3*R404+$I$4*R403</f>
        <v/>
      </c>
      <c r="T425" s="15" t="n">
        <v>0</v>
      </c>
      <c r="U425" s="15">
        <f>S425+T425</f>
        <v/>
      </c>
      <c r="V425" s="15">
        <f>INT((2^$J$12-1)*U425/100)/(2^$J$12-1)*100</f>
        <v/>
      </c>
      <c r="X425" s="15">
        <f>M425 * 1.05</f>
        <v/>
      </c>
      <c r="Y425" s="15">
        <f>M425 * 0.95</f>
        <v/>
      </c>
      <c r="Z425" s="15">
        <f>IF(AND(V425 &lt;= X425, V425 &gt;= Y425), 1, 0)</f>
        <v/>
      </c>
      <c r="AC425" s="15">
        <f>N425^2</f>
        <v/>
      </c>
      <c r="AD425" s="15">
        <f>ABS(N425)</f>
        <v/>
      </c>
      <c r="AE425" s="15">
        <f>IF(M425&gt;0, ABS(N425)*(L425-$D$16),0)</f>
        <v/>
      </c>
    </row>
    <row r="426">
      <c r="L426" s="15" t="n">
        <v>424</v>
      </c>
      <c r="M426" s="15">
        <f>IF(L426&lt;$D$16,$D$12,IF(L426&lt;$E$16,$E$12,$F$13))</f>
        <v/>
      </c>
      <c r="N426" s="15">
        <f>M426-V426</f>
        <v/>
      </c>
      <c r="O426" s="15">
        <f>IF(MOD(L426,$B$11)=0,OFFSET(O426,-$B$11,0)+ $E$2*N426+$E$3*OFFSET(N426,-$B$11,0)+ $E$4*OFFSET(N426,-2* $B$11,0), O425)</f>
        <v/>
      </c>
      <c r="P426" s="15">
        <f>INT((2^$J$12-1)*O426/100)/(2^$J$12-1)*100</f>
        <v/>
      </c>
      <c r="Q426" s="15" t="n">
        <v>0</v>
      </c>
      <c r="R426" s="15">
        <f>P426+Q426</f>
        <v/>
      </c>
      <c r="S426" s="15">
        <f>$I$1*S425-$I$2*S424+$I$3*R405+$I$4*R404</f>
        <v/>
      </c>
      <c r="T426" s="15" t="n">
        <v>0</v>
      </c>
      <c r="U426" s="15">
        <f>S426+T426</f>
        <v/>
      </c>
      <c r="V426" s="15">
        <f>INT((2^$J$12-1)*U426/100)/(2^$J$12-1)*100</f>
        <v/>
      </c>
      <c r="X426" s="15">
        <f>M426 * 1.05</f>
        <v/>
      </c>
      <c r="Y426" s="15">
        <f>M426 * 0.95</f>
        <v/>
      </c>
      <c r="Z426" s="15">
        <f>IF(AND(V426 &lt;= X426, V426 &gt;= Y426), 1, 0)</f>
        <v/>
      </c>
      <c r="AC426" s="15">
        <f>N426^2</f>
        <v/>
      </c>
      <c r="AD426" s="15">
        <f>ABS(N426)</f>
        <v/>
      </c>
      <c r="AE426" s="15">
        <f>IF(M426&gt;0, ABS(N426)*(L426-$D$16),0)</f>
        <v/>
      </c>
    </row>
    <row r="427">
      <c r="L427" s="15" t="n">
        <v>425</v>
      </c>
      <c r="M427" s="15">
        <f>IF(L427&lt;$D$16,$D$12,IF(L427&lt;$E$16,$E$12,$F$13))</f>
        <v/>
      </c>
      <c r="N427" s="15">
        <f>M427-V427</f>
        <v/>
      </c>
      <c r="O427" s="15">
        <f>IF(MOD(L427,$B$11)=0,OFFSET(O427,-$B$11,0)+ $E$2*N427+$E$3*OFFSET(N427,-$B$11,0)+ $E$4*OFFSET(N427,-2* $B$11,0), O426)</f>
        <v/>
      </c>
      <c r="P427" s="15">
        <f>INT((2^$J$12-1)*O427/100)/(2^$J$12-1)*100</f>
        <v/>
      </c>
      <c r="Q427" s="15" t="n">
        <v>0</v>
      </c>
      <c r="R427" s="15">
        <f>P427+Q427</f>
        <v/>
      </c>
      <c r="S427" s="15">
        <f>$I$1*S426-$I$2*S425+$I$3*R406+$I$4*R405</f>
        <v/>
      </c>
      <c r="T427" s="15" t="n">
        <v>0</v>
      </c>
      <c r="U427" s="15">
        <f>S427+T427</f>
        <v/>
      </c>
      <c r="V427" s="15">
        <f>INT((2^$J$12-1)*U427/100)/(2^$J$12-1)*100</f>
        <v/>
      </c>
      <c r="X427" s="15">
        <f>M427 * 1.05</f>
        <v/>
      </c>
      <c r="Y427" s="15">
        <f>M427 * 0.95</f>
        <v/>
      </c>
      <c r="Z427" s="15">
        <f>IF(AND(V427 &lt;= X427, V427 &gt;= Y427), 1, 0)</f>
        <v/>
      </c>
      <c r="AC427" s="15">
        <f>N427^2</f>
        <v/>
      </c>
      <c r="AD427" s="15">
        <f>ABS(N427)</f>
        <v/>
      </c>
      <c r="AE427" s="15">
        <f>IF(M427&gt;0, ABS(N427)*(L427-$D$16),0)</f>
        <v/>
      </c>
    </row>
    <row r="428">
      <c r="L428" s="15" t="n">
        <v>426</v>
      </c>
      <c r="M428" s="15">
        <f>IF(L428&lt;$D$16,$D$12,IF(L428&lt;$E$16,$E$12,$F$13))</f>
        <v/>
      </c>
      <c r="N428" s="15">
        <f>M428-V428</f>
        <v/>
      </c>
      <c r="O428" s="15">
        <f>IF(MOD(L428,$B$11)=0,OFFSET(O428,-$B$11,0)+ $E$2*N428+$E$3*OFFSET(N428,-$B$11,0)+ $E$4*OFFSET(N428,-2* $B$11,0), O427)</f>
        <v/>
      </c>
      <c r="P428" s="15">
        <f>INT((2^$J$12-1)*O428/100)/(2^$J$12-1)*100</f>
        <v/>
      </c>
      <c r="Q428" s="15" t="n">
        <v>0</v>
      </c>
      <c r="R428" s="15">
        <f>P428+Q428</f>
        <v/>
      </c>
      <c r="S428" s="15">
        <f>$I$1*S427-$I$2*S426+$I$3*R407+$I$4*R406</f>
        <v/>
      </c>
      <c r="T428" s="15" t="n">
        <v>0</v>
      </c>
      <c r="U428" s="15">
        <f>S428+T428</f>
        <v/>
      </c>
      <c r="V428" s="15">
        <f>INT((2^$J$12-1)*U428/100)/(2^$J$12-1)*100</f>
        <v/>
      </c>
      <c r="X428" s="15">
        <f>M428 * 1.05</f>
        <v/>
      </c>
      <c r="Y428" s="15">
        <f>M428 * 0.95</f>
        <v/>
      </c>
      <c r="Z428" s="15">
        <f>IF(AND(V428 &lt;= X428, V428 &gt;= Y428), 1, 0)</f>
        <v/>
      </c>
      <c r="AC428" s="15">
        <f>N428^2</f>
        <v/>
      </c>
      <c r="AD428" s="15">
        <f>ABS(N428)</f>
        <v/>
      </c>
      <c r="AE428" s="15">
        <f>IF(M428&gt;0, ABS(N428)*(L428-$D$16),0)</f>
        <v/>
      </c>
    </row>
    <row r="429">
      <c r="L429" s="15" t="n">
        <v>427</v>
      </c>
      <c r="M429" s="15">
        <f>IF(L429&lt;$D$16,$D$12,IF(L429&lt;$E$16,$E$12,$F$13))</f>
        <v/>
      </c>
      <c r="N429" s="15">
        <f>M429-V429</f>
        <v/>
      </c>
      <c r="O429" s="15">
        <f>IF(MOD(L429,$B$11)=0,OFFSET(O429,-$B$11,0)+ $E$2*N429+$E$3*OFFSET(N429,-$B$11,0)+ $E$4*OFFSET(N429,-2* $B$11,0), O428)</f>
        <v/>
      </c>
      <c r="P429" s="15">
        <f>INT((2^$J$12-1)*O429/100)/(2^$J$12-1)*100</f>
        <v/>
      </c>
      <c r="Q429" s="15" t="n">
        <v>0</v>
      </c>
      <c r="R429" s="15">
        <f>P429+Q429</f>
        <v/>
      </c>
      <c r="S429" s="15">
        <f>$I$1*S428-$I$2*S427+$I$3*R408+$I$4*R407</f>
        <v/>
      </c>
      <c r="T429" s="15" t="n">
        <v>0</v>
      </c>
      <c r="U429" s="15">
        <f>S429+T429</f>
        <v/>
      </c>
      <c r="V429" s="15">
        <f>INT((2^$J$12-1)*U429/100)/(2^$J$12-1)*100</f>
        <v/>
      </c>
      <c r="X429" s="15">
        <f>M429 * 1.05</f>
        <v/>
      </c>
      <c r="Y429" s="15">
        <f>M429 * 0.95</f>
        <v/>
      </c>
      <c r="Z429" s="15">
        <f>IF(AND(V429 &lt;= X429, V429 &gt;= Y429), 1, 0)</f>
        <v/>
      </c>
      <c r="AC429" s="15">
        <f>N429^2</f>
        <v/>
      </c>
      <c r="AD429" s="15">
        <f>ABS(N429)</f>
        <v/>
      </c>
      <c r="AE429" s="15">
        <f>IF(M429&gt;0, ABS(N429)*(L429-$D$16),0)</f>
        <v/>
      </c>
    </row>
    <row r="430">
      <c r="L430" s="15" t="n">
        <v>428</v>
      </c>
      <c r="M430" s="15">
        <f>IF(L430&lt;$D$16,$D$12,IF(L430&lt;$E$16,$E$12,$F$13))</f>
        <v/>
      </c>
      <c r="N430" s="15">
        <f>M430-V430</f>
        <v/>
      </c>
      <c r="O430" s="15">
        <f>IF(MOD(L430,$B$11)=0,OFFSET(O430,-$B$11,0)+ $E$2*N430+$E$3*OFFSET(N430,-$B$11,0)+ $E$4*OFFSET(N430,-2* $B$11,0), O429)</f>
        <v/>
      </c>
      <c r="P430" s="15">
        <f>INT((2^$J$12-1)*O430/100)/(2^$J$12-1)*100</f>
        <v/>
      </c>
      <c r="Q430" s="15" t="n">
        <v>0</v>
      </c>
      <c r="R430" s="15">
        <f>P430+Q430</f>
        <v/>
      </c>
      <c r="S430" s="15">
        <f>$I$1*S429-$I$2*S428+$I$3*R409+$I$4*R408</f>
        <v/>
      </c>
      <c r="T430" s="15" t="n">
        <v>0</v>
      </c>
      <c r="U430" s="15">
        <f>S430+T430</f>
        <v/>
      </c>
      <c r="V430" s="15">
        <f>INT((2^$J$12-1)*U430/100)/(2^$J$12-1)*100</f>
        <v/>
      </c>
      <c r="X430" s="15">
        <f>M430 * 1.05</f>
        <v/>
      </c>
      <c r="Y430" s="15">
        <f>M430 * 0.95</f>
        <v/>
      </c>
      <c r="Z430" s="15">
        <f>IF(AND(V430 &lt;= X430, V430 &gt;= Y430), 1, 0)</f>
        <v/>
      </c>
      <c r="AC430" s="15">
        <f>N430^2</f>
        <v/>
      </c>
      <c r="AD430" s="15">
        <f>ABS(N430)</f>
        <v/>
      </c>
      <c r="AE430" s="15">
        <f>IF(M430&gt;0, ABS(N430)*(L430-$D$16),0)</f>
        <v/>
      </c>
    </row>
    <row r="431">
      <c r="L431" s="15" t="n">
        <v>429</v>
      </c>
      <c r="M431" s="15">
        <f>IF(L431&lt;$D$16,$D$12,IF(L431&lt;$E$16,$E$12,$F$13))</f>
        <v/>
      </c>
      <c r="N431" s="15">
        <f>M431-V431</f>
        <v/>
      </c>
      <c r="O431" s="15">
        <f>IF(MOD(L431,$B$11)=0,OFFSET(O431,-$B$11,0)+ $E$2*N431+$E$3*OFFSET(N431,-$B$11,0)+ $E$4*OFFSET(N431,-2* $B$11,0), O430)</f>
        <v/>
      </c>
      <c r="P431" s="15">
        <f>INT((2^$J$12-1)*O431/100)/(2^$J$12-1)*100</f>
        <v/>
      </c>
      <c r="Q431" s="15" t="n">
        <v>0</v>
      </c>
      <c r="R431" s="15">
        <f>P431+Q431</f>
        <v/>
      </c>
      <c r="S431" s="15">
        <f>$I$1*S430-$I$2*S429+$I$3*R410+$I$4*R409</f>
        <v/>
      </c>
      <c r="T431" s="15" t="n">
        <v>0</v>
      </c>
      <c r="U431" s="15">
        <f>S431+T431</f>
        <v/>
      </c>
      <c r="V431" s="15">
        <f>INT((2^$J$12-1)*U431/100)/(2^$J$12-1)*100</f>
        <v/>
      </c>
      <c r="X431" s="15">
        <f>M431 * 1.05</f>
        <v/>
      </c>
      <c r="Y431" s="15">
        <f>M431 * 0.95</f>
        <v/>
      </c>
      <c r="Z431" s="15">
        <f>IF(AND(V431 &lt;= X431, V431 &gt;= Y431), 1, 0)</f>
        <v/>
      </c>
      <c r="AC431" s="15">
        <f>N431^2</f>
        <v/>
      </c>
      <c r="AD431" s="15">
        <f>ABS(N431)</f>
        <v/>
      </c>
      <c r="AE431" s="15">
        <f>IF(M431&gt;0, ABS(N431)*(L431-$D$16),0)</f>
        <v/>
      </c>
    </row>
    <row r="432">
      <c r="L432" s="15" t="n">
        <v>430</v>
      </c>
      <c r="M432" s="15">
        <f>IF(L432&lt;$D$16,$D$12,IF(L432&lt;$E$16,$E$12,$F$13))</f>
        <v/>
      </c>
      <c r="N432" s="15">
        <f>M432-V432</f>
        <v/>
      </c>
      <c r="O432" s="15">
        <f>IF(MOD(L432,$B$11)=0,OFFSET(O432,-$B$11,0)+ $E$2*N432+$E$3*OFFSET(N432,-$B$11,0)+ $E$4*OFFSET(N432,-2* $B$11,0), O431)</f>
        <v/>
      </c>
      <c r="P432" s="15">
        <f>INT((2^$J$12-1)*O432/100)/(2^$J$12-1)*100</f>
        <v/>
      </c>
      <c r="Q432" s="15" t="n">
        <v>0</v>
      </c>
      <c r="R432" s="15">
        <f>P432+Q432</f>
        <v/>
      </c>
      <c r="S432" s="15">
        <f>$I$1*S431-$I$2*S430+$I$3*R411+$I$4*R410</f>
        <v/>
      </c>
      <c r="T432" s="15" t="n">
        <v>0</v>
      </c>
      <c r="U432" s="15">
        <f>S432+T432</f>
        <v/>
      </c>
      <c r="V432" s="15">
        <f>INT((2^$J$12-1)*U432/100)/(2^$J$12-1)*100</f>
        <v/>
      </c>
      <c r="X432" s="15">
        <f>M432 * 1.05</f>
        <v/>
      </c>
      <c r="Y432" s="15">
        <f>M432 * 0.95</f>
        <v/>
      </c>
      <c r="Z432" s="15">
        <f>IF(AND(V432 &lt;= X432, V432 &gt;= Y432), 1, 0)</f>
        <v/>
      </c>
      <c r="AC432" s="15">
        <f>N432^2</f>
        <v/>
      </c>
      <c r="AD432" s="15">
        <f>ABS(N432)</f>
        <v/>
      </c>
      <c r="AE432" s="15">
        <f>IF(M432&gt;0, ABS(N432)*(L432-$D$16),0)</f>
        <v/>
      </c>
    </row>
    <row r="433">
      <c r="L433" s="15" t="n">
        <v>431</v>
      </c>
      <c r="M433" s="15">
        <f>IF(L433&lt;$D$16,$D$12,IF(L433&lt;$E$16,$E$12,$F$13))</f>
        <v/>
      </c>
      <c r="N433" s="15">
        <f>M433-V433</f>
        <v/>
      </c>
      <c r="O433" s="15">
        <f>IF(MOD(L433,$B$11)=0,OFFSET(O433,-$B$11,0)+ $E$2*N433+$E$3*OFFSET(N433,-$B$11,0)+ $E$4*OFFSET(N433,-2* $B$11,0), O432)</f>
        <v/>
      </c>
      <c r="P433" s="15">
        <f>INT((2^$J$12-1)*O433/100)/(2^$J$12-1)*100</f>
        <v/>
      </c>
      <c r="Q433" s="15" t="n">
        <v>0</v>
      </c>
      <c r="R433" s="15">
        <f>P433+Q433</f>
        <v/>
      </c>
      <c r="S433" s="15">
        <f>$I$1*S432-$I$2*S431+$I$3*R412+$I$4*R411</f>
        <v/>
      </c>
      <c r="T433" s="15" t="n">
        <v>0</v>
      </c>
      <c r="U433" s="15">
        <f>S433+T433</f>
        <v/>
      </c>
      <c r="V433" s="15">
        <f>INT((2^$J$12-1)*U433/100)/(2^$J$12-1)*100</f>
        <v/>
      </c>
      <c r="X433" s="15">
        <f>M433 * 1.05</f>
        <v/>
      </c>
      <c r="Y433" s="15">
        <f>M433 * 0.95</f>
        <v/>
      </c>
      <c r="Z433" s="15">
        <f>IF(AND(V433 &lt;= X433, V433 &gt;= Y433), 1, 0)</f>
        <v/>
      </c>
      <c r="AC433" s="15">
        <f>N433^2</f>
        <v/>
      </c>
      <c r="AD433" s="15">
        <f>ABS(N433)</f>
        <v/>
      </c>
      <c r="AE433" s="15">
        <f>IF(M433&gt;0, ABS(N433)*(L433-$D$16),0)</f>
        <v/>
      </c>
    </row>
    <row r="434">
      <c r="L434" s="15" t="n">
        <v>432</v>
      </c>
      <c r="M434" s="15">
        <f>IF(L434&lt;$D$16,$D$12,IF(L434&lt;$E$16,$E$12,$F$13))</f>
        <v/>
      </c>
      <c r="N434" s="15">
        <f>M434-V434</f>
        <v/>
      </c>
      <c r="O434" s="15">
        <f>IF(MOD(L434,$B$11)=0,OFFSET(O434,-$B$11,0)+ $E$2*N434+$E$3*OFFSET(N434,-$B$11,0)+ $E$4*OFFSET(N434,-2* $B$11,0), O433)</f>
        <v/>
      </c>
      <c r="P434" s="15">
        <f>INT((2^$J$12-1)*O434/100)/(2^$J$12-1)*100</f>
        <v/>
      </c>
      <c r="Q434" s="15" t="n">
        <v>0</v>
      </c>
      <c r="R434" s="15">
        <f>P434+Q434</f>
        <v/>
      </c>
      <c r="S434" s="15">
        <f>$I$1*S433-$I$2*S432+$I$3*R413+$I$4*R412</f>
        <v/>
      </c>
      <c r="T434" s="15" t="n">
        <v>0</v>
      </c>
      <c r="U434" s="15">
        <f>S434+T434</f>
        <v/>
      </c>
      <c r="V434" s="15">
        <f>INT((2^$J$12-1)*U434/100)/(2^$J$12-1)*100</f>
        <v/>
      </c>
      <c r="X434" s="15">
        <f>M434 * 1.05</f>
        <v/>
      </c>
      <c r="Y434" s="15">
        <f>M434 * 0.95</f>
        <v/>
      </c>
      <c r="Z434" s="15">
        <f>IF(AND(V434 &lt;= X434, V434 &gt;= Y434), 1, 0)</f>
        <v/>
      </c>
      <c r="AC434" s="15">
        <f>N434^2</f>
        <v/>
      </c>
      <c r="AD434" s="15">
        <f>ABS(N434)</f>
        <v/>
      </c>
      <c r="AE434" s="15">
        <f>IF(M434&gt;0, ABS(N434)*(L434-$D$16),0)</f>
        <v/>
      </c>
    </row>
    <row r="435">
      <c r="L435" s="15" t="n">
        <v>433</v>
      </c>
      <c r="M435" s="15">
        <f>IF(L435&lt;$D$16,$D$12,IF(L435&lt;$E$16,$E$12,$F$13))</f>
        <v/>
      </c>
      <c r="N435" s="15">
        <f>M435-V435</f>
        <v/>
      </c>
      <c r="O435" s="15">
        <f>IF(MOD(L435,$B$11)=0,OFFSET(O435,-$B$11,0)+ $E$2*N435+$E$3*OFFSET(N435,-$B$11,0)+ $E$4*OFFSET(N435,-2* $B$11,0), O434)</f>
        <v/>
      </c>
      <c r="P435" s="15">
        <f>INT((2^$J$12-1)*O435/100)/(2^$J$12-1)*100</f>
        <v/>
      </c>
      <c r="Q435" s="15" t="n">
        <v>0</v>
      </c>
      <c r="R435" s="15">
        <f>P435+Q435</f>
        <v/>
      </c>
      <c r="S435" s="15">
        <f>$I$1*S434-$I$2*S433+$I$3*R414+$I$4*R413</f>
        <v/>
      </c>
      <c r="T435" s="15" t="n">
        <v>0</v>
      </c>
      <c r="U435" s="15">
        <f>S435+T435</f>
        <v/>
      </c>
      <c r="V435" s="15">
        <f>INT((2^$J$12-1)*U435/100)/(2^$J$12-1)*100</f>
        <v/>
      </c>
      <c r="X435" s="15">
        <f>M435 * 1.05</f>
        <v/>
      </c>
      <c r="Y435" s="15">
        <f>M435 * 0.95</f>
        <v/>
      </c>
      <c r="Z435" s="15">
        <f>IF(AND(V435 &lt;= X435, V435 &gt;= Y435), 1, 0)</f>
        <v/>
      </c>
      <c r="AC435" s="15">
        <f>N435^2</f>
        <v/>
      </c>
      <c r="AD435" s="15">
        <f>ABS(N435)</f>
        <v/>
      </c>
      <c r="AE435" s="15">
        <f>IF(M435&gt;0, ABS(N435)*(L435-$D$16),0)</f>
        <v/>
      </c>
    </row>
    <row r="436">
      <c r="L436" s="15" t="n">
        <v>434</v>
      </c>
      <c r="M436" s="15">
        <f>IF(L436&lt;$D$16,$D$12,IF(L436&lt;$E$16,$E$12,$F$13))</f>
        <v/>
      </c>
      <c r="N436" s="15">
        <f>M436-V436</f>
        <v/>
      </c>
      <c r="O436" s="15">
        <f>IF(MOD(L436,$B$11)=0,OFFSET(O436,-$B$11,0)+ $E$2*N436+$E$3*OFFSET(N436,-$B$11,0)+ $E$4*OFFSET(N436,-2* $B$11,0), O435)</f>
        <v/>
      </c>
      <c r="P436" s="15">
        <f>INT((2^$J$12-1)*O436/100)/(2^$J$12-1)*100</f>
        <v/>
      </c>
      <c r="Q436" s="15" t="n">
        <v>0</v>
      </c>
      <c r="R436" s="15">
        <f>P436+Q436</f>
        <v/>
      </c>
      <c r="S436" s="15">
        <f>$I$1*S435-$I$2*S434+$I$3*R415+$I$4*R414</f>
        <v/>
      </c>
      <c r="T436" s="15" t="n">
        <v>0</v>
      </c>
      <c r="U436" s="15">
        <f>S436+T436</f>
        <v/>
      </c>
      <c r="V436" s="15">
        <f>INT((2^$J$12-1)*U436/100)/(2^$J$12-1)*100</f>
        <v/>
      </c>
      <c r="X436" s="15">
        <f>M436 * 1.05</f>
        <v/>
      </c>
      <c r="Y436" s="15">
        <f>M436 * 0.95</f>
        <v/>
      </c>
      <c r="Z436" s="15">
        <f>IF(AND(V436 &lt;= X436, V436 &gt;= Y436), 1, 0)</f>
        <v/>
      </c>
      <c r="AC436" s="15">
        <f>N436^2</f>
        <v/>
      </c>
      <c r="AD436" s="15">
        <f>ABS(N436)</f>
        <v/>
      </c>
      <c r="AE436" s="15">
        <f>IF(M436&gt;0, ABS(N436)*(L436-$D$16),0)</f>
        <v/>
      </c>
    </row>
    <row r="437">
      <c r="L437" s="15" t="n">
        <v>435</v>
      </c>
      <c r="M437" s="15">
        <f>IF(L437&lt;$D$16,$D$12,IF(L437&lt;$E$16,$E$12,$F$13))</f>
        <v/>
      </c>
      <c r="N437" s="15">
        <f>M437-V437</f>
        <v/>
      </c>
      <c r="O437" s="15">
        <f>IF(MOD(L437,$B$11)=0,OFFSET(O437,-$B$11,0)+ $E$2*N437+$E$3*OFFSET(N437,-$B$11,0)+ $E$4*OFFSET(N437,-2* $B$11,0), O436)</f>
        <v/>
      </c>
      <c r="P437" s="15">
        <f>INT((2^$J$12-1)*O437/100)/(2^$J$12-1)*100</f>
        <v/>
      </c>
      <c r="Q437" s="15" t="n">
        <v>0</v>
      </c>
      <c r="R437" s="15">
        <f>P437+Q437</f>
        <v/>
      </c>
      <c r="S437" s="15">
        <f>$I$1*S436-$I$2*S435+$I$3*R416+$I$4*R415</f>
        <v/>
      </c>
      <c r="T437" s="15" t="n">
        <v>0</v>
      </c>
      <c r="U437" s="15">
        <f>S437+T437</f>
        <v/>
      </c>
      <c r="V437" s="15">
        <f>INT((2^$J$12-1)*U437/100)/(2^$J$12-1)*100</f>
        <v/>
      </c>
      <c r="X437" s="15">
        <f>M437 * 1.05</f>
        <v/>
      </c>
      <c r="Y437" s="15">
        <f>M437 * 0.95</f>
        <v/>
      </c>
      <c r="Z437" s="15">
        <f>IF(AND(V437 &lt;= X437, V437 &gt;= Y437), 1, 0)</f>
        <v/>
      </c>
      <c r="AC437" s="15">
        <f>N437^2</f>
        <v/>
      </c>
      <c r="AD437" s="15">
        <f>ABS(N437)</f>
        <v/>
      </c>
      <c r="AE437" s="15">
        <f>IF(M437&gt;0, ABS(N437)*(L437-$D$16),0)</f>
        <v/>
      </c>
    </row>
    <row r="438">
      <c r="L438" s="15" t="n">
        <v>436</v>
      </c>
      <c r="M438" s="15">
        <f>IF(L438&lt;$D$16,$D$12,IF(L438&lt;$E$16,$E$12,$F$13))</f>
        <v/>
      </c>
      <c r="N438" s="15">
        <f>M438-V438</f>
        <v/>
      </c>
      <c r="O438" s="15">
        <f>IF(MOD(L438,$B$11)=0,OFFSET(O438,-$B$11,0)+ $E$2*N438+$E$3*OFFSET(N438,-$B$11,0)+ $E$4*OFFSET(N438,-2* $B$11,0), O437)</f>
        <v/>
      </c>
      <c r="P438" s="15">
        <f>INT((2^$J$12-1)*O438/100)/(2^$J$12-1)*100</f>
        <v/>
      </c>
      <c r="Q438" s="15" t="n">
        <v>0</v>
      </c>
      <c r="R438" s="15">
        <f>P438+Q438</f>
        <v/>
      </c>
      <c r="S438" s="15">
        <f>$I$1*S437-$I$2*S436+$I$3*R417+$I$4*R416</f>
        <v/>
      </c>
      <c r="T438" s="15" t="n">
        <v>0</v>
      </c>
      <c r="U438" s="15">
        <f>S438+T438</f>
        <v/>
      </c>
      <c r="V438" s="15">
        <f>INT((2^$J$12-1)*U438/100)/(2^$J$12-1)*100</f>
        <v/>
      </c>
      <c r="X438" s="15">
        <f>M438 * 1.05</f>
        <v/>
      </c>
      <c r="Y438" s="15">
        <f>M438 * 0.95</f>
        <v/>
      </c>
      <c r="Z438" s="15">
        <f>IF(AND(V438 &lt;= X438, V438 &gt;= Y438), 1, 0)</f>
        <v/>
      </c>
      <c r="AC438" s="15">
        <f>N438^2</f>
        <v/>
      </c>
      <c r="AD438" s="15">
        <f>ABS(N438)</f>
        <v/>
      </c>
      <c r="AE438" s="15">
        <f>IF(M438&gt;0, ABS(N438)*(L438-$D$16),0)</f>
        <v/>
      </c>
    </row>
    <row r="439">
      <c r="L439" s="15" t="n">
        <v>437</v>
      </c>
      <c r="M439" s="15">
        <f>IF(L439&lt;$D$16,$D$12,IF(L439&lt;$E$16,$E$12,$F$13))</f>
        <v/>
      </c>
      <c r="N439" s="15">
        <f>M439-V439</f>
        <v/>
      </c>
      <c r="O439" s="15">
        <f>IF(MOD(L439,$B$11)=0,OFFSET(O439,-$B$11,0)+ $E$2*N439+$E$3*OFFSET(N439,-$B$11,0)+ $E$4*OFFSET(N439,-2* $B$11,0), O438)</f>
        <v/>
      </c>
      <c r="P439" s="15">
        <f>INT((2^$J$12-1)*O439/100)/(2^$J$12-1)*100</f>
        <v/>
      </c>
      <c r="Q439" s="15" t="n">
        <v>0</v>
      </c>
      <c r="R439" s="15">
        <f>P439+Q439</f>
        <v/>
      </c>
      <c r="S439" s="15">
        <f>$I$1*S438-$I$2*S437+$I$3*R418+$I$4*R417</f>
        <v/>
      </c>
      <c r="T439" s="15" t="n">
        <v>0</v>
      </c>
      <c r="U439" s="15">
        <f>S439+T439</f>
        <v/>
      </c>
      <c r="V439" s="15">
        <f>INT((2^$J$12-1)*U439/100)/(2^$J$12-1)*100</f>
        <v/>
      </c>
      <c r="X439" s="15">
        <f>M439 * 1.05</f>
        <v/>
      </c>
      <c r="Y439" s="15">
        <f>M439 * 0.95</f>
        <v/>
      </c>
      <c r="Z439" s="15">
        <f>IF(AND(V439 &lt;= X439, V439 &gt;= Y439), 1, 0)</f>
        <v/>
      </c>
      <c r="AC439" s="15">
        <f>N439^2</f>
        <v/>
      </c>
      <c r="AD439" s="15">
        <f>ABS(N439)</f>
        <v/>
      </c>
      <c r="AE439" s="15">
        <f>IF(M439&gt;0, ABS(N439)*(L439-$D$16),0)</f>
        <v/>
      </c>
    </row>
    <row r="440">
      <c r="L440" s="15" t="n">
        <v>438</v>
      </c>
      <c r="M440" s="15">
        <f>IF(L440&lt;$D$16,$D$12,IF(L440&lt;$E$16,$E$12,$F$13))</f>
        <v/>
      </c>
      <c r="N440" s="15">
        <f>M440-V440</f>
        <v/>
      </c>
      <c r="O440" s="15">
        <f>IF(MOD(L440,$B$11)=0,OFFSET(O440,-$B$11,0)+ $E$2*N440+$E$3*OFFSET(N440,-$B$11,0)+ $E$4*OFFSET(N440,-2* $B$11,0), O439)</f>
        <v/>
      </c>
      <c r="P440" s="15">
        <f>INT((2^$J$12-1)*O440/100)/(2^$J$12-1)*100</f>
        <v/>
      </c>
      <c r="Q440" s="15" t="n">
        <v>0</v>
      </c>
      <c r="R440" s="15">
        <f>P440+Q440</f>
        <v/>
      </c>
      <c r="S440" s="15">
        <f>$I$1*S439-$I$2*S438+$I$3*R419+$I$4*R418</f>
        <v/>
      </c>
      <c r="T440" s="15" t="n">
        <v>0</v>
      </c>
      <c r="U440" s="15">
        <f>S440+T440</f>
        <v/>
      </c>
      <c r="V440" s="15">
        <f>INT((2^$J$12-1)*U440/100)/(2^$J$12-1)*100</f>
        <v/>
      </c>
      <c r="X440" s="15">
        <f>M440 * 1.05</f>
        <v/>
      </c>
      <c r="Y440" s="15">
        <f>M440 * 0.95</f>
        <v/>
      </c>
      <c r="Z440" s="15">
        <f>IF(AND(V440 &lt;= X440, V440 &gt;= Y440), 1, 0)</f>
        <v/>
      </c>
      <c r="AC440" s="15">
        <f>N440^2</f>
        <v/>
      </c>
      <c r="AD440" s="15">
        <f>ABS(N440)</f>
        <v/>
      </c>
      <c r="AE440" s="15">
        <f>IF(M440&gt;0, ABS(N440)*(L440-$D$16),0)</f>
        <v/>
      </c>
    </row>
    <row r="441">
      <c r="L441" s="15" t="n">
        <v>439</v>
      </c>
      <c r="M441" s="15">
        <f>IF(L441&lt;$D$16,$D$12,IF(L441&lt;$E$16,$E$12,$F$13))</f>
        <v/>
      </c>
      <c r="N441" s="15">
        <f>M441-V441</f>
        <v/>
      </c>
      <c r="O441" s="15">
        <f>IF(MOD(L441,$B$11)=0,OFFSET(O441,-$B$11,0)+ $E$2*N441+$E$3*OFFSET(N441,-$B$11,0)+ $E$4*OFFSET(N441,-2* $B$11,0), O440)</f>
        <v/>
      </c>
      <c r="P441" s="15">
        <f>INT((2^$J$12-1)*O441/100)/(2^$J$12-1)*100</f>
        <v/>
      </c>
      <c r="Q441" s="15" t="n">
        <v>0</v>
      </c>
      <c r="R441" s="15">
        <f>P441+Q441</f>
        <v/>
      </c>
      <c r="S441" s="15">
        <f>$I$1*S440-$I$2*S439+$I$3*R420+$I$4*R419</f>
        <v/>
      </c>
      <c r="T441" s="15" t="n">
        <v>0</v>
      </c>
      <c r="U441" s="15">
        <f>S441+T441</f>
        <v/>
      </c>
      <c r="V441" s="15">
        <f>INT((2^$J$12-1)*U441/100)/(2^$J$12-1)*100</f>
        <v/>
      </c>
      <c r="X441" s="15">
        <f>M441 * 1.05</f>
        <v/>
      </c>
      <c r="Y441" s="15">
        <f>M441 * 0.95</f>
        <v/>
      </c>
      <c r="Z441" s="15">
        <f>IF(AND(V441 &lt;= X441, V441 &gt;= Y441), 1, 0)</f>
        <v/>
      </c>
      <c r="AC441" s="15">
        <f>N441^2</f>
        <v/>
      </c>
      <c r="AD441" s="15">
        <f>ABS(N441)</f>
        <v/>
      </c>
      <c r="AE441" s="15">
        <f>IF(M441&gt;0, ABS(N441)*(L441-$D$16),0)</f>
        <v/>
      </c>
    </row>
    <row r="442">
      <c r="L442" s="15" t="n">
        <v>440</v>
      </c>
      <c r="M442" s="15">
        <f>IF(L442&lt;$D$16,$D$12,IF(L442&lt;$E$16,$E$12,$F$13))</f>
        <v/>
      </c>
      <c r="N442" s="15">
        <f>M442-V442</f>
        <v/>
      </c>
      <c r="O442" s="15">
        <f>IF(MOD(L442,$B$11)=0,OFFSET(O442,-$B$11,0)+ $E$2*N442+$E$3*OFFSET(N442,-$B$11,0)+ $E$4*OFFSET(N442,-2* $B$11,0), O441)</f>
        <v/>
      </c>
      <c r="P442" s="15">
        <f>INT((2^$J$12-1)*O442/100)/(2^$J$12-1)*100</f>
        <v/>
      </c>
      <c r="Q442" s="15" t="n">
        <v>0</v>
      </c>
      <c r="R442" s="15">
        <f>P442+Q442</f>
        <v/>
      </c>
      <c r="S442" s="15">
        <f>$I$1*S441-$I$2*S440+$I$3*R421+$I$4*R420</f>
        <v/>
      </c>
      <c r="T442" s="15" t="n">
        <v>0</v>
      </c>
      <c r="U442" s="15">
        <f>S442+T442</f>
        <v/>
      </c>
      <c r="V442" s="15">
        <f>INT((2^$J$12-1)*U442/100)/(2^$J$12-1)*100</f>
        <v/>
      </c>
      <c r="X442" s="15">
        <f>M442 * 1.05</f>
        <v/>
      </c>
      <c r="Y442" s="15">
        <f>M442 * 0.95</f>
        <v/>
      </c>
      <c r="Z442" s="15">
        <f>IF(AND(V442 &lt;= X442, V442 &gt;= Y442), 1, 0)</f>
        <v/>
      </c>
      <c r="AC442" s="15">
        <f>N442^2</f>
        <v/>
      </c>
      <c r="AD442" s="15">
        <f>ABS(N442)</f>
        <v/>
      </c>
      <c r="AE442" s="15">
        <f>IF(M442&gt;0, ABS(N442)*(L442-$D$16),0)</f>
        <v/>
      </c>
    </row>
    <row r="443">
      <c r="L443" s="15" t="n">
        <v>441</v>
      </c>
      <c r="M443" s="15">
        <f>IF(L443&lt;$D$16,$D$12,IF(L443&lt;$E$16,$E$12,$F$13))</f>
        <v/>
      </c>
      <c r="N443" s="15">
        <f>M443-V443</f>
        <v/>
      </c>
      <c r="O443" s="15">
        <f>IF(MOD(L443,$B$11)=0,OFFSET(O443,-$B$11,0)+ $E$2*N443+$E$3*OFFSET(N443,-$B$11,0)+ $E$4*OFFSET(N443,-2* $B$11,0), O442)</f>
        <v/>
      </c>
      <c r="P443" s="15">
        <f>INT((2^$J$12-1)*O443/100)/(2^$J$12-1)*100</f>
        <v/>
      </c>
      <c r="Q443" s="15" t="n">
        <v>0</v>
      </c>
      <c r="R443" s="15">
        <f>P443+Q443</f>
        <v/>
      </c>
      <c r="S443" s="15">
        <f>$I$1*S442-$I$2*S441+$I$3*R422+$I$4*R421</f>
        <v/>
      </c>
      <c r="T443" s="15" t="n">
        <v>0</v>
      </c>
      <c r="U443" s="15">
        <f>S443+T443</f>
        <v/>
      </c>
      <c r="V443" s="15">
        <f>INT((2^$J$12-1)*U443/100)/(2^$J$12-1)*100</f>
        <v/>
      </c>
      <c r="X443" s="15">
        <f>M443 * 1.05</f>
        <v/>
      </c>
      <c r="Y443" s="15">
        <f>M443 * 0.95</f>
        <v/>
      </c>
      <c r="Z443" s="15">
        <f>IF(AND(V443 &lt;= X443, V443 &gt;= Y443), 1, 0)</f>
        <v/>
      </c>
      <c r="AC443" s="15">
        <f>N443^2</f>
        <v/>
      </c>
      <c r="AD443" s="15">
        <f>ABS(N443)</f>
        <v/>
      </c>
      <c r="AE443" s="15">
        <f>IF(M443&gt;0, ABS(N443)*(L443-$D$16),0)</f>
        <v/>
      </c>
    </row>
    <row r="444">
      <c r="L444" s="15" t="n">
        <v>442</v>
      </c>
      <c r="M444" s="15">
        <f>IF(L444&lt;$D$16,$D$12,IF(L444&lt;$E$16,$E$12,$F$13))</f>
        <v/>
      </c>
      <c r="N444" s="15">
        <f>M444-V444</f>
        <v/>
      </c>
      <c r="O444" s="15">
        <f>IF(MOD(L444,$B$11)=0,OFFSET(O444,-$B$11,0)+ $E$2*N444+$E$3*OFFSET(N444,-$B$11,0)+ $E$4*OFFSET(N444,-2* $B$11,0), O443)</f>
        <v/>
      </c>
      <c r="P444" s="15">
        <f>INT((2^$J$12-1)*O444/100)/(2^$J$12-1)*100</f>
        <v/>
      </c>
      <c r="Q444" s="15" t="n">
        <v>0</v>
      </c>
      <c r="R444" s="15">
        <f>P444+Q444</f>
        <v/>
      </c>
      <c r="S444" s="15">
        <f>$I$1*S443-$I$2*S442+$I$3*R423+$I$4*R422</f>
        <v/>
      </c>
      <c r="T444" s="15" t="n">
        <v>0</v>
      </c>
      <c r="U444" s="15">
        <f>S444+T444</f>
        <v/>
      </c>
      <c r="V444" s="15">
        <f>INT((2^$J$12-1)*U444/100)/(2^$J$12-1)*100</f>
        <v/>
      </c>
      <c r="X444" s="15">
        <f>M444 * 1.05</f>
        <v/>
      </c>
      <c r="Y444" s="15">
        <f>M444 * 0.95</f>
        <v/>
      </c>
      <c r="Z444" s="15">
        <f>IF(AND(V444 &lt;= X444, V444 &gt;= Y444), 1, 0)</f>
        <v/>
      </c>
      <c r="AC444" s="15">
        <f>N444^2</f>
        <v/>
      </c>
      <c r="AD444" s="15">
        <f>ABS(N444)</f>
        <v/>
      </c>
      <c r="AE444" s="15">
        <f>IF(M444&gt;0, ABS(N444)*(L444-$D$16),0)</f>
        <v/>
      </c>
    </row>
    <row r="445">
      <c r="L445" s="15" t="n">
        <v>443</v>
      </c>
      <c r="M445" s="15">
        <f>IF(L445&lt;$D$16,$D$12,IF(L445&lt;$E$16,$E$12,$F$13))</f>
        <v/>
      </c>
      <c r="N445" s="15">
        <f>M445-V445</f>
        <v/>
      </c>
      <c r="O445" s="15">
        <f>IF(MOD(L445,$B$11)=0,OFFSET(O445,-$B$11,0)+ $E$2*N445+$E$3*OFFSET(N445,-$B$11,0)+ $E$4*OFFSET(N445,-2* $B$11,0), O444)</f>
        <v/>
      </c>
      <c r="P445" s="15">
        <f>INT((2^$J$12-1)*O445/100)/(2^$J$12-1)*100</f>
        <v/>
      </c>
      <c r="Q445" s="15" t="n">
        <v>0</v>
      </c>
      <c r="R445" s="15">
        <f>P445+Q445</f>
        <v/>
      </c>
      <c r="S445" s="15">
        <f>$I$1*S444-$I$2*S443+$I$3*R424+$I$4*R423</f>
        <v/>
      </c>
      <c r="T445" s="15" t="n">
        <v>0</v>
      </c>
      <c r="U445" s="15">
        <f>S445+T445</f>
        <v/>
      </c>
      <c r="V445" s="15">
        <f>INT((2^$J$12-1)*U445/100)/(2^$J$12-1)*100</f>
        <v/>
      </c>
      <c r="X445" s="15">
        <f>M445 * 1.05</f>
        <v/>
      </c>
      <c r="Y445" s="15">
        <f>M445 * 0.95</f>
        <v/>
      </c>
      <c r="Z445" s="15">
        <f>IF(AND(V445 &lt;= X445, V445 &gt;= Y445), 1, 0)</f>
        <v/>
      </c>
      <c r="AC445" s="15">
        <f>N445^2</f>
        <v/>
      </c>
      <c r="AD445" s="15">
        <f>ABS(N445)</f>
        <v/>
      </c>
      <c r="AE445" s="15">
        <f>IF(M445&gt;0, ABS(N445)*(L445-$D$16),0)</f>
        <v/>
      </c>
    </row>
    <row r="446">
      <c r="L446" s="15" t="n">
        <v>444</v>
      </c>
      <c r="M446" s="15">
        <f>IF(L446&lt;$D$16,$D$12,IF(L446&lt;$E$16,$E$12,$F$13))</f>
        <v/>
      </c>
      <c r="N446" s="15">
        <f>M446-V446</f>
        <v/>
      </c>
      <c r="O446" s="15">
        <f>IF(MOD(L446,$B$11)=0,OFFSET(O446,-$B$11,0)+ $E$2*N446+$E$3*OFFSET(N446,-$B$11,0)+ $E$4*OFFSET(N446,-2* $B$11,0), O445)</f>
        <v/>
      </c>
      <c r="P446" s="15">
        <f>INT((2^$J$12-1)*O446/100)/(2^$J$12-1)*100</f>
        <v/>
      </c>
      <c r="Q446" s="15" t="n">
        <v>0</v>
      </c>
      <c r="R446" s="15">
        <f>P446+Q446</f>
        <v/>
      </c>
      <c r="S446" s="15">
        <f>$I$1*S445-$I$2*S444+$I$3*R425+$I$4*R424</f>
        <v/>
      </c>
      <c r="T446" s="15" t="n">
        <v>0</v>
      </c>
      <c r="U446" s="15">
        <f>S446+T446</f>
        <v/>
      </c>
      <c r="V446" s="15">
        <f>INT((2^$J$12-1)*U446/100)/(2^$J$12-1)*100</f>
        <v/>
      </c>
      <c r="X446" s="15">
        <f>M446 * 1.05</f>
        <v/>
      </c>
      <c r="Y446" s="15">
        <f>M446 * 0.95</f>
        <v/>
      </c>
      <c r="Z446" s="15">
        <f>IF(AND(V446 &lt;= X446, V446 &gt;= Y446), 1, 0)</f>
        <v/>
      </c>
      <c r="AC446" s="15">
        <f>N446^2</f>
        <v/>
      </c>
      <c r="AD446" s="15">
        <f>ABS(N446)</f>
        <v/>
      </c>
      <c r="AE446" s="15">
        <f>IF(M446&gt;0, ABS(N446)*(L446-$D$16),0)</f>
        <v/>
      </c>
    </row>
    <row r="447">
      <c r="L447" s="15" t="n">
        <v>445</v>
      </c>
      <c r="M447" s="15">
        <f>IF(L447&lt;$D$16,$D$12,IF(L447&lt;$E$16,$E$12,$F$13))</f>
        <v/>
      </c>
      <c r="N447" s="15">
        <f>M447-V447</f>
        <v/>
      </c>
      <c r="O447" s="15">
        <f>IF(MOD(L447,$B$11)=0,OFFSET(O447,-$B$11,0)+ $E$2*N447+$E$3*OFFSET(N447,-$B$11,0)+ $E$4*OFFSET(N447,-2* $B$11,0), O446)</f>
        <v/>
      </c>
      <c r="P447" s="15">
        <f>INT((2^$J$12-1)*O447/100)/(2^$J$12-1)*100</f>
        <v/>
      </c>
      <c r="Q447" s="15" t="n">
        <v>0</v>
      </c>
      <c r="R447" s="15">
        <f>P447+Q447</f>
        <v/>
      </c>
      <c r="S447" s="15">
        <f>$I$1*S446-$I$2*S445+$I$3*R426+$I$4*R425</f>
        <v/>
      </c>
      <c r="T447" s="15" t="n">
        <v>0</v>
      </c>
      <c r="U447" s="15">
        <f>S447+T447</f>
        <v/>
      </c>
      <c r="V447" s="15">
        <f>INT((2^$J$12-1)*U447/100)/(2^$J$12-1)*100</f>
        <v/>
      </c>
      <c r="X447" s="15">
        <f>M447 * 1.05</f>
        <v/>
      </c>
      <c r="Y447" s="15">
        <f>M447 * 0.95</f>
        <v/>
      </c>
      <c r="Z447" s="15">
        <f>IF(AND(V447 &lt;= X447, V447 &gt;= Y447), 1, 0)</f>
        <v/>
      </c>
      <c r="AC447" s="15">
        <f>N447^2</f>
        <v/>
      </c>
      <c r="AD447" s="15">
        <f>ABS(N447)</f>
        <v/>
      </c>
      <c r="AE447" s="15">
        <f>IF(M447&gt;0, ABS(N447)*(L447-$D$16),0)</f>
        <v/>
      </c>
    </row>
    <row r="448">
      <c r="L448" s="15" t="n">
        <v>446</v>
      </c>
      <c r="M448" s="15">
        <f>IF(L448&lt;$D$16,$D$12,IF(L448&lt;$E$16,$E$12,$F$13))</f>
        <v/>
      </c>
      <c r="N448" s="15">
        <f>M448-V448</f>
        <v/>
      </c>
      <c r="O448" s="15">
        <f>IF(MOD(L448,$B$11)=0,OFFSET(O448,-$B$11,0)+ $E$2*N448+$E$3*OFFSET(N448,-$B$11,0)+ $E$4*OFFSET(N448,-2* $B$11,0), O447)</f>
        <v/>
      </c>
      <c r="P448" s="15">
        <f>INT((2^$J$12-1)*O448/100)/(2^$J$12-1)*100</f>
        <v/>
      </c>
      <c r="Q448" s="15" t="n">
        <v>0</v>
      </c>
      <c r="R448" s="15">
        <f>P448+Q448</f>
        <v/>
      </c>
      <c r="S448" s="15">
        <f>$I$1*S447-$I$2*S446+$I$3*R427+$I$4*R426</f>
        <v/>
      </c>
      <c r="T448" s="15" t="n">
        <v>0</v>
      </c>
      <c r="U448" s="15">
        <f>S448+T448</f>
        <v/>
      </c>
      <c r="V448" s="15">
        <f>INT((2^$J$12-1)*U448/100)/(2^$J$12-1)*100</f>
        <v/>
      </c>
      <c r="X448" s="15">
        <f>M448 * 1.05</f>
        <v/>
      </c>
      <c r="Y448" s="15">
        <f>M448 * 0.95</f>
        <v/>
      </c>
      <c r="Z448" s="15">
        <f>IF(AND(V448 &lt;= X448, V448 &gt;= Y448), 1, 0)</f>
        <v/>
      </c>
      <c r="AC448" s="15">
        <f>N448^2</f>
        <v/>
      </c>
      <c r="AD448" s="15">
        <f>ABS(N448)</f>
        <v/>
      </c>
      <c r="AE448" s="15">
        <f>IF(M448&gt;0, ABS(N448)*(L448-$D$16),0)</f>
        <v/>
      </c>
    </row>
    <row r="449">
      <c r="L449" s="15" t="n">
        <v>447</v>
      </c>
      <c r="M449" s="15">
        <f>IF(L449&lt;$D$16,$D$12,IF(L449&lt;$E$16,$E$12,$F$13))</f>
        <v/>
      </c>
      <c r="N449" s="15">
        <f>M449-V449</f>
        <v/>
      </c>
      <c r="O449" s="15">
        <f>IF(MOD(L449,$B$11)=0,OFFSET(O449,-$B$11,0)+ $E$2*N449+$E$3*OFFSET(N449,-$B$11,0)+ $E$4*OFFSET(N449,-2* $B$11,0), O448)</f>
        <v/>
      </c>
      <c r="P449" s="15">
        <f>INT((2^$J$12-1)*O449/100)/(2^$J$12-1)*100</f>
        <v/>
      </c>
      <c r="Q449" s="15" t="n">
        <v>0</v>
      </c>
      <c r="R449" s="15">
        <f>P449+Q449</f>
        <v/>
      </c>
      <c r="S449" s="15">
        <f>$I$1*S448-$I$2*S447+$I$3*R428+$I$4*R427</f>
        <v/>
      </c>
      <c r="T449" s="15" t="n">
        <v>0</v>
      </c>
      <c r="U449" s="15">
        <f>S449+T449</f>
        <v/>
      </c>
      <c r="V449" s="15">
        <f>INT((2^$J$12-1)*U449/100)/(2^$J$12-1)*100</f>
        <v/>
      </c>
      <c r="X449" s="15">
        <f>M449 * 1.05</f>
        <v/>
      </c>
      <c r="Y449" s="15">
        <f>M449 * 0.95</f>
        <v/>
      </c>
      <c r="Z449" s="15">
        <f>IF(AND(V449 &lt;= X449, V449 &gt;= Y449), 1, 0)</f>
        <v/>
      </c>
      <c r="AC449" s="15">
        <f>N449^2</f>
        <v/>
      </c>
      <c r="AD449" s="15">
        <f>ABS(N449)</f>
        <v/>
      </c>
      <c r="AE449" s="15">
        <f>IF(M449&gt;0, ABS(N449)*(L449-$D$16),0)</f>
        <v/>
      </c>
    </row>
    <row r="450">
      <c r="L450" s="15" t="n">
        <v>448</v>
      </c>
      <c r="M450" s="15">
        <f>IF(L450&lt;$D$16,$D$12,IF(L450&lt;$E$16,$E$12,$F$13))</f>
        <v/>
      </c>
      <c r="N450" s="15">
        <f>M450-V450</f>
        <v/>
      </c>
      <c r="O450" s="15">
        <f>IF(MOD(L450,$B$11)=0,OFFSET(O450,-$B$11,0)+ $E$2*N450+$E$3*OFFSET(N450,-$B$11,0)+ $E$4*OFFSET(N450,-2* $B$11,0), O449)</f>
        <v/>
      </c>
      <c r="P450" s="15">
        <f>INT((2^$J$12-1)*O450/100)/(2^$J$12-1)*100</f>
        <v/>
      </c>
      <c r="Q450" s="15" t="n">
        <v>0</v>
      </c>
      <c r="R450" s="15">
        <f>P450+Q450</f>
        <v/>
      </c>
      <c r="S450" s="15">
        <f>$I$1*S449-$I$2*S448+$I$3*R429+$I$4*R428</f>
        <v/>
      </c>
      <c r="T450" s="15" t="n">
        <v>0</v>
      </c>
      <c r="U450" s="15">
        <f>S450+T450</f>
        <v/>
      </c>
      <c r="V450" s="15">
        <f>INT((2^$J$12-1)*U450/100)/(2^$J$12-1)*100</f>
        <v/>
      </c>
      <c r="X450" s="15">
        <f>M450 * 1.05</f>
        <v/>
      </c>
      <c r="Y450" s="15">
        <f>M450 * 0.95</f>
        <v/>
      </c>
      <c r="Z450" s="15">
        <f>IF(AND(V450 &lt;= X450, V450 &gt;= Y450), 1, 0)</f>
        <v/>
      </c>
      <c r="AC450" s="15">
        <f>N450^2</f>
        <v/>
      </c>
      <c r="AD450" s="15">
        <f>ABS(N450)</f>
        <v/>
      </c>
      <c r="AE450" s="15">
        <f>IF(M450&gt;0, ABS(N450)*(L450-$D$16),0)</f>
        <v/>
      </c>
    </row>
    <row r="451">
      <c r="L451" s="15" t="n">
        <v>449</v>
      </c>
      <c r="M451" s="15">
        <f>IF(L451&lt;$D$16,$D$12,IF(L451&lt;$E$16,$E$12,$F$13))</f>
        <v/>
      </c>
      <c r="N451" s="15">
        <f>M451-V451</f>
        <v/>
      </c>
      <c r="O451" s="15">
        <f>IF(MOD(L451,$B$11)=0,OFFSET(O451,-$B$11,0)+ $E$2*N451+$E$3*OFFSET(N451,-$B$11,0)+ $E$4*OFFSET(N451,-2* $B$11,0), O450)</f>
        <v/>
      </c>
      <c r="P451" s="15">
        <f>INT((2^$J$12-1)*O451/100)/(2^$J$12-1)*100</f>
        <v/>
      </c>
      <c r="Q451" s="15" t="n">
        <v>0</v>
      </c>
      <c r="R451" s="15">
        <f>P451+Q451</f>
        <v/>
      </c>
      <c r="S451" s="15">
        <f>$I$1*S450-$I$2*S449+$I$3*R430+$I$4*R429</f>
        <v/>
      </c>
      <c r="T451" s="15" t="n">
        <v>0</v>
      </c>
      <c r="U451" s="15">
        <f>S451+T451</f>
        <v/>
      </c>
      <c r="V451" s="15">
        <f>INT((2^$J$12-1)*U451/100)/(2^$J$12-1)*100</f>
        <v/>
      </c>
      <c r="X451" s="15">
        <f>M451 * 1.05</f>
        <v/>
      </c>
      <c r="Y451" s="15">
        <f>M451 * 0.95</f>
        <v/>
      </c>
      <c r="Z451" s="15">
        <f>IF(AND(V451 &lt;= X451, V451 &gt;= Y451), 1, 0)</f>
        <v/>
      </c>
      <c r="AC451" s="15">
        <f>N451^2</f>
        <v/>
      </c>
      <c r="AD451" s="15">
        <f>ABS(N451)</f>
        <v/>
      </c>
      <c r="AE451" s="15">
        <f>IF(M451&gt;0, ABS(N451)*(L451-$D$16),0)</f>
        <v/>
      </c>
    </row>
    <row r="452">
      <c r="L452" s="15" t="n">
        <v>450</v>
      </c>
      <c r="M452" s="15">
        <f>IF(L452&lt;$D$16,$D$12,IF(L452&lt;$E$16,$E$12,$F$13))</f>
        <v/>
      </c>
      <c r="N452" s="15">
        <f>M452-V452</f>
        <v/>
      </c>
      <c r="O452" s="15">
        <f>IF(MOD(L452,$B$11)=0,OFFSET(O452,-$B$11,0)+ $E$2*N452+$E$3*OFFSET(N452,-$B$11,0)+ $E$4*OFFSET(N452,-2* $B$11,0), O451)</f>
        <v/>
      </c>
      <c r="P452" s="15">
        <f>INT((2^$J$12-1)*O452/100)/(2^$J$12-1)*100</f>
        <v/>
      </c>
      <c r="Q452" s="15" t="n">
        <v>0</v>
      </c>
      <c r="R452" s="15">
        <f>P452+Q452</f>
        <v/>
      </c>
      <c r="S452" s="15">
        <f>$I$1*S451-$I$2*S450+$I$3*R431+$I$4*R430</f>
        <v/>
      </c>
      <c r="T452" s="15" t="n">
        <v>0</v>
      </c>
      <c r="U452" s="15">
        <f>S452+T452</f>
        <v/>
      </c>
      <c r="V452" s="15">
        <f>INT((2^$J$12-1)*U452/100)/(2^$J$12-1)*100</f>
        <v/>
      </c>
      <c r="X452" s="15">
        <f>M452 * 1.05</f>
        <v/>
      </c>
      <c r="Y452" s="15">
        <f>M452 * 0.95</f>
        <v/>
      </c>
      <c r="Z452" s="15">
        <f>IF(AND(V452 &lt;= X452, V452 &gt;= Y452), 1, 0)</f>
        <v/>
      </c>
      <c r="AC452" s="15">
        <f>N452^2</f>
        <v/>
      </c>
      <c r="AD452" s="15">
        <f>ABS(N452)</f>
        <v/>
      </c>
      <c r="AE452" s="15">
        <f>IF(M452&gt;0, ABS(N452)*(L452-$D$16),0)</f>
        <v/>
      </c>
    </row>
    <row r="453">
      <c r="L453" s="15" t="n">
        <v>451</v>
      </c>
      <c r="M453" s="15">
        <f>IF(L453&lt;$D$16,$D$12,IF(L453&lt;$E$16,$E$12,$F$13))</f>
        <v/>
      </c>
      <c r="N453" s="15">
        <f>M453-V453</f>
        <v/>
      </c>
      <c r="O453" s="15">
        <f>IF(MOD(L453,$B$11)=0,OFFSET(O453,-$B$11,0)+ $E$2*N453+$E$3*OFFSET(N453,-$B$11,0)+ $E$4*OFFSET(N453,-2* $B$11,0), O452)</f>
        <v/>
      </c>
      <c r="P453" s="15">
        <f>INT((2^$J$12-1)*O453/100)/(2^$J$12-1)*100</f>
        <v/>
      </c>
      <c r="Q453" s="15" t="n">
        <v>0</v>
      </c>
      <c r="R453" s="15">
        <f>P453+Q453</f>
        <v/>
      </c>
      <c r="S453" s="15">
        <f>$I$1*S452-$I$2*S451+$I$3*R432+$I$4*R431</f>
        <v/>
      </c>
      <c r="T453" s="15" t="n">
        <v>0</v>
      </c>
      <c r="U453" s="15">
        <f>S453+T453</f>
        <v/>
      </c>
      <c r="V453" s="15">
        <f>INT((2^$J$12-1)*U453/100)/(2^$J$12-1)*100</f>
        <v/>
      </c>
      <c r="X453" s="15">
        <f>M453 * 1.05</f>
        <v/>
      </c>
      <c r="Y453" s="15">
        <f>M453 * 0.95</f>
        <v/>
      </c>
      <c r="Z453" s="15">
        <f>IF(AND(V453 &lt;= X453, V453 &gt;= Y453), 1, 0)</f>
        <v/>
      </c>
      <c r="AC453" s="15">
        <f>N453^2</f>
        <v/>
      </c>
      <c r="AD453" s="15">
        <f>ABS(N453)</f>
        <v/>
      </c>
      <c r="AE453" s="15">
        <f>IF(M453&gt;0, ABS(N453)*(L453-$D$16),0)</f>
        <v/>
      </c>
    </row>
    <row r="454">
      <c r="L454" s="15" t="n">
        <v>452</v>
      </c>
      <c r="M454" s="15">
        <f>IF(L454&lt;$D$16,$D$12,IF(L454&lt;$E$16,$E$12,$F$13))</f>
        <v/>
      </c>
      <c r="N454" s="15">
        <f>M454-V454</f>
        <v/>
      </c>
      <c r="O454" s="15">
        <f>IF(MOD(L454,$B$11)=0,OFFSET(O454,-$B$11,0)+ $E$2*N454+$E$3*OFFSET(N454,-$B$11,0)+ $E$4*OFFSET(N454,-2* $B$11,0), O453)</f>
        <v/>
      </c>
      <c r="P454" s="15">
        <f>INT((2^$J$12-1)*O454/100)/(2^$J$12-1)*100</f>
        <v/>
      </c>
      <c r="Q454" s="15" t="n">
        <v>0</v>
      </c>
      <c r="R454" s="15">
        <f>P454+Q454</f>
        <v/>
      </c>
      <c r="S454" s="15">
        <f>$I$1*S453-$I$2*S452+$I$3*R433+$I$4*R432</f>
        <v/>
      </c>
      <c r="T454" s="15" t="n">
        <v>0</v>
      </c>
      <c r="U454" s="15">
        <f>S454+T454</f>
        <v/>
      </c>
      <c r="V454" s="15">
        <f>INT((2^$J$12-1)*U454/100)/(2^$J$12-1)*100</f>
        <v/>
      </c>
      <c r="X454" s="15">
        <f>M454 * 1.05</f>
        <v/>
      </c>
      <c r="Y454" s="15">
        <f>M454 * 0.95</f>
        <v/>
      </c>
      <c r="Z454" s="15">
        <f>IF(AND(V454 &lt;= X454, V454 &gt;= Y454), 1, 0)</f>
        <v/>
      </c>
      <c r="AC454" s="15">
        <f>N454^2</f>
        <v/>
      </c>
      <c r="AD454" s="15">
        <f>ABS(N454)</f>
        <v/>
      </c>
      <c r="AE454" s="15">
        <f>IF(M454&gt;0, ABS(N454)*(L454-$D$16),0)</f>
        <v/>
      </c>
    </row>
    <row r="455">
      <c r="L455" s="15" t="n">
        <v>453</v>
      </c>
      <c r="M455" s="15">
        <f>IF(L455&lt;$D$16,$D$12,IF(L455&lt;$E$16,$E$12,$F$13))</f>
        <v/>
      </c>
      <c r="N455" s="15">
        <f>M455-V455</f>
        <v/>
      </c>
      <c r="O455" s="15">
        <f>IF(MOD(L455,$B$11)=0,OFFSET(O455,-$B$11,0)+ $E$2*N455+$E$3*OFFSET(N455,-$B$11,0)+ $E$4*OFFSET(N455,-2* $B$11,0), O454)</f>
        <v/>
      </c>
      <c r="P455" s="15">
        <f>INT((2^$J$12-1)*O455/100)/(2^$J$12-1)*100</f>
        <v/>
      </c>
      <c r="Q455" s="15" t="n">
        <v>0</v>
      </c>
      <c r="R455" s="15">
        <f>P455+Q455</f>
        <v/>
      </c>
      <c r="S455" s="15">
        <f>$I$1*S454-$I$2*S453+$I$3*R434+$I$4*R433</f>
        <v/>
      </c>
      <c r="T455" s="15" t="n">
        <v>0</v>
      </c>
      <c r="U455" s="15">
        <f>S455+T455</f>
        <v/>
      </c>
      <c r="V455" s="15">
        <f>INT((2^$J$12-1)*U455/100)/(2^$J$12-1)*100</f>
        <v/>
      </c>
      <c r="X455" s="15">
        <f>M455 * 1.05</f>
        <v/>
      </c>
      <c r="Y455" s="15">
        <f>M455 * 0.95</f>
        <v/>
      </c>
      <c r="Z455" s="15">
        <f>IF(AND(V455 &lt;= X455, V455 &gt;= Y455), 1, 0)</f>
        <v/>
      </c>
      <c r="AC455" s="15">
        <f>N455^2</f>
        <v/>
      </c>
      <c r="AD455" s="15">
        <f>ABS(N455)</f>
        <v/>
      </c>
      <c r="AE455" s="15">
        <f>IF(M455&gt;0, ABS(N455)*(L455-$D$16),0)</f>
        <v/>
      </c>
    </row>
    <row r="456">
      <c r="L456" s="15" t="n">
        <v>454</v>
      </c>
      <c r="M456" s="15">
        <f>IF(L456&lt;$D$16,$D$12,IF(L456&lt;$E$16,$E$12,$F$13))</f>
        <v/>
      </c>
      <c r="N456" s="15">
        <f>M456-V456</f>
        <v/>
      </c>
      <c r="O456" s="15">
        <f>IF(MOD(L456,$B$11)=0,OFFSET(O456,-$B$11,0)+ $E$2*N456+$E$3*OFFSET(N456,-$B$11,0)+ $E$4*OFFSET(N456,-2* $B$11,0), O455)</f>
        <v/>
      </c>
      <c r="P456" s="15">
        <f>INT((2^$J$12-1)*O456/100)/(2^$J$12-1)*100</f>
        <v/>
      </c>
      <c r="Q456" s="15" t="n">
        <v>0</v>
      </c>
      <c r="R456" s="15">
        <f>P456+Q456</f>
        <v/>
      </c>
      <c r="S456" s="15">
        <f>$I$1*S455-$I$2*S454+$I$3*R435+$I$4*R434</f>
        <v/>
      </c>
      <c r="T456" s="15" t="n">
        <v>0</v>
      </c>
      <c r="U456" s="15">
        <f>S456+T456</f>
        <v/>
      </c>
      <c r="V456" s="15">
        <f>INT((2^$J$12-1)*U456/100)/(2^$J$12-1)*100</f>
        <v/>
      </c>
      <c r="X456" s="15">
        <f>M456 * 1.05</f>
        <v/>
      </c>
      <c r="Y456" s="15">
        <f>M456 * 0.95</f>
        <v/>
      </c>
      <c r="Z456" s="15">
        <f>IF(AND(V456 &lt;= X456, V456 &gt;= Y456), 1, 0)</f>
        <v/>
      </c>
      <c r="AC456" s="15">
        <f>N456^2</f>
        <v/>
      </c>
      <c r="AD456" s="15">
        <f>ABS(N456)</f>
        <v/>
      </c>
      <c r="AE456" s="15">
        <f>IF(M456&gt;0, ABS(N456)*(L456-$D$16),0)</f>
        <v/>
      </c>
    </row>
    <row r="457">
      <c r="L457" s="15" t="n">
        <v>455</v>
      </c>
      <c r="M457" s="15">
        <f>IF(L457&lt;$D$16,$D$12,IF(L457&lt;$E$16,$E$12,$F$13))</f>
        <v/>
      </c>
      <c r="N457" s="15">
        <f>M457-V457</f>
        <v/>
      </c>
      <c r="O457" s="15">
        <f>IF(MOD(L457,$B$11)=0,OFFSET(O457,-$B$11,0)+ $E$2*N457+$E$3*OFFSET(N457,-$B$11,0)+ $E$4*OFFSET(N457,-2* $B$11,0), O456)</f>
        <v/>
      </c>
      <c r="P457" s="15">
        <f>INT((2^$J$12-1)*O457/100)/(2^$J$12-1)*100</f>
        <v/>
      </c>
      <c r="Q457" s="15" t="n">
        <v>0</v>
      </c>
      <c r="R457" s="15">
        <f>P457+Q457</f>
        <v/>
      </c>
      <c r="S457" s="15">
        <f>$I$1*S456-$I$2*S455+$I$3*R436+$I$4*R435</f>
        <v/>
      </c>
      <c r="T457" s="15" t="n">
        <v>0</v>
      </c>
      <c r="U457" s="15">
        <f>S457+T457</f>
        <v/>
      </c>
      <c r="V457" s="15">
        <f>INT((2^$J$12-1)*U457/100)/(2^$J$12-1)*100</f>
        <v/>
      </c>
      <c r="X457" s="15">
        <f>M457 * 1.05</f>
        <v/>
      </c>
      <c r="Y457" s="15">
        <f>M457 * 0.95</f>
        <v/>
      </c>
      <c r="Z457" s="15">
        <f>IF(AND(V457 &lt;= X457, V457 &gt;= Y457), 1, 0)</f>
        <v/>
      </c>
      <c r="AC457" s="15">
        <f>N457^2</f>
        <v/>
      </c>
      <c r="AD457" s="15">
        <f>ABS(N457)</f>
        <v/>
      </c>
      <c r="AE457" s="15">
        <f>IF(M457&gt;0, ABS(N457)*(L457-$D$16),0)</f>
        <v/>
      </c>
    </row>
    <row r="458">
      <c r="L458" s="15" t="n">
        <v>456</v>
      </c>
      <c r="M458" s="15">
        <f>IF(L458&lt;$D$16,$D$12,IF(L458&lt;$E$16,$E$12,$F$13))</f>
        <v/>
      </c>
      <c r="N458" s="15">
        <f>M458-V458</f>
        <v/>
      </c>
      <c r="O458" s="15">
        <f>IF(MOD(L458,$B$11)=0,OFFSET(O458,-$B$11,0)+ $E$2*N458+$E$3*OFFSET(N458,-$B$11,0)+ $E$4*OFFSET(N458,-2* $B$11,0), O457)</f>
        <v/>
      </c>
      <c r="P458" s="15">
        <f>INT((2^$J$12-1)*O458/100)/(2^$J$12-1)*100</f>
        <v/>
      </c>
      <c r="Q458" s="15" t="n">
        <v>0</v>
      </c>
      <c r="R458" s="15">
        <f>P458+Q458</f>
        <v/>
      </c>
      <c r="S458" s="15">
        <f>$I$1*S457-$I$2*S456+$I$3*R437+$I$4*R436</f>
        <v/>
      </c>
      <c r="T458" s="15" t="n">
        <v>0</v>
      </c>
      <c r="U458" s="15">
        <f>S458+T458</f>
        <v/>
      </c>
      <c r="V458" s="15">
        <f>INT((2^$J$12-1)*U458/100)/(2^$J$12-1)*100</f>
        <v/>
      </c>
      <c r="X458" s="15">
        <f>M458 * 1.05</f>
        <v/>
      </c>
      <c r="Y458" s="15">
        <f>M458 * 0.95</f>
        <v/>
      </c>
      <c r="Z458" s="15">
        <f>IF(AND(V458 &lt;= X458, V458 &gt;= Y458), 1, 0)</f>
        <v/>
      </c>
      <c r="AC458" s="15">
        <f>N458^2</f>
        <v/>
      </c>
      <c r="AD458" s="15">
        <f>ABS(N458)</f>
        <v/>
      </c>
      <c r="AE458" s="15">
        <f>IF(M458&gt;0, ABS(N458)*(L458-$D$16),0)</f>
        <v/>
      </c>
    </row>
    <row r="459">
      <c r="L459" s="15" t="n">
        <v>457</v>
      </c>
      <c r="M459" s="15">
        <f>IF(L459&lt;$D$16,$D$12,IF(L459&lt;$E$16,$E$12,$F$13))</f>
        <v/>
      </c>
      <c r="N459" s="15">
        <f>M459-V459</f>
        <v/>
      </c>
      <c r="O459" s="15">
        <f>IF(MOD(L459,$B$11)=0,OFFSET(O459,-$B$11,0)+ $E$2*N459+$E$3*OFFSET(N459,-$B$11,0)+ $E$4*OFFSET(N459,-2* $B$11,0), O458)</f>
        <v/>
      </c>
      <c r="P459" s="15">
        <f>INT((2^$J$12-1)*O459/100)/(2^$J$12-1)*100</f>
        <v/>
      </c>
      <c r="Q459" s="15" t="n">
        <v>0</v>
      </c>
      <c r="R459" s="15">
        <f>P459+Q459</f>
        <v/>
      </c>
      <c r="S459" s="15">
        <f>$I$1*S458-$I$2*S457+$I$3*R438+$I$4*R437</f>
        <v/>
      </c>
      <c r="T459" s="15" t="n">
        <v>0</v>
      </c>
      <c r="U459" s="15">
        <f>S459+T459</f>
        <v/>
      </c>
      <c r="V459" s="15">
        <f>INT((2^$J$12-1)*U459/100)/(2^$J$12-1)*100</f>
        <v/>
      </c>
      <c r="X459" s="15">
        <f>M459 * 1.05</f>
        <v/>
      </c>
      <c r="Y459" s="15">
        <f>M459 * 0.95</f>
        <v/>
      </c>
      <c r="Z459" s="15">
        <f>IF(AND(V459 &lt;= X459, V459 &gt;= Y459), 1, 0)</f>
        <v/>
      </c>
      <c r="AC459" s="15">
        <f>N459^2</f>
        <v/>
      </c>
      <c r="AD459" s="15">
        <f>ABS(N459)</f>
        <v/>
      </c>
      <c r="AE459" s="15">
        <f>IF(M459&gt;0, ABS(N459)*(L459-$D$16),0)</f>
        <v/>
      </c>
    </row>
    <row r="460">
      <c r="L460" s="15" t="n">
        <v>458</v>
      </c>
      <c r="M460" s="15">
        <f>IF(L460&lt;$D$16,$D$12,IF(L460&lt;$E$16,$E$12,$F$13))</f>
        <v/>
      </c>
      <c r="N460" s="15">
        <f>M460-V460</f>
        <v/>
      </c>
      <c r="O460" s="15">
        <f>IF(MOD(L460,$B$11)=0,OFFSET(O460,-$B$11,0)+ $E$2*N460+$E$3*OFFSET(N460,-$B$11,0)+ $E$4*OFFSET(N460,-2* $B$11,0), O459)</f>
        <v/>
      </c>
      <c r="P460" s="15">
        <f>INT((2^$J$12-1)*O460/100)/(2^$J$12-1)*100</f>
        <v/>
      </c>
      <c r="Q460" s="15" t="n">
        <v>0</v>
      </c>
      <c r="R460" s="15">
        <f>P460+Q460</f>
        <v/>
      </c>
      <c r="S460" s="15">
        <f>$I$1*S459-$I$2*S458+$I$3*R439+$I$4*R438</f>
        <v/>
      </c>
      <c r="T460" s="15" t="n">
        <v>0</v>
      </c>
      <c r="U460" s="15">
        <f>S460+T460</f>
        <v/>
      </c>
      <c r="V460" s="15">
        <f>INT((2^$J$12-1)*U460/100)/(2^$J$12-1)*100</f>
        <v/>
      </c>
      <c r="X460" s="15">
        <f>M460 * 1.05</f>
        <v/>
      </c>
      <c r="Y460" s="15">
        <f>M460 * 0.95</f>
        <v/>
      </c>
      <c r="Z460" s="15">
        <f>IF(AND(V460 &lt;= X460, V460 &gt;= Y460), 1, 0)</f>
        <v/>
      </c>
      <c r="AC460" s="15">
        <f>N460^2</f>
        <v/>
      </c>
      <c r="AD460" s="15">
        <f>ABS(N460)</f>
        <v/>
      </c>
      <c r="AE460" s="15">
        <f>IF(M460&gt;0, ABS(N460)*(L460-$D$16),0)</f>
        <v/>
      </c>
    </row>
    <row r="461">
      <c r="L461" s="15" t="n">
        <v>459</v>
      </c>
      <c r="M461" s="15">
        <f>IF(L461&lt;$D$16,$D$12,IF(L461&lt;$E$16,$E$12,$F$13))</f>
        <v/>
      </c>
      <c r="N461" s="15">
        <f>M461-V461</f>
        <v/>
      </c>
      <c r="O461" s="15">
        <f>IF(MOD(L461,$B$11)=0,OFFSET(O461,-$B$11,0)+ $E$2*N461+$E$3*OFFSET(N461,-$B$11,0)+ $E$4*OFFSET(N461,-2* $B$11,0), O460)</f>
        <v/>
      </c>
      <c r="P461" s="15">
        <f>INT((2^$J$12-1)*O461/100)/(2^$J$12-1)*100</f>
        <v/>
      </c>
      <c r="Q461" s="15" t="n">
        <v>0</v>
      </c>
      <c r="R461" s="15">
        <f>P461+Q461</f>
        <v/>
      </c>
      <c r="S461" s="15">
        <f>$I$1*S460-$I$2*S459+$I$3*R440+$I$4*R439</f>
        <v/>
      </c>
      <c r="T461" s="15" t="n">
        <v>0</v>
      </c>
      <c r="U461" s="15">
        <f>S461+T461</f>
        <v/>
      </c>
      <c r="V461" s="15">
        <f>INT((2^$J$12-1)*U461/100)/(2^$J$12-1)*100</f>
        <v/>
      </c>
      <c r="X461" s="15">
        <f>M461 * 1.05</f>
        <v/>
      </c>
      <c r="Y461" s="15">
        <f>M461 * 0.95</f>
        <v/>
      </c>
      <c r="Z461" s="15">
        <f>IF(AND(V461 &lt;= X461, V461 &gt;= Y461), 1, 0)</f>
        <v/>
      </c>
      <c r="AC461" s="15">
        <f>N461^2</f>
        <v/>
      </c>
      <c r="AD461" s="15">
        <f>ABS(N461)</f>
        <v/>
      </c>
      <c r="AE461" s="15">
        <f>IF(M461&gt;0, ABS(N461)*(L461-$D$16),0)</f>
        <v/>
      </c>
    </row>
    <row r="462">
      <c r="L462" s="15" t="n">
        <v>460</v>
      </c>
      <c r="M462" s="15">
        <f>IF(L462&lt;$D$16,$D$12,IF(L462&lt;$E$16,$E$12,$F$13))</f>
        <v/>
      </c>
      <c r="N462" s="15">
        <f>M462-V462</f>
        <v/>
      </c>
      <c r="O462" s="15">
        <f>IF(MOD(L462,$B$11)=0,OFFSET(O462,-$B$11,0)+ $E$2*N462+$E$3*OFFSET(N462,-$B$11,0)+ $E$4*OFFSET(N462,-2* $B$11,0), O461)</f>
        <v/>
      </c>
      <c r="P462" s="15">
        <f>INT((2^$J$12-1)*O462/100)/(2^$J$12-1)*100</f>
        <v/>
      </c>
      <c r="Q462" s="15" t="n">
        <v>0</v>
      </c>
      <c r="R462" s="15">
        <f>P462+Q462</f>
        <v/>
      </c>
      <c r="S462" s="15">
        <f>$I$1*S461-$I$2*S460+$I$3*R441+$I$4*R440</f>
        <v/>
      </c>
      <c r="T462" s="15" t="n">
        <v>0</v>
      </c>
      <c r="U462" s="15">
        <f>S462+T462</f>
        <v/>
      </c>
      <c r="V462" s="15">
        <f>INT((2^$J$12-1)*U462/100)/(2^$J$12-1)*100</f>
        <v/>
      </c>
      <c r="X462" s="15">
        <f>M462 * 1.05</f>
        <v/>
      </c>
      <c r="Y462" s="15">
        <f>M462 * 0.95</f>
        <v/>
      </c>
      <c r="Z462" s="15">
        <f>IF(AND(V462 &lt;= X462, V462 &gt;= Y462), 1, 0)</f>
        <v/>
      </c>
      <c r="AC462" s="15">
        <f>N462^2</f>
        <v/>
      </c>
      <c r="AD462" s="15">
        <f>ABS(N462)</f>
        <v/>
      </c>
      <c r="AE462" s="15">
        <f>IF(M462&gt;0, ABS(N462)*(L462-$D$16),0)</f>
        <v/>
      </c>
    </row>
    <row r="463">
      <c r="L463" s="15" t="n">
        <v>461</v>
      </c>
      <c r="M463" s="15">
        <f>IF(L463&lt;$D$16,$D$12,IF(L463&lt;$E$16,$E$12,$F$13))</f>
        <v/>
      </c>
      <c r="N463" s="15">
        <f>M463-V463</f>
        <v/>
      </c>
      <c r="O463" s="15">
        <f>IF(MOD(L463,$B$11)=0,OFFSET(O463,-$B$11,0)+ $E$2*N463+$E$3*OFFSET(N463,-$B$11,0)+ $E$4*OFFSET(N463,-2* $B$11,0), O462)</f>
        <v/>
      </c>
      <c r="P463" s="15">
        <f>INT((2^$J$12-1)*O463/100)/(2^$J$12-1)*100</f>
        <v/>
      </c>
      <c r="Q463" s="15" t="n">
        <v>0</v>
      </c>
      <c r="R463" s="15">
        <f>P463+Q463</f>
        <v/>
      </c>
      <c r="S463" s="15">
        <f>$I$1*S462-$I$2*S461+$I$3*R442+$I$4*R441</f>
        <v/>
      </c>
      <c r="T463" s="15" t="n">
        <v>0</v>
      </c>
      <c r="U463" s="15">
        <f>S463+T463</f>
        <v/>
      </c>
      <c r="V463" s="15">
        <f>INT((2^$J$12-1)*U463/100)/(2^$J$12-1)*100</f>
        <v/>
      </c>
      <c r="X463" s="15">
        <f>M463 * 1.05</f>
        <v/>
      </c>
      <c r="Y463" s="15">
        <f>M463 * 0.95</f>
        <v/>
      </c>
      <c r="Z463" s="15">
        <f>IF(AND(V463 &lt;= X463, V463 &gt;= Y463), 1, 0)</f>
        <v/>
      </c>
      <c r="AC463" s="15">
        <f>N463^2</f>
        <v/>
      </c>
      <c r="AD463" s="15">
        <f>ABS(N463)</f>
        <v/>
      </c>
      <c r="AE463" s="15">
        <f>IF(M463&gt;0, ABS(N463)*(L463-$D$16),0)</f>
        <v/>
      </c>
    </row>
    <row r="464">
      <c r="L464" s="15" t="n">
        <v>462</v>
      </c>
      <c r="M464" s="15">
        <f>IF(L464&lt;$D$16,$D$12,IF(L464&lt;$E$16,$E$12,$F$13))</f>
        <v/>
      </c>
      <c r="N464" s="15">
        <f>M464-V464</f>
        <v/>
      </c>
      <c r="O464" s="15">
        <f>IF(MOD(L464,$B$11)=0,OFFSET(O464,-$B$11,0)+ $E$2*N464+$E$3*OFFSET(N464,-$B$11,0)+ $E$4*OFFSET(N464,-2* $B$11,0), O463)</f>
        <v/>
      </c>
      <c r="P464" s="15">
        <f>INT((2^$J$12-1)*O464/100)/(2^$J$12-1)*100</f>
        <v/>
      </c>
      <c r="Q464" s="15" t="n">
        <v>0</v>
      </c>
      <c r="R464" s="15">
        <f>P464+Q464</f>
        <v/>
      </c>
      <c r="S464" s="15">
        <f>$I$1*S463-$I$2*S462+$I$3*R443+$I$4*R442</f>
        <v/>
      </c>
      <c r="T464" s="15" t="n">
        <v>0</v>
      </c>
      <c r="U464" s="15">
        <f>S464+T464</f>
        <v/>
      </c>
      <c r="V464" s="15">
        <f>INT((2^$J$12-1)*U464/100)/(2^$J$12-1)*100</f>
        <v/>
      </c>
      <c r="X464" s="15">
        <f>M464 * 1.05</f>
        <v/>
      </c>
      <c r="Y464" s="15">
        <f>M464 * 0.95</f>
        <v/>
      </c>
      <c r="Z464" s="15">
        <f>IF(AND(V464 &lt;= X464, V464 &gt;= Y464), 1, 0)</f>
        <v/>
      </c>
      <c r="AC464" s="15">
        <f>N464^2</f>
        <v/>
      </c>
      <c r="AD464" s="15">
        <f>ABS(N464)</f>
        <v/>
      </c>
      <c r="AE464" s="15">
        <f>IF(M464&gt;0, ABS(N464)*(L464-$D$16),0)</f>
        <v/>
      </c>
    </row>
    <row r="465">
      <c r="L465" s="15" t="n">
        <v>463</v>
      </c>
      <c r="M465" s="15">
        <f>IF(L465&lt;$D$16,$D$12,IF(L465&lt;$E$16,$E$12,$F$13))</f>
        <v/>
      </c>
      <c r="N465" s="15">
        <f>M465-V465</f>
        <v/>
      </c>
      <c r="O465" s="15">
        <f>IF(MOD(L465,$B$11)=0,OFFSET(O465,-$B$11,0)+ $E$2*N465+$E$3*OFFSET(N465,-$B$11,0)+ $E$4*OFFSET(N465,-2* $B$11,0), O464)</f>
        <v/>
      </c>
      <c r="P465" s="15">
        <f>INT((2^$J$12-1)*O465/100)/(2^$J$12-1)*100</f>
        <v/>
      </c>
      <c r="Q465" s="15" t="n">
        <v>0</v>
      </c>
      <c r="R465" s="15">
        <f>P465+Q465</f>
        <v/>
      </c>
      <c r="S465" s="15">
        <f>$I$1*S464-$I$2*S463+$I$3*R444+$I$4*R443</f>
        <v/>
      </c>
      <c r="T465" s="15" t="n">
        <v>0</v>
      </c>
      <c r="U465" s="15">
        <f>S465+T465</f>
        <v/>
      </c>
      <c r="V465" s="15">
        <f>INT((2^$J$12-1)*U465/100)/(2^$J$12-1)*100</f>
        <v/>
      </c>
      <c r="X465" s="15">
        <f>M465 * 1.05</f>
        <v/>
      </c>
      <c r="Y465" s="15">
        <f>M465 * 0.95</f>
        <v/>
      </c>
      <c r="Z465" s="15">
        <f>IF(AND(V465 &lt;= X465, V465 &gt;= Y465), 1, 0)</f>
        <v/>
      </c>
      <c r="AC465" s="15">
        <f>N465^2</f>
        <v/>
      </c>
      <c r="AD465" s="15">
        <f>ABS(N465)</f>
        <v/>
      </c>
      <c r="AE465" s="15">
        <f>IF(M465&gt;0, ABS(N465)*(L465-$D$16),0)</f>
        <v/>
      </c>
    </row>
    <row r="466">
      <c r="L466" s="15" t="n">
        <v>464</v>
      </c>
      <c r="M466" s="15">
        <f>IF(L466&lt;$D$16,$D$12,IF(L466&lt;$E$16,$E$12,$F$13))</f>
        <v/>
      </c>
      <c r="N466" s="15">
        <f>M466-V466</f>
        <v/>
      </c>
      <c r="O466" s="15">
        <f>IF(MOD(L466,$B$11)=0,OFFSET(O466,-$B$11,0)+ $E$2*N466+$E$3*OFFSET(N466,-$B$11,0)+ $E$4*OFFSET(N466,-2* $B$11,0), O465)</f>
        <v/>
      </c>
      <c r="P466" s="15">
        <f>INT((2^$J$12-1)*O466/100)/(2^$J$12-1)*100</f>
        <v/>
      </c>
      <c r="Q466" s="15" t="n">
        <v>0</v>
      </c>
      <c r="R466" s="15">
        <f>P466+Q466</f>
        <v/>
      </c>
      <c r="S466" s="15">
        <f>$I$1*S465-$I$2*S464+$I$3*R445+$I$4*R444</f>
        <v/>
      </c>
      <c r="T466" s="15" t="n">
        <v>0</v>
      </c>
      <c r="U466" s="15">
        <f>S466+T466</f>
        <v/>
      </c>
      <c r="V466" s="15">
        <f>INT((2^$J$12-1)*U466/100)/(2^$J$12-1)*100</f>
        <v/>
      </c>
      <c r="X466" s="15">
        <f>M466 * 1.05</f>
        <v/>
      </c>
      <c r="Y466" s="15">
        <f>M466 * 0.95</f>
        <v/>
      </c>
      <c r="Z466" s="15">
        <f>IF(AND(V466 &lt;= X466, V466 &gt;= Y466), 1, 0)</f>
        <v/>
      </c>
      <c r="AC466" s="15">
        <f>N466^2</f>
        <v/>
      </c>
      <c r="AD466" s="15">
        <f>ABS(N466)</f>
        <v/>
      </c>
      <c r="AE466" s="15">
        <f>IF(M466&gt;0, ABS(N466)*(L466-$D$16),0)</f>
        <v/>
      </c>
    </row>
    <row r="467">
      <c r="L467" s="15" t="n">
        <v>465</v>
      </c>
      <c r="M467" s="15">
        <f>IF(L467&lt;$D$16,$D$12,IF(L467&lt;$E$16,$E$12,$F$13))</f>
        <v/>
      </c>
      <c r="N467" s="15">
        <f>M467-V467</f>
        <v/>
      </c>
      <c r="O467" s="15">
        <f>IF(MOD(L467,$B$11)=0,OFFSET(O467,-$B$11,0)+ $E$2*N467+$E$3*OFFSET(N467,-$B$11,0)+ $E$4*OFFSET(N467,-2* $B$11,0), O466)</f>
        <v/>
      </c>
      <c r="P467" s="15">
        <f>INT((2^$J$12-1)*O467/100)/(2^$J$12-1)*100</f>
        <v/>
      </c>
      <c r="Q467" s="15" t="n">
        <v>0</v>
      </c>
      <c r="R467" s="15">
        <f>P467+Q467</f>
        <v/>
      </c>
      <c r="S467" s="15">
        <f>$I$1*S466-$I$2*S465+$I$3*R446+$I$4*R445</f>
        <v/>
      </c>
      <c r="T467" s="15" t="n">
        <v>0</v>
      </c>
      <c r="U467" s="15">
        <f>S467+T467</f>
        <v/>
      </c>
      <c r="V467" s="15">
        <f>INT((2^$J$12-1)*U467/100)/(2^$J$12-1)*100</f>
        <v/>
      </c>
      <c r="X467" s="15">
        <f>M467 * 1.05</f>
        <v/>
      </c>
      <c r="Y467" s="15">
        <f>M467 * 0.95</f>
        <v/>
      </c>
      <c r="Z467" s="15">
        <f>IF(AND(V467 &lt;= X467, V467 &gt;= Y467), 1, 0)</f>
        <v/>
      </c>
      <c r="AC467" s="15">
        <f>N467^2</f>
        <v/>
      </c>
      <c r="AD467" s="15">
        <f>ABS(N467)</f>
        <v/>
      </c>
      <c r="AE467" s="15">
        <f>IF(M467&gt;0, ABS(N467)*(L467-$D$16),0)</f>
        <v/>
      </c>
    </row>
    <row r="468">
      <c r="L468" s="15" t="n">
        <v>466</v>
      </c>
      <c r="M468" s="15">
        <f>IF(L468&lt;$D$16,$D$12,IF(L468&lt;$E$16,$E$12,$F$13))</f>
        <v/>
      </c>
      <c r="N468" s="15">
        <f>M468-V468</f>
        <v/>
      </c>
      <c r="O468" s="15">
        <f>IF(MOD(L468,$B$11)=0,OFFSET(O468,-$B$11,0)+ $E$2*N468+$E$3*OFFSET(N468,-$B$11,0)+ $E$4*OFFSET(N468,-2* $B$11,0), O467)</f>
        <v/>
      </c>
      <c r="P468" s="15">
        <f>INT((2^$J$12-1)*O468/100)/(2^$J$12-1)*100</f>
        <v/>
      </c>
      <c r="Q468" s="15" t="n">
        <v>0</v>
      </c>
      <c r="R468" s="15">
        <f>P468+Q468</f>
        <v/>
      </c>
      <c r="S468" s="15">
        <f>$I$1*S467-$I$2*S466+$I$3*R447+$I$4*R446</f>
        <v/>
      </c>
      <c r="T468" s="15" t="n">
        <v>0</v>
      </c>
      <c r="U468" s="15">
        <f>S468+T468</f>
        <v/>
      </c>
      <c r="V468" s="15">
        <f>INT((2^$J$12-1)*U468/100)/(2^$J$12-1)*100</f>
        <v/>
      </c>
      <c r="X468" s="15">
        <f>M468 * 1.05</f>
        <v/>
      </c>
      <c r="Y468" s="15">
        <f>M468 * 0.95</f>
        <v/>
      </c>
      <c r="Z468" s="15">
        <f>IF(AND(V468 &lt;= X468, V468 &gt;= Y468), 1, 0)</f>
        <v/>
      </c>
      <c r="AC468" s="15">
        <f>N468^2</f>
        <v/>
      </c>
      <c r="AD468" s="15">
        <f>ABS(N468)</f>
        <v/>
      </c>
      <c r="AE468" s="15">
        <f>IF(M468&gt;0, ABS(N468)*(L468-$D$16),0)</f>
        <v/>
      </c>
    </row>
    <row r="469">
      <c r="L469" s="15" t="n">
        <v>467</v>
      </c>
      <c r="M469" s="15">
        <f>IF(L469&lt;$D$16,$D$12,IF(L469&lt;$E$16,$E$12,$F$13))</f>
        <v/>
      </c>
      <c r="N469" s="15">
        <f>M469-V469</f>
        <v/>
      </c>
      <c r="O469" s="15">
        <f>IF(MOD(L469,$B$11)=0,OFFSET(O469,-$B$11,0)+ $E$2*N469+$E$3*OFFSET(N469,-$B$11,0)+ $E$4*OFFSET(N469,-2* $B$11,0), O468)</f>
        <v/>
      </c>
      <c r="P469" s="15">
        <f>INT((2^$J$12-1)*O469/100)/(2^$J$12-1)*100</f>
        <v/>
      </c>
      <c r="Q469" s="15" t="n">
        <v>0</v>
      </c>
      <c r="R469" s="15">
        <f>P469+Q469</f>
        <v/>
      </c>
      <c r="S469" s="15">
        <f>$I$1*S468-$I$2*S467+$I$3*R448+$I$4*R447</f>
        <v/>
      </c>
      <c r="T469" s="15" t="n">
        <v>0</v>
      </c>
      <c r="U469" s="15">
        <f>S469+T469</f>
        <v/>
      </c>
      <c r="V469" s="15">
        <f>INT((2^$J$12-1)*U469/100)/(2^$J$12-1)*100</f>
        <v/>
      </c>
      <c r="X469" s="15">
        <f>M469 * 1.05</f>
        <v/>
      </c>
      <c r="Y469" s="15">
        <f>M469 * 0.95</f>
        <v/>
      </c>
      <c r="Z469" s="15">
        <f>IF(AND(V469 &lt;= X469, V469 &gt;= Y469), 1, 0)</f>
        <v/>
      </c>
      <c r="AC469" s="15">
        <f>N469^2</f>
        <v/>
      </c>
      <c r="AD469" s="15">
        <f>ABS(N469)</f>
        <v/>
      </c>
      <c r="AE469" s="15">
        <f>IF(M469&gt;0, ABS(N469)*(L469-$D$16),0)</f>
        <v/>
      </c>
    </row>
    <row r="470">
      <c r="L470" s="15" t="n">
        <v>468</v>
      </c>
      <c r="M470" s="15">
        <f>IF(L470&lt;$D$16,$D$12,IF(L470&lt;$E$16,$E$12,$F$13))</f>
        <v/>
      </c>
      <c r="N470" s="15">
        <f>M470-V470</f>
        <v/>
      </c>
      <c r="O470" s="15">
        <f>IF(MOD(L470,$B$11)=0,OFFSET(O470,-$B$11,0)+ $E$2*N470+$E$3*OFFSET(N470,-$B$11,0)+ $E$4*OFFSET(N470,-2* $B$11,0), O469)</f>
        <v/>
      </c>
      <c r="P470" s="15">
        <f>INT((2^$J$12-1)*O470/100)/(2^$J$12-1)*100</f>
        <v/>
      </c>
      <c r="Q470" s="15" t="n">
        <v>0</v>
      </c>
      <c r="R470" s="15">
        <f>P470+Q470</f>
        <v/>
      </c>
      <c r="S470" s="15">
        <f>$I$1*S469-$I$2*S468+$I$3*R449+$I$4*R448</f>
        <v/>
      </c>
      <c r="T470" s="15" t="n">
        <v>0</v>
      </c>
      <c r="U470" s="15">
        <f>S470+T470</f>
        <v/>
      </c>
      <c r="V470" s="15">
        <f>INT((2^$J$12-1)*U470/100)/(2^$J$12-1)*100</f>
        <v/>
      </c>
      <c r="X470" s="15">
        <f>M470 * 1.05</f>
        <v/>
      </c>
      <c r="Y470" s="15">
        <f>M470 * 0.95</f>
        <v/>
      </c>
      <c r="Z470" s="15">
        <f>IF(AND(V470 &lt;= X470, V470 &gt;= Y470), 1, 0)</f>
        <v/>
      </c>
      <c r="AC470" s="15">
        <f>N470^2</f>
        <v/>
      </c>
      <c r="AD470" s="15">
        <f>ABS(N470)</f>
        <v/>
      </c>
      <c r="AE470" s="15">
        <f>IF(M470&gt;0, ABS(N470)*(L470-$D$16),0)</f>
        <v/>
      </c>
    </row>
    <row r="471">
      <c r="L471" s="15" t="n">
        <v>469</v>
      </c>
      <c r="M471" s="15">
        <f>IF(L471&lt;$D$16,$D$12,IF(L471&lt;$E$16,$E$12,$F$13))</f>
        <v/>
      </c>
      <c r="N471" s="15">
        <f>M471-V471</f>
        <v/>
      </c>
      <c r="O471" s="15">
        <f>IF(MOD(L471,$B$11)=0,OFFSET(O471,-$B$11,0)+ $E$2*N471+$E$3*OFFSET(N471,-$B$11,0)+ $E$4*OFFSET(N471,-2* $B$11,0), O470)</f>
        <v/>
      </c>
      <c r="P471" s="15">
        <f>INT((2^$J$12-1)*O471/100)/(2^$J$12-1)*100</f>
        <v/>
      </c>
      <c r="Q471" s="15" t="n">
        <v>0</v>
      </c>
      <c r="R471" s="15">
        <f>P471+Q471</f>
        <v/>
      </c>
      <c r="S471" s="15">
        <f>$I$1*S470-$I$2*S469+$I$3*R450+$I$4*R449</f>
        <v/>
      </c>
      <c r="T471" s="15" t="n">
        <v>0</v>
      </c>
      <c r="U471" s="15">
        <f>S471+T471</f>
        <v/>
      </c>
      <c r="V471" s="15">
        <f>INT((2^$J$12-1)*U471/100)/(2^$J$12-1)*100</f>
        <v/>
      </c>
      <c r="X471" s="15">
        <f>M471 * 1.05</f>
        <v/>
      </c>
      <c r="Y471" s="15">
        <f>M471 * 0.95</f>
        <v/>
      </c>
      <c r="Z471" s="15">
        <f>IF(AND(V471 &lt;= X471, V471 &gt;= Y471), 1, 0)</f>
        <v/>
      </c>
      <c r="AC471" s="15">
        <f>N471^2</f>
        <v/>
      </c>
      <c r="AD471" s="15">
        <f>ABS(N471)</f>
        <v/>
      </c>
      <c r="AE471" s="15">
        <f>IF(M471&gt;0, ABS(N471)*(L471-$D$16),0)</f>
        <v/>
      </c>
    </row>
    <row r="472">
      <c r="L472" s="15" t="n">
        <v>470</v>
      </c>
      <c r="M472" s="15">
        <f>IF(L472&lt;$D$16,$D$12,IF(L472&lt;$E$16,$E$12,$F$13))</f>
        <v/>
      </c>
      <c r="N472" s="15">
        <f>M472-V472</f>
        <v/>
      </c>
      <c r="O472" s="15">
        <f>IF(MOD(L472,$B$11)=0,OFFSET(O472,-$B$11,0)+ $E$2*N472+$E$3*OFFSET(N472,-$B$11,0)+ $E$4*OFFSET(N472,-2* $B$11,0), O471)</f>
        <v/>
      </c>
      <c r="P472" s="15">
        <f>INT((2^$J$12-1)*O472/100)/(2^$J$12-1)*100</f>
        <v/>
      </c>
      <c r="Q472" s="15" t="n">
        <v>0</v>
      </c>
      <c r="R472" s="15">
        <f>P472+Q472</f>
        <v/>
      </c>
      <c r="S472" s="15">
        <f>$I$1*S471-$I$2*S470+$I$3*R451+$I$4*R450</f>
        <v/>
      </c>
      <c r="T472" s="15" t="n">
        <v>0</v>
      </c>
      <c r="U472" s="15">
        <f>S472+T472</f>
        <v/>
      </c>
      <c r="V472" s="15">
        <f>INT((2^$J$12-1)*U472/100)/(2^$J$12-1)*100</f>
        <v/>
      </c>
      <c r="X472" s="15">
        <f>M472 * 1.05</f>
        <v/>
      </c>
      <c r="Y472" s="15">
        <f>M472 * 0.95</f>
        <v/>
      </c>
      <c r="Z472" s="15">
        <f>IF(AND(V472 &lt;= X472, V472 &gt;= Y472), 1, 0)</f>
        <v/>
      </c>
      <c r="AC472" s="15">
        <f>N472^2</f>
        <v/>
      </c>
      <c r="AD472" s="15">
        <f>ABS(N472)</f>
        <v/>
      </c>
      <c r="AE472" s="15">
        <f>IF(M472&gt;0, ABS(N472)*(L472-$D$16),0)</f>
        <v/>
      </c>
    </row>
    <row r="473">
      <c r="L473" s="15" t="n">
        <v>471</v>
      </c>
      <c r="M473" s="15">
        <f>IF(L473&lt;$D$16,$D$12,IF(L473&lt;$E$16,$E$12,$F$13))</f>
        <v/>
      </c>
      <c r="N473" s="15">
        <f>M473-V473</f>
        <v/>
      </c>
      <c r="O473" s="15">
        <f>IF(MOD(L473,$B$11)=0,OFFSET(O473,-$B$11,0)+ $E$2*N473+$E$3*OFFSET(N473,-$B$11,0)+ $E$4*OFFSET(N473,-2* $B$11,0), O472)</f>
        <v/>
      </c>
      <c r="P473" s="15">
        <f>INT((2^$J$12-1)*O473/100)/(2^$J$12-1)*100</f>
        <v/>
      </c>
      <c r="Q473" s="15" t="n">
        <v>0</v>
      </c>
      <c r="R473" s="15">
        <f>P473+Q473</f>
        <v/>
      </c>
      <c r="S473" s="15">
        <f>$I$1*S472-$I$2*S471+$I$3*R452+$I$4*R451</f>
        <v/>
      </c>
      <c r="T473" s="15" t="n">
        <v>0</v>
      </c>
      <c r="U473" s="15">
        <f>S473+T473</f>
        <v/>
      </c>
      <c r="V473" s="15">
        <f>INT((2^$J$12-1)*U473/100)/(2^$J$12-1)*100</f>
        <v/>
      </c>
      <c r="X473" s="15">
        <f>M473 * 1.05</f>
        <v/>
      </c>
      <c r="Y473" s="15">
        <f>M473 * 0.95</f>
        <v/>
      </c>
      <c r="Z473" s="15">
        <f>IF(AND(V473 &lt;= X473, V473 &gt;= Y473), 1, 0)</f>
        <v/>
      </c>
      <c r="AC473" s="15">
        <f>N473^2</f>
        <v/>
      </c>
      <c r="AD473" s="15">
        <f>ABS(N473)</f>
        <v/>
      </c>
      <c r="AE473" s="15">
        <f>IF(M473&gt;0, ABS(N473)*(L473-$D$16),0)</f>
        <v/>
      </c>
    </row>
    <row r="474">
      <c r="L474" s="15" t="n">
        <v>472</v>
      </c>
      <c r="M474" s="15">
        <f>IF(L474&lt;$D$16,$D$12,IF(L474&lt;$E$16,$E$12,$F$13))</f>
        <v/>
      </c>
      <c r="N474" s="15">
        <f>M474-V474</f>
        <v/>
      </c>
      <c r="O474" s="15">
        <f>IF(MOD(L474,$B$11)=0,OFFSET(O474,-$B$11,0)+ $E$2*N474+$E$3*OFFSET(N474,-$B$11,0)+ $E$4*OFFSET(N474,-2* $B$11,0), O473)</f>
        <v/>
      </c>
      <c r="P474" s="15">
        <f>INT((2^$J$12-1)*O474/100)/(2^$J$12-1)*100</f>
        <v/>
      </c>
      <c r="Q474" s="15" t="n">
        <v>0</v>
      </c>
      <c r="R474" s="15">
        <f>P474+Q474</f>
        <v/>
      </c>
      <c r="S474" s="15">
        <f>$I$1*S473-$I$2*S472+$I$3*R453+$I$4*R452</f>
        <v/>
      </c>
      <c r="T474" s="15" t="n">
        <v>0</v>
      </c>
      <c r="U474" s="15">
        <f>S474+T474</f>
        <v/>
      </c>
      <c r="V474" s="15">
        <f>INT((2^$J$12-1)*U474/100)/(2^$J$12-1)*100</f>
        <v/>
      </c>
      <c r="X474" s="15">
        <f>M474 * 1.05</f>
        <v/>
      </c>
      <c r="Y474" s="15">
        <f>M474 * 0.95</f>
        <v/>
      </c>
      <c r="Z474" s="15">
        <f>IF(AND(V474 &lt;= X474, V474 &gt;= Y474), 1, 0)</f>
        <v/>
      </c>
      <c r="AC474" s="15">
        <f>N474^2</f>
        <v/>
      </c>
      <c r="AD474" s="15">
        <f>ABS(N474)</f>
        <v/>
      </c>
      <c r="AE474" s="15">
        <f>IF(M474&gt;0, ABS(N474)*(L474-$D$16),0)</f>
        <v/>
      </c>
    </row>
    <row r="475">
      <c r="L475" s="15" t="n">
        <v>473</v>
      </c>
      <c r="M475" s="15">
        <f>IF(L475&lt;$D$16,$D$12,IF(L475&lt;$E$16,$E$12,$F$13))</f>
        <v/>
      </c>
      <c r="N475" s="15">
        <f>M475-V475</f>
        <v/>
      </c>
      <c r="O475" s="15">
        <f>IF(MOD(L475,$B$11)=0,OFFSET(O475,-$B$11,0)+ $E$2*N475+$E$3*OFFSET(N475,-$B$11,0)+ $E$4*OFFSET(N475,-2* $B$11,0), O474)</f>
        <v/>
      </c>
      <c r="P475" s="15">
        <f>INT((2^$J$12-1)*O475/100)/(2^$J$12-1)*100</f>
        <v/>
      </c>
      <c r="Q475" s="15" t="n">
        <v>0</v>
      </c>
      <c r="R475" s="15">
        <f>P475+Q475</f>
        <v/>
      </c>
      <c r="S475" s="15">
        <f>$I$1*S474-$I$2*S473+$I$3*R454+$I$4*R453</f>
        <v/>
      </c>
      <c r="T475" s="15" t="n">
        <v>0</v>
      </c>
      <c r="U475" s="15">
        <f>S475+T475</f>
        <v/>
      </c>
      <c r="V475" s="15">
        <f>INT((2^$J$12-1)*U475/100)/(2^$J$12-1)*100</f>
        <v/>
      </c>
      <c r="X475" s="15">
        <f>M475 * 1.05</f>
        <v/>
      </c>
      <c r="Y475" s="15">
        <f>M475 * 0.95</f>
        <v/>
      </c>
      <c r="Z475" s="15">
        <f>IF(AND(V475 &lt;= X475, V475 &gt;= Y475), 1, 0)</f>
        <v/>
      </c>
      <c r="AC475" s="15">
        <f>N475^2</f>
        <v/>
      </c>
      <c r="AD475" s="15">
        <f>ABS(N475)</f>
        <v/>
      </c>
      <c r="AE475" s="15">
        <f>IF(M475&gt;0, ABS(N475)*(L475-$D$16),0)</f>
        <v/>
      </c>
    </row>
    <row r="476">
      <c r="L476" s="15" t="n">
        <v>474</v>
      </c>
      <c r="M476" s="15">
        <f>IF(L476&lt;$D$16,$D$12,IF(L476&lt;$E$16,$E$12,$F$13))</f>
        <v/>
      </c>
      <c r="N476" s="15">
        <f>M476-V476</f>
        <v/>
      </c>
      <c r="O476" s="15">
        <f>IF(MOD(L476,$B$11)=0,OFFSET(O476,-$B$11,0)+ $E$2*N476+$E$3*OFFSET(N476,-$B$11,0)+ $E$4*OFFSET(N476,-2* $B$11,0), O475)</f>
        <v/>
      </c>
      <c r="P476" s="15">
        <f>INT((2^$J$12-1)*O476/100)/(2^$J$12-1)*100</f>
        <v/>
      </c>
      <c r="Q476" s="15" t="n">
        <v>0</v>
      </c>
      <c r="R476" s="15">
        <f>P476+Q476</f>
        <v/>
      </c>
      <c r="S476" s="15">
        <f>$I$1*S475-$I$2*S474+$I$3*R455+$I$4*R454</f>
        <v/>
      </c>
      <c r="T476" s="15" t="n">
        <v>0</v>
      </c>
      <c r="U476" s="15">
        <f>S476+T476</f>
        <v/>
      </c>
      <c r="V476" s="15">
        <f>INT((2^$J$12-1)*U476/100)/(2^$J$12-1)*100</f>
        <v/>
      </c>
      <c r="X476" s="15">
        <f>M476 * 1.05</f>
        <v/>
      </c>
      <c r="Y476" s="15">
        <f>M476 * 0.95</f>
        <v/>
      </c>
      <c r="Z476" s="15">
        <f>IF(AND(V476 &lt;= X476, V476 &gt;= Y476), 1, 0)</f>
        <v/>
      </c>
      <c r="AC476" s="15">
        <f>N476^2</f>
        <v/>
      </c>
      <c r="AD476" s="15">
        <f>ABS(N476)</f>
        <v/>
      </c>
      <c r="AE476" s="15">
        <f>IF(M476&gt;0, ABS(N476)*(L476-$D$16),0)</f>
        <v/>
      </c>
    </row>
    <row r="477">
      <c r="L477" s="15" t="n">
        <v>475</v>
      </c>
      <c r="M477" s="15">
        <f>IF(L477&lt;$D$16,$D$12,IF(L477&lt;$E$16,$E$12,$F$13))</f>
        <v/>
      </c>
      <c r="N477" s="15">
        <f>M477-V477</f>
        <v/>
      </c>
      <c r="O477" s="15">
        <f>IF(MOD(L477,$B$11)=0,OFFSET(O477,-$B$11,0)+ $E$2*N477+$E$3*OFFSET(N477,-$B$11,0)+ $E$4*OFFSET(N477,-2* $B$11,0), O476)</f>
        <v/>
      </c>
      <c r="P477" s="15">
        <f>INT((2^$J$12-1)*O477/100)/(2^$J$12-1)*100</f>
        <v/>
      </c>
      <c r="Q477" s="15" t="n">
        <v>0</v>
      </c>
      <c r="R477" s="15">
        <f>P477+Q477</f>
        <v/>
      </c>
      <c r="S477" s="15">
        <f>$I$1*S476-$I$2*S475+$I$3*R456+$I$4*R455</f>
        <v/>
      </c>
      <c r="T477" s="15" t="n">
        <v>0</v>
      </c>
      <c r="U477" s="15">
        <f>S477+T477</f>
        <v/>
      </c>
      <c r="V477" s="15">
        <f>INT((2^$J$12-1)*U477/100)/(2^$J$12-1)*100</f>
        <v/>
      </c>
      <c r="X477" s="15">
        <f>M477 * 1.05</f>
        <v/>
      </c>
      <c r="Y477" s="15">
        <f>M477 * 0.95</f>
        <v/>
      </c>
      <c r="Z477" s="15">
        <f>IF(AND(V477 &lt;= X477, V477 &gt;= Y477), 1, 0)</f>
        <v/>
      </c>
      <c r="AC477" s="15">
        <f>N477^2</f>
        <v/>
      </c>
      <c r="AD477" s="15">
        <f>ABS(N477)</f>
        <v/>
      </c>
      <c r="AE477" s="15">
        <f>IF(M477&gt;0, ABS(N477)*(L477-$D$16),0)</f>
        <v/>
      </c>
    </row>
    <row r="478">
      <c r="L478" s="15" t="n">
        <v>476</v>
      </c>
      <c r="M478" s="15">
        <f>IF(L478&lt;$D$16,$D$12,IF(L478&lt;$E$16,$E$12,$F$13))</f>
        <v/>
      </c>
      <c r="N478" s="15">
        <f>M478-V478</f>
        <v/>
      </c>
      <c r="O478" s="15">
        <f>IF(MOD(L478,$B$11)=0,OFFSET(O478,-$B$11,0)+ $E$2*N478+$E$3*OFFSET(N478,-$B$11,0)+ $E$4*OFFSET(N478,-2* $B$11,0), O477)</f>
        <v/>
      </c>
      <c r="P478" s="15">
        <f>INT((2^$J$12-1)*O478/100)/(2^$J$12-1)*100</f>
        <v/>
      </c>
      <c r="Q478" s="15" t="n">
        <v>0</v>
      </c>
      <c r="R478" s="15">
        <f>P478+Q478</f>
        <v/>
      </c>
      <c r="S478" s="15">
        <f>$I$1*S477-$I$2*S476+$I$3*R457+$I$4*R456</f>
        <v/>
      </c>
      <c r="T478" s="15" t="n">
        <v>0</v>
      </c>
      <c r="U478" s="15">
        <f>S478+T478</f>
        <v/>
      </c>
      <c r="V478" s="15">
        <f>INT((2^$J$12-1)*U478/100)/(2^$J$12-1)*100</f>
        <v/>
      </c>
      <c r="X478" s="15">
        <f>M478 * 1.05</f>
        <v/>
      </c>
      <c r="Y478" s="15">
        <f>M478 * 0.95</f>
        <v/>
      </c>
      <c r="Z478" s="15">
        <f>IF(AND(V478 &lt;= X478, V478 &gt;= Y478), 1, 0)</f>
        <v/>
      </c>
      <c r="AC478" s="15">
        <f>N478^2</f>
        <v/>
      </c>
      <c r="AD478" s="15">
        <f>ABS(N478)</f>
        <v/>
      </c>
      <c r="AE478" s="15">
        <f>IF(M478&gt;0, ABS(N478)*(L478-$D$16),0)</f>
        <v/>
      </c>
    </row>
    <row r="479">
      <c r="L479" s="15" t="n">
        <v>477</v>
      </c>
      <c r="M479" s="15">
        <f>IF(L479&lt;$D$16,$D$12,IF(L479&lt;$E$16,$E$12,$F$13))</f>
        <v/>
      </c>
      <c r="N479" s="15">
        <f>M479-V479</f>
        <v/>
      </c>
      <c r="O479" s="15">
        <f>IF(MOD(L479,$B$11)=0,OFFSET(O479,-$B$11,0)+ $E$2*N479+$E$3*OFFSET(N479,-$B$11,0)+ $E$4*OFFSET(N479,-2* $B$11,0), O478)</f>
        <v/>
      </c>
      <c r="P479" s="15">
        <f>INT((2^$J$12-1)*O479/100)/(2^$J$12-1)*100</f>
        <v/>
      </c>
      <c r="Q479" s="15" t="n">
        <v>0</v>
      </c>
      <c r="R479" s="15">
        <f>P479+Q479</f>
        <v/>
      </c>
      <c r="S479" s="15">
        <f>$I$1*S478-$I$2*S477+$I$3*R458+$I$4*R457</f>
        <v/>
      </c>
      <c r="T479" s="15" t="n">
        <v>0</v>
      </c>
      <c r="U479" s="15">
        <f>S479+T479</f>
        <v/>
      </c>
      <c r="V479" s="15">
        <f>INT((2^$J$12-1)*U479/100)/(2^$J$12-1)*100</f>
        <v/>
      </c>
      <c r="X479" s="15">
        <f>M479 * 1.05</f>
        <v/>
      </c>
      <c r="Y479" s="15">
        <f>M479 * 0.95</f>
        <v/>
      </c>
      <c r="Z479" s="15">
        <f>IF(AND(V479 &lt;= X479, V479 &gt;= Y479), 1, 0)</f>
        <v/>
      </c>
      <c r="AC479" s="15">
        <f>N479^2</f>
        <v/>
      </c>
      <c r="AD479" s="15">
        <f>ABS(N479)</f>
        <v/>
      </c>
      <c r="AE479" s="15">
        <f>IF(M479&gt;0, ABS(N479)*(L479-$D$16),0)</f>
        <v/>
      </c>
    </row>
    <row r="480">
      <c r="L480" s="15" t="n">
        <v>478</v>
      </c>
      <c r="M480" s="15">
        <f>IF(L480&lt;$D$16,$D$12,IF(L480&lt;$E$16,$E$12,$F$13))</f>
        <v/>
      </c>
      <c r="N480" s="15">
        <f>M480-V480</f>
        <v/>
      </c>
      <c r="O480" s="15">
        <f>IF(MOD(L480,$B$11)=0,OFFSET(O480,-$B$11,0)+ $E$2*N480+$E$3*OFFSET(N480,-$B$11,0)+ $E$4*OFFSET(N480,-2* $B$11,0), O479)</f>
        <v/>
      </c>
      <c r="P480" s="15">
        <f>INT((2^$J$12-1)*O480/100)/(2^$J$12-1)*100</f>
        <v/>
      </c>
      <c r="Q480" s="15" t="n">
        <v>0</v>
      </c>
      <c r="R480" s="15">
        <f>P480+Q480</f>
        <v/>
      </c>
      <c r="S480" s="15">
        <f>$I$1*S479-$I$2*S478+$I$3*R459+$I$4*R458</f>
        <v/>
      </c>
      <c r="T480" s="15" t="n">
        <v>0</v>
      </c>
      <c r="U480" s="15">
        <f>S480+T480</f>
        <v/>
      </c>
      <c r="V480" s="15">
        <f>INT((2^$J$12-1)*U480/100)/(2^$J$12-1)*100</f>
        <v/>
      </c>
      <c r="X480" s="15">
        <f>M480 * 1.05</f>
        <v/>
      </c>
      <c r="Y480" s="15">
        <f>M480 * 0.95</f>
        <v/>
      </c>
      <c r="Z480" s="15">
        <f>IF(AND(V480 &lt;= X480, V480 &gt;= Y480), 1, 0)</f>
        <v/>
      </c>
      <c r="AC480" s="15">
        <f>N480^2</f>
        <v/>
      </c>
      <c r="AD480" s="15">
        <f>ABS(N480)</f>
        <v/>
      </c>
      <c r="AE480" s="15">
        <f>IF(M480&gt;0, ABS(N480)*(L480-$D$16),0)</f>
        <v/>
      </c>
    </row>
    <row r="481">
      <c r="L481" s="15" t="n">
        <v>479</v>
      </c>
      <c r="M481" s="15">
        <f>IF(L481&lt;$D$16,$D$12,IF(L481&lt;$E$16,$E$12,$F$13))</f>
        <v/>
      </c>
      <c r="N481" s="15">
        <f>M481-V481</f>
        <v/>
      </c>
      <c r="O481" s="15">
        <f>IF(MOD(L481,$B$11)=0,OFFSET(O481,-$B$11,0)+ $E$2*N481+$E$3*OFFSET(N481,-$B$11,0)+ $E$4*OFFSET(N481,-2* $B$11,0), O480)</f>
        <v/>
      </c>
      <c r="P481" s="15">
        <f>INT((2^$J$12-1)*O481/100)/(2^$J$12-1)*100</f>
        <v/>
      </c>
      <c r="Q481" s="15" t="n">
        <v>0</v>
      </c>
      <c r="R481" s="15">
        <f>P481+Q481</f>
        <v/>
      </c>
      <c r="S481" s="15">
        <f>$I$1*S480-$I$2*S479+$I$3*R460+$I$4*R459</f>
        <v/>
      </c>
      <c r="T481" s="15" t="n">
        <v>0</v>
      </c>
      <c r="U481" s="15">
        <f>S481+T481</f>
        <v/>
      </c>
      <c r="V481" s="15">
        <f>INT((2^$J$12-1)*U481/100)/(2^$J$12-1)*100</f>
        <v/>
      </c>
      <c r="X481" s="15">
        <f>M481 * 1.05</f>
        <v/>
      </c>
      <c r="Y481" s="15">
        <f>M481 * 0.95</f>
        <v/>
      </c>
      <c r="Z481" s="15">
        <f>IF(AND(V481 &lt;= X481, V481 &gt;= Y481), 1, 0)</f>
        <v/>
      </c>
      <c r="AC481" s="15">
        <f>N481^2</f>
        <v/>
      </c>
      <c r="AD481" s="15">
        <f>ABS(N481)</f>
        <v/>
      </c>
      <c r="AE481" s="15">
        <f>IF(M481&gt;0, ABS(N481)*(L481-$D$16),0)</f>
        <v/>
      </c>
    </row>
    <row r="482">
      <c r="L482" s="15" t="n">
        <v>480</v>
      </c>
      <c r="M482" s="15">
        <f>IF(L482&lt;$D$16,$D$12,IF(L482&lt;$E$16,$E$12,$F$13))</f>
        <v/>
      </c>
      <c r="N482" s="15">
        <f>M482-V482</f>
        <v/>
      </c>
      <c r="O482" s="15">
        <f>IF(MOD(L482,$B$11)=0,OFFSET(O482,-$B$11,0)+ $E$2*N482+$E$3*OFFSET(N482,-$B$11,0)+ $E$4*OFFSET(N482,-2* $B$11,0), O481)</f>
        <v/>
      </c>
      <c r="P482" s="15">
        <f>INT((2^$J$12-1)*O482/100)/(2^$J$12-1)*100</f>
        <v/>
      </c>
      <c r="Q482" s="15" t="n">
        <v>0</v>
      </c>
      <c r="R482" s="15">
        <f>P482+Q482</f>
        <v/>
      </c>
      <c r="S482" s="15">
        <f>$I$1*S481-$I$2*S480+$I$3*R461+$I$4*R460</f>
        <v/>
      </c>
      <c r="T482" s="15" t="n">
        <v>0</v>
      </c>
      <c r="U482" s="15">
        <f>S482+T482</f>
        <v/>
      </c>
      <c r="V482" s="15">
        <f>INT((2^$J$12-1)*U482/100)/(2^$J$12-1)*100</f>
        <v/>
      </c>
      <c r="X482" s="15">
        <f>M482 * 1.05</f>
        <v/>
      </c>
      <c r="Y482" s="15">
        <f>M482 * 0.95</f>
        <v/>
      </c>
      <c r="Z482" s="15">
        <f>IF(AND(V482 &lt;= X482, V482 &gt;= Y482), 1, 0)</f>
        <v/>
      </c>
      <c r="AC482" s="15">
        <f>N482^2</f>
        <v/>
      </c>
      <c r="AD482" s="15">
        <f>ABS(N482)</f>
        <v/>
      </c>
      <c r="AE482" s="15">
        <f>IF(M482&gt;0, ABS(N482)*(L482-$D$16),0)</f>
        <v/>
      </c>
    </row>
    <row r="483">
      <c r="L483" s="15" t="n">
        <v>481</v>
      </c>
      <c r="M483" s="15">
        <f>IF(L483&lt;$D$16,$D$12,IF(L483&lt;$E$16,$E$12,$F$13))</f>
        <v/>
      </c>
      <c r="N483" s="15">
        <f>M483-V483</f>
        <v/>
      </c>
      <c r="O483" s="15">
        <f>IF(MOD(L483,$B$11)=0,OFFSET(O483,-$B$11,0)+ $E$2*N483+$E$3*OFFSET(N483,-$B$11,0)+ $E$4*OFFSET(N483,-2* $B$11,0), O482)</f>
        <v/>
      </c>
      <c r="P483" s="15">
        <f>INT((2^$J$12-1)*O483/100)/(2^$J$12-1)*100</f>
        <v/>
      </c>
      <c r="Q483" s="15" t="n">
        <v>0</v>
      </c>
      <c r="R483" s="15">
        <f>P483+Q483</f>
        <v/>
      </c>
      <c r="S483" s="15">
        <f>$I$1*S482-$I$2*S481+$I$3*R462+$I$4*R461</f>
        <v/>
      </c>
      <c r="T483" s="15" t="n">
        <v>0</v>
      </c>
      <c r="U483" s="15">
        <f>S483+T483</f>
        <v/>
      </c>
      <c r="V483" s="15">
        <f>INT((2^$J$12-1)*U483/100)/(2^$J$12-1)*100</f>
        <v/>
      </c>
      <c r="X483" s="15">
        <f>M483 * 1.05</f>
        <v/>
      </c>
      <c r="Y483" s="15">
        <f>M483 * 0.95</f>
        <v/>
      </c>
      <c r="Z483" s="15">
        <f>IF(AND(V483 &lt;= X483, V483 &gt;= Y483), 1, 0)</f>
        <v/>
      </c>
      <c r="AC483" s="15">
        <f>N483^2</f>
        <v/>
      </c>
      <c r="AD483" s="15">
        <f>ABS(N483)</f>
        <v/>
      </c>
      <c r="AE483" s="15">
        <f>IF(M483&gt;0, ABS(N483)*(L483-$D$16),0)</f>
        <v/>
      </c>
    </row>
    <row r="484">
      <c r="L484" s="15" t="n">
        <v>482</v>
      </c>
      <c r="M484" s="15">
        <f>IF(L484&lt;$D$16,$D$12,IF(L484&lt;$E$16,$E$12,$F$13))</f>
        <v/>
      </c>
      <c r="N484" s="15">
        <f>M484-V484</f>
        <v/>
      </c>
      <c r="O484" s="15">
        <f>IF(MOD(L484,$B$11)=0,OFFSET(O484,-$B$11,0)+ $E$2*N484+$E$3*OFFSET(N484,-$B$11,0)+ $E$4*OFFSET(N484,-2* $B$11,0), O483)</f>
        <v/>
      </c>
      <c r="P484" s="15">
        <f>INT((2^$J$12-1)*O484/100)/(2^$J$12-1)*100</f>
        <v/>
      </c>
      <c r="Q484" s="15" t="n">
        <v>0</v>
      </c>
      <c r="R484" s="15">
        <f>P484+Q484</f>
        <v/>
      </c>
      <c r="S484" s="15">
        <f>$I$1*S483-$I$2*S482+$I$3*R463+$I$4*R462</f>
        <v/>
      </c>
      <c r="T484" s="15" t="n">
        <v>0</v>
      </c>
      <c r="U484" s="15">
        <f>S484+T484</f>
        <v/>
      </c>
      <c r="V484" s="15">
        <f>INT((2^$J$12-1)*U484/100)/(2^$J$12-1)*100</f>
        <v/>
      </c>
      <c r="X484" s="15">
        <f>M484 * 1.05</f>
        <v/>
      </c>
      <c r="Y484" s="15">
        <f>M484 * 0.95</f>
        <v/>
      </c>
      <c r="Z484" s="15">
        <f>IF(AND(V484 &lt;= X484, V484 &gt;= Y484), 1, 0)</f>
        <v/>
      </c>
      <c r="AC484" s="15">
        <f>N484^2</f>
        <v/>
      </c>
      <c r="AD484" s="15">
        <f>ABS(N484)</f>
        <v/>
      </c>
      <c r="AE484" s="15">
        <f>IF(M484&gt;0, ABS(N484)*(L484-$D$16),0)</f>
        <v/>
      </c>
    </row>
    <row r="485">
      <c r="L485" s="15" t="n">
        <v>483</v>
      </c>
      <c r="M485" s="15">
        <f>IF(L485&lt;$D$16,$D$12,IF(L485&lt;$E$16,$E$12,$F$13))</f>
        <v/>
      </c>
      <c r="N485" s="15">
        <f>M485-V485</f>
        <v/>
      </c>
      <c r="O485" s="15">
        <f>IF(MOD(L485,$B$11)=0,OFFSET(O485,-$B$11,0)+ $E$2*N485+$E$3*OFFSET(N485,-$B$11,0)+ $E$4*OFFSET(N485,-2* $B$11,0), O484)</f>
        <v/>
      </c>
      <c r="P485" s="15">
        <f>INT((2^$J$12-1)*O485/100)/(2^$J$12-1)*100</f>
        <v/>
      </c>
      <c r="Q485" s="15" t="n">
        <v>0</v>
      </c>
      <c r="R485" s="15">
        <f>P485+Q485</f>
        <v/>
      </c>
      <c r="S485" s="15">
        <f>$I$1*S484-$I$2*S483+$I$3*R464+$I$4*R463</f>
        <v/>
      </c>
      <c r="T485" s="15" t="n">
        <v>0</v>
      </c>
      <c r="U485" s="15">
        <f>S485+T485</f>
        <v/>
      </c>
      <c r="V485" s="15">
        <f>INT((2^$J$12-1)*U485/100)/(2^$J$12-1)*100</f>
        <v/>
      </c>
      <c r="X485" s="15">
        <f>M485 * 1.05</f>
        <v/>
      </c>
      <c r="Y485" s="15">
        <f>M485 * 0.95</f>
        <v/>
      </c>
      <c r="Z485" s="15">
        <f>IF(AND(V485 &lt;= X485, V485 &gt;= Y485), 1, 0)</f>
        <v/>
      </c>
      <c r="AC485" s="15">
        <f>N485^2</f>
        <v/>
      </c>
      <c r="AD485" s="15">
        <f>ABS(N485)</f>
        <v/>
      </c>
      <c r="AE485" s="15">
        <f>IF(M485&gt;0, ABS(N485)*(L485-$D$16),0)</f>
        <v/>
      </c>
    </row>
    <row r="486">
      <c r="L486" s="15" t="n">
        <v>484</v>
      </c>
      <c r="M486" s="15">
        <f>IF(L486&lt;$D$16,$D$12,IF(L486&lt;$E$16,$E$12,$F$13))</f>
        <v/>
      </c>
      <c r="N486" s="15">
        <f>M486-V486</f>
        <v/>
      </c>
      <c r="O486" s="15">
        <f>IF(MOD(L486,$B$11)=0,OFFSET(O486,-$B$11,0)+ $E$2*N486+$E$3*OFFSET(N486,-$B$11,0)+ $E$4*OFFSET(N486,-2* $B$11,0), O485)</f>
        <v/>
      </c>
      <c r="P486" s="15">
        <f>INT((2^$J$12-1)*O486/100)/(2^$J$12-1)*100</f>
        <v/>
      </c>
      <c r="Q486" s="15" t="n">
        <v>0</v>
      </c>
      <c r="R486" s="15">
        <f>P486+Q486</f>
        <v/>
      </c>
      <c r="S486" s="15">
        <f>$I$1*S485-$I$2*S484+$I$3*R465+$I$4*R464</f>
        <v/>
      </c>
      <c r="T486" s="15" t="n">
        <v>0</v>
      </c>
      <c r="U486" s="15">
        <f>S486+T486</f>
        <v/>
      </c>
      <c r="V486" s="15">
        <f>INT((2^$J$12-1)*U486/100)/(2^$J$12-1)*100</f>
        <v/>
      </c>
      <c r="X486" s="15">
        <f>M486 * 1.05</f>
        <v/>
      </c>
      <c r="Y486" s="15">
        <f>M486 * 0.95</f>
        <v/>
      </c>
      <c r="Z486" s="15">
        <f>IF(AND(V486 &lt;= X486, V486 &gt;= Y486), 1, 0)</f>
        <v/>
      </c>
      <c r="AC486" s="15">
        <f>N486^2</f>
        <v/>
      </c>
      <c r="AD486" s="15">
        <f>ABS(N486)</f>
        <v/>
      </c>
      <c r="AE486" s="15">
        <f>IF(M486&gt;0, ABS(N486)*(L486-$D$16),0)</f>
        <v/>
      </c>
    </row>
    <row r="487">
      <c r="L487" s="15" t="n">
        <v>485</v>
      </c>
      <c r="M487" s="15">
        <f>IF(L487&lt;$D$16,$D$12,IF(L487&lt;$E$16,$E$12,$F$13))</f>
        <v/>
      </c>
      <c r="N487" s="15">
        <f>M487-V487</f>
        <v/>
      </c>
      <c r="O487" s="15">
        <f>IF(MOD(L487,$B$11)=0,OFFSET(O487,-$B$11,0)+ $E$2*N487+$E$3*OFFSET(N487,-$B$11,0)+ $E$4*OFFSET(N487,-2* $B$11,0), O486)</f>
        <v/>
      </c>
      <c r="P487" s="15">
        <f>INT((2^$J$12-1)*O487/100)/(2^$J$12-1)*100</f>
        <v/>
      </c>
      <c r="Q487" s="15" t="n">
        <v>0</v>
      </c>
      <c r="R487" s="15">
        <f>P487+Q487</f>
        <v/>
      </c>
      <c r="S487" s="15">
        <f>$I$1*S486-$I$2*S485+$I$3*R466+$I$4*R465</f>
        <v/>
      </c>
      <c r="T487" s="15" t="n">
        <v>0</v>
      </c>
      <c r="U487" s="15">
        <f>S487+T487</f>
        <v/>
      </c>
      <c r="V487" s="15">
        <f>INT((2^$J$12-1)*U487/100)/(2^$J$12-1)*100</f>
        <v/>
      </c>
      <c r="X487" s="15">
        <f>M487 * 1.05</f>
        <v/>
      </c>
      <c r="Y487" s="15">
        <f>M487 * 0.95</f>
        <v/>
      </c>
      <c r="Z487" s="15">
        <f>IF(AND(V487 &lt;= X487, V487 &gt;= Y487), 1, 0)</f>
        <v/>
      </c>
      <c r="AC487" s="15">
        <f>N487^2</f>
        <v/>
      </c>
      <c r="AD487" s="15">
        <f>ABS(N487)</f>
        <v/>
      </c>
      <c r="AE487" s="15">
        <f>IF(M487&gt;0, ABS(N487)*(L487-$D$16),0)</f>
        <v/>
      </c>
    </row>
    <row r="488">
      <c r="L488" s="15" t="n">
        <v>486</v>
      </c>
      <c r="M488" s="15">
        <f>IF(L488&lt;$D$16,$D$12,IF(L488&lt;$E$16,$E$12,$F$13))</f>
        <v/>
      </c>
      <c r="N488" s="15">
        <f>M488-V488</f>
        <v/>
      </c>
      <c r="O488" s="15">
        <f>IF(MOD(L488,$B$11)=0,OFFSET(O488,-$B$11,0)+ $E$2*N488+$E$3*OFFSET(N488,-$B$11,0)+ $E$4*OFFSET(N488,-2* $B$11,0), O487)</f>
        <v/>
      </c>
      <c r="P488" s="15">
        <f>INT((2^$J$12-1)*O488/100)/(2^$J$12-1)*100</f>
        <v/>
      </c>
      <c r="Q488" s="15" t="n">
        <v>0</v>
      </c>
      <c r="R488" s="15">
        <f>P488+Q488</f>
        <v/>
      </c>
      <c r="S488" s="15">
        <f>$I$1*S487-$I$2*S486+$I$3*R467+$I$4*R466</f>
        <v/>
      </c>
      <c r="T488" s="15" t="n">
        <v>0</v>
      </c>
      <c r="U488" s="15">
        <f>S488+T488</f>
        <v/>
      </c>
      <c r="V488" s="15">
        <f>INT((2^$J$12-1)*U488/100)/(2^$J$12-1)*100</f>
        <v/>
      </c>
      <c r="X488" s="15">
        <f>M488 * 1.05</f>
        <v/>
      </c>
      <c r="Y488" s="15">
        <f>M488 * 0.95</f>
        <v/>
      </c>
      <c r="Z488" s="15">
        <f>IF(AND(V488 &lt;= X488, V488 &gt;= Y488), 1, 0)</f>
        <v/>
      </c>
      <c r="AC488" s="15">
        <f>N488^2</f>
        <v/>
      </c>
      <c r="AD488" s="15">
        <f>ABS(N488)</f>
        <v/>
      </c>
      <c r="AE488" s="15">
        <f>IF(M488&gt;0, ABS(N488)*(L488-$D$16),0)</f>
        <v/>
      </c>
    </row>
    <row r="489">
      <c r="L489" s="15" t="n">
        <v>487</v>
      </c>
      <c r="M489" s="15">
        <f>IF(L489&lt;$D$16,$D$12,IF(L489&lt;$E$16,$E$12,$F$13))</f>
        <v/>
      </c>
      <c r="N489" s="15">
        <f>M489-V489</f>
        <v/>
      </c>
      <c r="O489" s="15">
        <f>IF(MOD(L489,$B$11)=0,OFFSET(O489,-$B$11,0)+ $E$2*N489+$E$3*OFFSET(N489,-$B$11,0)+ $E$4*OFFSET(N489,-2* $B$11,0), O488)</f>
        <v/>
      </c>
      <c r="P489" s="15">
        <f>INT((2^$J$12-1)*O489/100)/(2^$J$12-1)*100</f>
        <v/>
      </c>
      <c r="Q489" s="15" t="n">
        <v>0</v>
      </c>
      <c r="R489" s="15">
        <f>P489+Q489</f>
        <v/>
      </c>
      <c r="S489" s="15">
        <f>$I$1*S488-$I$2*S487+$I$3*R468+$I$4*R467</f>
        <v/>
      </c>
      <c r="T489" s="15" t="n">
        <v>0</v>
      </c>
      <c r="U489" s="15">
        <f>S489+T489</f>
        <v/>
      </c>
      <c r="V489" s="15">
        <f>INT((2^$J$12-1)*U489/100)/(2^$J$12-1)*100</f>
        <v/>
      </c>
      <c r="X489" s="15">
        <f>M489 * 1.05</f>
        <v/>
      </c>
      <c r="Y489" s="15">
        <f>M489 * 0.95</f>
        <v/>
      </c>
      <c r="Z489" s="15">
        <f>IF(AND(V489 &lt;= X489, V489 &gt;= Y489), 1, 0)</f>
        <v/>
      </c>
      <c r="AC489" s="15">
        <f>N489^2</f>
        <v/>
      </c>
      <c r="AD489" s="15">
        <f>ABS(N489)</f>
        <v/>
      </c>
      <c r="AE489" s="15">
        <f>IF(M489&gt;0, ABS(N489)*(L489-$D$16),0)</f>
        <v/>
      </c>
    </row>
    <row r="490">
      <c r="L490" s="15" t="n">
        <v>488</v>
      </c>
      <c r="M490" s="15">
        <f>IF(L490&lt;$D$16,$D$12,IF(L490&lt;$E$16,$E$12,$F$13))</f>
        <v/>
      </c>
      <c r="N490" s="15">
        <f>M490-V490</f>
        <v/>
      </c>
      <c r="O490" s="15">
        <f>IF(MOD(L490,$B$11)=0,OFFSET(O490,-$B$11,0)+ $E$2*N490+$E$3*OFFSET(N490,-$B$11,0)+ $E$4*OFFSET(N490,-2* $B$11,0), O489)</f>
        <v/>
      </c>
      <c r="P490" s="15">
        <f>INT((2^$J$12-1)*O490/100)/(2^$J$12-1)*100</f>
        <v/>
      </c>
      <c r="Q490" s="15" t="n">
        <v>0</v>
      </c>
      <c r="R490" s="15">
        <f>P490+Q490</f>
        <v/>
      </c>
      <c r="S490" s="15">
        <f>$I$1*S489-$I$2*S488+$I$3*R469+$I$4*R468</f>
        <v/>
      </c>
      <c r="T490" s="15" t="n">
        <v>0</v>
      </c>
      <c r="U490" s="15">
        <f>S490+T490</f>
        <v/>
      </c>
      <c r="V490" s="15">
        <f>INT((2^$J$12-1)*U490/100)/(2^$J$12-1)*100</f>
        <v/>
      </c>
      <c r="X490" s="15">
        <f>M490 * 1.05</f>
        <v/>
      </c>
      <c r="Y490" s="15">
        <f>M490 * 0.95</f>
        <v/>
      </c>
      <c r="Z490" s="15">
        <f>IF(AND(V490 &lt;= X490, V490 &gt;= Y490), 1, 0)</f>
        <v/>
      </c>
      <c r="AC490" s="15">
        <f>N490^2</f>
        <v/>
      </c>
      <c r="AD490" s="15">
        <f>ABS(N490)</f>
        <v/>
      </c>
      <c r="AE490" s="15">
        <f>IF(M490&gt;0, ABS(N490)*(L490-$D$16),0)</f>
        <v/>
      </c>
    </row>
    <row r="491">
      <c r="L491" s="15" t="n">
        <v>489</v>
      </c>
      <c r="M491" s="15">
        <f>IF(L491&lt;$D$16,$D$12,IF(L491&lt;$E$16,$E$12,$F$13))</f>
        <v/>
      </c>
      <c r="N491" s="15">
        <f>M491-V491</f>
        <v/>
      </c>
      <c r="O491" s="15">
        <f>IF(MOD(L491,$B$11)=0,OFFSET(O491,-$B$11,0)+ $E$2*N491+$E$3*OFFSET(N491,-$B$11,0)+ $E$4*OFFSET(N491,-2* $B$11,0), O490)</f>
        <v/>
      </c>
      <c r="P491" s="15">
        <f>INT((2^$J$12-1)*O491/100)/(2^$J$12-1)*100</f>
        <v/>
      </c>
      <c r="Q491" s="15" t="n">
        <v>0</v>
      </c>
      <c r="R491" s="15">
        <f>P491+Q491</f>
        <v/>
      </c>
      <c r="S491" s="15">
        <f>$I$1*S490-$I$2*S489+$I$3*R470+$I$4*R469</f>
        <v/>
      </c>
      <c r="T491" s="15" t="n">
        <v>0</v>
      </c>
      <c r="U491" s="15">
        <f>S491+T491</f>
        <v/>
      </c>
      <c r="V491" s="15">
        <f>INT((2^$J$12-1)*U491/100)/(2^$J$12-1)*100</f>
        <v/>
      </c>
      <c r="X491" s="15">
        <f>M491 * 1.05</f>
        <v/>
      </c>
      <c r="Y491" s="15">
        <f>M491 * 0.95</f>
        <v/>
      </c>
      <c r="Z491" s="15">
        <f>IF(AND(V491 &lt;= X491, V491 &gt;= Y491), 1, 0)</f>
        <v/>
      </c>
      <c r="AC491" s="15">
        <f>N491^2</f>
        <v/>
      </c>
      <c r="AD491" s="15">
        <f>ABS(N491)</f>
        <v/>
      </c>
      <c r="AE491" s="15">
        <f>IF(M491&gt;0, ABS(N491)*(L491-$D$16),0)</f>
        <v/>
      </c>
    </row>
    <row r="492">
      <c r="L492" s="15" t="n">
        <v>490</v>
      </c>
      <c r="M492" s="15">
        <f>IF(L492&lt;$D$16,$D$12,IF(L492&lt;$E$16,$E$12,$F$13))</f>
        <v/>
      </c>
      <c r="N492" s="15">
        <f>M492-V492</f>
        <v/>
      </c>
      <c r="O492" s="15">
        <f>IF(MOD(L492,$B$11)=0,OFFSET(O492,-$B$11,0)+ $E$2*N492+$E$3*OFFSET(N492,-$B$11,0)+ $E$4*OFFSET(N492,-2* $B$11,0), O491)</f>
        <v/>
      </c>
      <c r="P492" s="15">
        <f>INT((2^$J$12-1)*O492/100)/(2^$J$12-1)*100</f>
        <v/>
      </c>
      <c r="Q492" s="15" t="n">
        <v>0</v>
      </c>
      <c r="R492" s="15">
        <f>P492+Q492</f>
        <v/>
      </c>
      <c r="S492" s="15">
        <f>$I$1*S491-$I$2*S490+$I$3*R471+$I$4*R470</f>
        <v/>
      </c>
      <c r="T492" s="15" t="n">
        <v>0</v>
      </c>
      <c r="U492" s="15">
        <f>S492+T492</f>
        <v/>
      </c>
      <c r="V492" s="15">
        <f>INT((2^$J$12-1)*U492/100)/(2^$J$12-1)*100</f>
        <v/>
      </c>
      <c r="X492" s="15">
        <f>M492 * 1.05</f>
        <v/>
      </c>
      <c r="Y492" s="15">
        <f>M492 * 0.95</f>
        <v/>
      </c>
      <c r="Z492" s="15">
        <f>IF(AND(V492 &lt;= X492, V492 &gt;= Y492), 1, 0)</f>
        <v/>
      </c>
      <c r="AC492" s="15">
        <f>N492^2</f>
        <v/>
      </c>
      <c r="AD492" s="15">
        <f>ABS(N492)</f>
        <v/>
      </c>
      <c r="AE492" s="15">
        <f>IF(M492&gt;0, ABS(N492)*(L492-$D$16),0)</f>
        <v/>
      </c>
    </row>
    <row r="493">
      <c r="L493" s="15" t="n">
        <v>491</v>
      </c>
      <c r="M493" s="15">
        <f>IF(L493&lt;$D$16,$D$12,IF(L493&lt;$E$16,$E$12,$F$13))</f>
        <v/>
      </c>
      <c r="N493" s="15">
        <f>M493-V493</f>
        <v/>
      </c>
      <c r="O493" s="15">
        <f>IF(MOD(L493,$B$11)=0,OFFSET(O493,-$B$11,0)+ $E$2*N493+$E$3*OFFSET(N493,-$B$11,0)+ $E$4*OFFSET(N493,-2* $B$11,0), O492)</f>
        <v/>
      </c>
      <c r="P493" s="15">
        <f>INT((2^$J$12-1)*O493/100)/(2^$J$12-1)*100</f>
        <v/>
      </c>
      <c r="Q493" s="15" t="n">
        <v>0</v>
      </c>
      <c r="R493" s="15">
        <f>P493+Q493</f>
        <v/>
      </c>
      <c r="S493" s="15">
        <f>$I$1*S492-$I$2*S491+$I$3*R472+$I$4*R471</f>
        <v/>
      </c>
      <c r="T493" s="15" t="n">
        <v>0</v>
      </c>
      <c r="U493" s="15">
        <f>S493+T493</f>
        <v/>
      </c>
      <c r="V493" s="15">
        <f>INT((2^$J$12-1)*U493/100)/(2^$J$12-1)*100</f>
        <v/>
      </c>
      <c r="X493" s="15">
        <f>M493 * 1.05</f>
        <v/>
      </c>
      <c r="Y493" s="15">
        <f>M493 * 0.95</f>
        <v/>
      </c>
      <c r="Z493" s="15">
        <f>IF(AND(V493 &lt;= X493, V493 &gt;= Y493), 1, 0)</f>
        <v/>
      </c>
      <c r="AC493" s="15">
        <f>N493^2</f>
        <v/>
      </c>
      <c r="AD493" s="15">
        <f>ABS(N493)</f>
        <v/>
      </c>
      <c r="AE493" s="15">
        <f>IF(M493&gt;0, ABS(N493)*(L493-$D$16),0)</f>
        <v/>
      </c>
    </row>
    <row r="494">
      <c r="L494" s="15" t="n">
        <v>492</v>
      </c>
      <c r="M494" s="15">
        <f>IF(L494&lt;$D$16,$D$12,IF(L494&lt;$E$16,$E$12,$F$13))</f>
        <v/>
      </c>
      <c r="N494" s="15">
        <f>M494-V494</f>
        <v/>
      </c>
      <c r="O494" s="15">
        <f>IF(MOD(L494,$B$11)=0,OFFSET(O494,-$B$11,0)+ $E$2*N494+$E$3*OFFSET(N494,-$B$11,0)+ $E$4*OFFSET(N494,-2* $B$11,0), O493)</f>
        <v/>
      </c>
      <c r="P494" s="15">
        <f>INT((2^$J$12-1)*O494/100)/(2^$J$12-1)*100</f>
        <v/>
      </c>
      <c r="Q494" s="15" t="n">
        <v>0</v>
      </c>
      <c r="R494" s="15">
        <f>P494+Q494</f>
        <v/>
      </c>
      <c r="S494" s="15">
        <f>$I$1*S493-$I$2*S492+$I$3*R473+$I$4*R472</f>
        <v/>
      </c>
      <c r="T494" s="15" t="n">
        <v>0</v>
      </c>
      <c r="U494" s="15">
        <f>S494+T494</f>
        <v/>
      </c>
      <c r="V494" s="15">
        <f>INT((2^$J$12-1)*U494/100)/(2^$J$12-1)*100</f>
        <v/>
      </c>
      <c r="X494" s="15">
        <f>M494 * 1.05</f>
        <v/>
      </c>
      <c r="Y494" s="15">
        <f>M494 * 0.95</f>
        <v/>
      </c>
      <c r="Z494" s="15">
        <f>IF(AND(V494 &lt;= X494, V494 &gt;= Y494), 1, 0)</f>
        <v/>
      </c>
      <c r="AC494" s="15">
        <f>N494^2</f>
        <v/>
      </c>
      <c r="AD494" s="15">
        <f>ABS(N494)</f>
        <v/>
      </c>
      <c r="AE494" s="15">
        <f>IF(M494&gt;0, ABS(N494)*(L494-$D$16),0)</f>
        <v/>
      </c>
    </row>
    <row r="495">
      <c r="L495" s="15" t="n">
        <v>493</v>
      </c>
      <c r="M495" s="15">
        <f>IF(L495&lt;$D$16,$D$12,IF(L495&lt;$E$16,$E$12,$F$13))</f>
        <v/>
      </c>
      <c r="N495" s="15">
        <f>M495-V495</f>
        <v/>
      </c>
      <c r="O495" s="15">
        <f>IF(MOD(L495,$B$11)=0,OFFSET(O495,-$B$11,0)+ $E$2*N495+$E$3*OFFSET(N495,-$B$11,0)+ $E$4*OFFSET(N495,-2* $B$11,0), O494)</f>
        <v/>
      </c>
      <c r="P495" s="15">
        <f>INT((2^$J$12-1)*O495/100)/(2^$J$12-1)*100</f>
        <v/>
      </c>
      <c r="Q495" s="15" t="n">
        <v>0</v>
      </c>
      <c r="R495" s="15">
        <f>P495+Q495</f>
        <v/>
      </c>
      <c r="S495" s="15">
        <f>$I$1*S494-$I$2*S493+$I$3*R474+$I$4*R473</f>
        <v/>
      </c>
      <c r="T495" s="15" t="n">
        <v>0</v>
      </c>
      <c r="U495" s="15">
        <f>S495+T495</f>
        <v/>
      </c>
      <c r="V495" s="15">
        <f>INT((2^$J$12-1)*U495/100)/(2^$J$12-1)*100</f>
        <v/>
      </c>
      <c r="X495" s="15">
        <f>M495 * 1.05</f>
        <v/>
      </c>
      <c r="Y495" s="15">
        <f>M495 * 0.95</f>
        <v/>
      </c>
      <c r="Z495" s="15">
        <f>IF(AND(V495 &lt;= X495, V495 &gt;= Y495), 1, 0)</f>
        <v/>
      </c>
      <c r="AC495" s="15">
        <f>N495^2</f>
        <v/>
      </c>
      <c r="AD495" s="15">
        <f>ABS(N495)</f>
        <v/>
      </c>
      <c r="AE495" s="15">
        <f>IF(M495&gt;0, ABS(N495)*(L495-$D$16),0)</f>
        <v/>
      </c>
    </row>
    <row r="496">
      <c r="L496" s="15" t="n">
        <v>494</v>
      </c>
      <c r="M496" s="15">
        <f>IF(L496&lt;$D$16,$D$12,IF(L496&lt;$E$16,$E$12,$F$13))</f>
        <v/>
      </c>
      <c r="N496" s="15">
        <f>M496-V496</f>
        <v/>
      </c>
      <c r="O496" s="15">
        <f>IF(MOD(L496,$B$11)=0,OFFSET(O496,-$B$11,0)+ $E$2*N496+$E$3*OFFSET(N496,-$B$11,0)+ $E$4*OFFSET(N496,-2* $B$11,0), O495)</f>
        <v/>
      </c>
      <c r="P496" s="15">
        <f>INT((2^$J$12-1)*O496/100)/(2^$J$12-1)*100</f>
        <v/>
      </c>
      <c r="Q496" s="15" t="n">
        <v>0</v>
      </c>
      <c r="R496" s="15">
        <f>P496+Q496</f>
        <v/>
      </c>
      <c r="S496" s="15">
        <f>$I$1*S495-$I$2*S494+$I$3*R475+$I$4*R474</f>
        <v/>
      </c>
      <c r="T496" s="15" t="n">
        <v>0</v>
      </c>
      <c r="U496" s="15">
        <f>S496+T496</f>
        <v/>
      </c>
      <c r="V496" s="15">
        <f>INT((2^$J$12-1)*U496/100)/(2^$J$12-1)*100</f>
        <v/>
      </c>
      <c r="X496" s="15">
        <f>M496 * 1.05</f>
        <v/>
      </c>
      <c r="Y496" s="15">
        <f>M496 * 0.95</f>
        <v/>
      </c>
      <c r="Z496" s="15">
        <f>IF(AND(V496 &lt;= X496, V496 &gt;= Y496), 1, 0)</f>
        <v/>
      </c>
      <c r="AC496" s="15">
        <f>N496^2</f>
        <v/>
      </c>
      <c r="AD496" s="15">
        <f>ABS(N496)</f>
        <v/>
      </c>
      <c r="AE496" s="15">
        <f>IF(M496&gt;0, ABS(N496)*(L496-$D$16),0)</f>
        <v/>
      </c>
    </row>
    <row r="497">
      <c r="L497" s="15" t="n">
        <v>495</v>
      </c>
      <c r="M497" s="15">
        <f>IF(L497&lt;$D$16,$D$12,IF(L497&lt;$E$16,$E$12,$F$13))</f>
        <v/>
      </c>
      <c r="N497" s="15">
        <f>M497-V497</f>
        <v/>
      </c>
      <c r="O497" s="15">
        <f>IF(MOD(L497,$B$11)=0,OFFSET(O497,-$B$11,0)+ $E$2*N497+$E$3*OFFSET(N497,-$B$11,0)+ $E$4*OFFSET(N497,-2* $B$11,0), O496)</f>
        <v/>
      </c>
      <c r="P497" s="15">
        <f>INT((2^$J$12-1)*O497/100)/(2^$J$12-1)*100</f>
        <v/>
      </c>
      <c r="Q497" s="15" t="n">
        <v>0</v>
      </c>
      <c r="R497" s="15">
        <f>P497+Q497</f>
        <v/>
      </c>
      <c r="S497" s="15">
        <f>$I$1*S496-$I$2*S495+$I$3*R476+$I$4*R475</f>
        <v/>
      </c>
      <c r="T497" s="15" t="n">
        <v>0</v>
      </c>
      <c r="U497" s="15">
        <f>S497+T497</f>
        <v/>
      </c>
      <c r="V497" s="15">
        <f>INT((2^$J$12-1)*U497/100)/(2^$J$12-1)*100</f>
        <v/>
      </c>
      <c r="X497" s="15">
        <f>M497 * 1.05</f>
        <v/>
      </c>
      <c r="Y497" s="15">
        <f>M497 * 0.95</f>
        <v/>
      </c>
      <c r="Z497" s="15">
        <f>IF(AND(V497 &lt;= X497, V497 &gt;= Y497), 1, 0)</f>
        <v/>
      </c>
      <c r="AC497" s="15">
        <f>N497^2</f>
        <v/>
      </c>
      <c r="AD497" s="15">
        <f>ABS(N497)</f>
        <v/>
      </c>
      <c r="AE497" s="15">
        <f>IF(M497&gt;0, ABS(N497)*(L497-$D$16),0)</f>
        <v/>
      </c>
    </row>
    <row r="498">
      <c r="L498" s="15" t="n">
        <v>496</v>
      </c>
      <c r="M498" s="15">
        <f>IF(L498&lt;$D$16,$D$12,IF(L498&lt;$E$16,$E$12,$F$13))</f>
        <v/>
      </c>
      <c r="N498" s="15">
        <f>M498-V498</f>
        <v/>
      </c>
      <c r="O498" s="15">
        <f>IF(MOD(L498,$B$11)=0,OFFSET(O498,-$B$11,0)+ $E$2*N498+$E$3*OFFSET(N498,-$B$11,0)+ $E$4*OFFSET(N498,-2* $B$11,0), O497)</f>
        <v/>
      </c>
      <c r="P498" s="15">
        <f>INT((2^$J$12-1)*O498/100)/(2^$J$12-1)*100</f>
        <v/>
      </c>
      <c r="Q498" s="15" t="n">
        <v>0</v>
      </c>
      <c r="R498" s="15">
        <f>P498+Q498</f>
        <v/>
      </c>
      <c r="S498" s="15">
        <f>$I$1*S497-$I$2*S496+$I$3*R477+$I$4*R476</f>
        <v/>
      </c>
      <c r="T498" s="15" t="n">
        <v>0</v>
      </c>
      <c r="U498" s="15">
        <f>S498+T498</f>
        <v/>
      </c>
      <c r="V498" s="15">
        <f>INT((2^$J$12-1)*U498/100)/(2^$J$12-1)*100</f>
        <v/>
      </c>
      <c r="X498" s="15">
        <f>M498 * 1.05</f>
        <v/>
      </c>
      <c r="Y498" s="15">
        <f>M498 * 0.95</f>
        <v/>
      </c>
      <c r="Z498" s="15">
        <f>IF(AND(V498 &lt;= X498, V498 &gt;= Y498), 1, 0)</f>
        <v/>
      </c>
      <c r="AC498" s="15">
        <f>N498^2</f>
        <v/>
      </c>
      <c r="AD498" s="15">
        <f>ABS(N498)</f>
        <v/>
      </c>
      <c r="AE498" s="15">
        <f>IF(M498&gt;0, ABS(N498)*(L498-$D$16),0)</f>
        <v/>
      </c>
    </row>
    <row r="499">
      <c r="L499" s="15" t="n">
        <v>497</v>
      </c>
      <c r="M499" s="15">
        <f>IF(L499&lt;$D$16,$D$12,IF(L499&lt;$E$16,$E$12,$F$13))</f>
        <v/>
      </c>
      <c r="N499" s="15">
        <f>M499-V499</f>
        <v/>
      </c>
      <c r="O499" s="15">
        <f>IF(MOD(L499,$B$11)=0,OFFSET(O499,-$B$11,0)+ $E$2*N499+$E$3*OFFSET(N499,-$B$11,0)+ $E$4*OFFSET(N499,-2* $B$11,0), O498)</f>
        <v/>
      </c>
      <c r="P499" s="15">
        <f>INT((2^$J$12-1)*O499/100)/(2^$J$12-1)*100</f>
        <v/>
      </c>
      <c r="Q499" s="15" t="n">
        <v>0</v>
      </c>
      <c r="R499" s="15">
        <f>P499+Q499</f>
        <v/>
      </c>
      <c r="S499" s="15">
        <f>$I$1*S498-$I$2*S497+$I$3*R478+$I$4*R477</f>
        <v/>
      </c>
      <c r="T499" s="15" t="n">
        <v>0</v>
      </c>
      <c r="U499" s="15">
        <f>S499+T499</f>
        <v/>
      </c>
      <c r="V499" s="15">
        <f>INT((2^$J$12-1)*U499/100)/(2^$J$12-1)*100</f>
        <v/>
      </c>
      <c r="X499" s="15">
        <f>M499 * 1.05</f>
        <v/>
      </c>
      <c r="Y499" s="15">
        <f>M499 * 0.95</f>
        <v/>
      </c>
      <c r="Z499" s="15">
        <f>IF(AND(V499 &lt;= X499, V499 &gt;= Y499), 1, 0)</f>
        <v/>
      </c>
      <c r="AC499" s="15">
        <f>N499^2</f>
        <v/>
      </c>
      <c r="AD499" s="15">
        <f>ABS(N499)</f>
        <v/>
      </c>
      <c r="AE499" s="15">
        <f>IF(M499&gt;0, ABS(N499)*(L499-$D$16),0)</f>
        <v/>
      </c>
    </row>
    <row r="500">
      <c r="L500" s="15" t="n">
        <v>498</v>
      </c>
      <c r="M500" s="15">
        <f>IF(L500&lt;$D$16,$D$12,IF(L500&lt;$E$16,$E$12,$F$13))</f>
        <v/>
      </c>
      <c r="N500" s="15">
        <f>M500-V500</f>
        <v/>
      </c>
      <c r="O500" s="15">
        <f>IF(MOD(L500,$B$11)=0,OFFSET(O500,-$B$11,0)+ $E$2*N500+$E$3*OFFSET(N500,-$B$11,0)+ $E$4*OFFSET(N500,-2* $B$11,0), O499)</f>
        <v/>
      </c>
      <c r="P500" s="15">
        <f>INT((2^$J$12-1)*O500/100)/(2^$J$12-1)*100</f>
        <v/>
      </c>
      <c r="Q500" s="15" t="n">
        <v>0</v>
      </c>
      <c r="R500" s="15">
        <f>P500+Q500</f>
        <v/>
      </c>
      <c r="S500" s="15">
        <f>$I$1*S499-$I$2*S498+$I$3*R479+$I$4*R478</f>
        <v/>
      </c>
      <c r="T500" s="15" t="n">
        <v>0</v>
      </c>
      <c r="U500" s="15">
        <f>S500+T500</f>
        <v/>
      </c>
      <c r="V500" s="15">
        <f>INT((2^$J$12-1)*U500/100)/(2^$J$12-1)*100</f>
        <v/>
      </c>
      <c r="X500" s="15">
        <f>M500 * 1.05</f>
        <v/>
      </c>
      <c r="Y500" s="15">
        <f>M500 * 0.95</f>
        <v/>
      </c>
      <c r="Z500" s="15">
        <f>IF(AND(V500 &lt;= X500, V500 &gt;= Y500), 1, 0)</f>
        <v/>
      </c>
      <c r="AC500" s="15">
        <f>N500^2</f>
        <v/>
      </c>
      <c r="AD500" s="15">
        <f>ABS(N500)</f>
        <v/>
      </c>
      <c r="AE500" s="15">
        <f>IF(M500&gt;0, ABS(N500)*(L500-$D$16),0)</f>
        <v/>
      </c>
    </row>
    <row r="501">
      <c r="L501" s="15" t="n">
        <v>499</v>
      </c>
      <c r="M501" s="15">
        <f>IF(L501&lt;$D$16,$D$12,IF(L501&lt;$E$16,$E$12,$F$13))</f>
        <v/>
      </c>
      <c r="N501" s="15">
        <f>M501-V501</f>
        <v/>
      </c>
      <c r="O501" s="15">
        <f>IF(MOD(L501,$B$11)=0,OFFSET(O501,-$B$11,0)+ $E$2*N501+$E$3*OFFSET(N501,-$B$11,0)+ $E$4*OFFSET(N501,-2* $B$11,0), O500)</f>
        <v/>
      </c>
      <c r="P501" s="15">
        <f>INT((2^$J$12-1)*O501/100)/(2^$J$12-1)*100</f>
        <v/>
      </c>
      <c r="Q501" s="15" t="n">
        <v>0</v>
      </c>
      <c r="R501" s="15">
        <f>P501+Q501</f>
        <v/>
      </c>
      <c r="S501" s="15">
        <f>$I$1*S500-$I$2*S499+$I$3*R480+$I$4*R479</f>
        <v/>
      </c>
      <c r="T501" s="15" t="n">
        <v>0</v>
      </c>
      <c r="U501" s="15">
        <f>S501+T501</f>
        <v/>
      </c>
      <c r="V501" s="15">
        <f>INT((2^$J$12-1)*U501/100)/(2^$J$12-1)*100</f>
        <v/>
      </c>
      <c r="X501" s="15">
        <f>M501 * 1.05</f>
        <v/>
      </c>
      <c r="Y501" s="15">
        <f>M501 * 0.95</f>
        <v/>
      </c>
      <c r="Z501" s="15">
        <f>IF(AND(V501 &lt;= X501, V501 &gt;= Y501), 1, 0)</f>
        <v/>
      </c>
      <c r="AC501" s="15">
        <f>N501^2</f>
        <v/>
      </c>
      <c r="AD501" s="15">
        <f>ABS(N501)</f>
        <v/>
      </c>
      <c r="AE501" s="15">
        <f>IF(M501&gt;0, ABS(N501)*(L501-$D$16),0)</f>
        <v/>
      </c>
    </row>
    <row r="502">
      <c r="L502" s="15" t="n">
        <v>500</v>
      </c>
      <c r="M502" s="15">
        <f>IF(L502&lt;$D$16,$D$12,IF(L502&lt;$E$16,$E$12,$F$13))</f>
        <v/>
      </c>
      <c r="N502" s="15">
        <f>M502-V502</f>
        <v/>
      </c>
      <c r="O502" s="15">
        <f>IF(MOD(L502,$B$11)=0,OFFSET(O502,-$B$11,0)+ $E$2*N502+$E$3*OFFSET(N502,-$B$11,0)+ $E$4*OFFSET(N502,-2* $B$11,0), O501)</f>
        <v/>
      </c>
      <c r="P502" s="15">
        <f>INT((2^$J$12-1)*O502/100)/(2^$J$12-1)*100</f>
        <v/>
      </c>
      <c r="Q502" s="15" t="n">
        <v>0</v>
      </c>
      <c r="R502" s="15">
        <f>P502+Q502</f>
        <v/>
      </c>
      <c r="S502" s="15">
        <f>$I$1*S501-$I$2*S500+$I$3*R481+$I$4*R480</f>
        <v/>
      </c>
      <c r="T502" s="15" t="n">
        <v>0</v>
      </c>
      <c r="U502" s="15">
        <f>S502+T502</f>
        <v/>
      </c>
      <c r="V502" s="15">
        <f>INT((2^$J$12-1)*U502/100)/(2^$J$12-1)*100</f>
        <v/>
      </c>
      <c r="X502" s="15">
        <f>M502 * 1.05</f>
        <v/>
      </c>
      <c r="Y502" s="15">
        <f>M502 * 0.95</f>
        <v/>
      </c>
      <c r="Z502" s="15">
        <f>IF(AND(V502 &lt;= X502, V502 &gt;= Y502), 1, 0)</f>
        <v/>
      </c>
      <c r="AC502" s="15">
        <f>N502^2</f>
        <v/>
      </c>
      <c r="AD502" s="15">
        <f>ABS(N502)</f>
        <v/>
      </c>
      <c r="AE502" s="15">
        <f>IF(M502&gt;0, ABS(N502)*(L502-$D$16),0)</f>
        <v/>
      </c>
    </row>
    <row r="503">
      <c r="L503" s="15" t="n">
        <v>501</v>
      </c>
      <c r="M503" s="15">
        <f>IF(L503&lt;$D$16,$D$12,IF(L503&lt;$E$16,$E$12,$F$13))</f>
        <v/>
      </c>
      <c r="N503" s="15">
        <f>M503-V503</f>
        <v/>
      </c>
      <c r="O503" s="15">
        <f>IF(MOD(L503,$B$11)=0,OFFSET(O503,-$B$11,0)+ $E$2*N503+$E$3*OFFSET(N503,-$B$11,0)+ $E$4*OFFSET(N503,-2* $B$11,0), O502)</f>
        <v/>
      </c>
      <c r="P503" s="15">
        <f>INT((2^$J$12-1)*O503/100)/(2^$J$12-1)*100</f>
        <v/>
      </c>
      <c r="Q503" s="15" t="n">
        <v>0</v>
      </c>
      <c r="R503" s="15">
        <f>P503+Q503</f>
        <v/>
      </c>
      <c r="S503" s="15">
        <f>$I$1*S502-$I$2*S501+$I$3*R482+$I$4*R481</f>
        <v/>
      </c>
      <c r="T503" s="15" t="n">
        <v>0</v>
      </c>
      <c r="U503" s="15">
        <f>S503+T503</f>
        <v/>
      </c>
      <c r="V503" s="15">
        <f>INT((2^$J$12-1)*U503/100)/(2^$J$12-1)*100</f>
        <v/>
      </c>
      <c r="X503" s="15">
        <f>M503 * 1.05</f>
        <v/>
      </c>
      <c r="Y503" s="15">
        <f>M503 * 0.95</f>
        <v/>
      </c>
      <c r="Z503" s="15">
        <f>IF(AND(V503 &lt;= X503, V503 &gt;= Y503), 1, 0)</f>
        <v/>
      </c>
      <c r="AC503" s="15">
        <f>N503^2</f>
        <v/>
      </c>
      <c r="AD503" s="15">
        <f>ABS(N503)</f>
        <v/>
      </c>
      <c r="AE503" s="15">
        <f>IF(M503&gt;0, ABS(N503)*(L503-$D$16),0)</f>
        <v/>
      </c>
    </row>
    <row r="504">
      <c r="L504" s="15" t="n">
        <v>502</v>
      </c>
      <c r="M504" s="15">
        <f>IF(L504&lt;$D$16,$D$12,IF(L504&lt;$E$16,$E$12,$F$13))</f>
        <v/>
      </c>
      <c r="N504" s="15">
        <f>M504-V504</f>
        <v/>
      </c>
      <c r="O504" s="15">
        <f>IF(MOD(L504,$B$11)=0,OFFSET(O504,-$B$11,0)+ $E$2*N504+$E$3*OFFSET(N504,-$B$11,0)+ $E$4*OFFSET(N504,-2* $B$11,0), O503)</f>
        <v/>
      </c>
      <c r="P504" s="15">
        <f>INT((2^$J$12-1)*O504/100)/(2^$J$12-1)*100</f>
        <v/>
      </c>
      <c r="Q504" s="15" t="n">
        <v>0</v>
      </c>
      <c r="R504" s="15">
        <f>P504+Q504</f>
        <v/>
      </c>
      <c r="S504" s="15">
        <f>$I$1*S503-$I$2*S502+$I$3*R483+$I$4*R482</f>
        <v/>
      </c>
      <c r="T504" s="15" t="n">
        <v>0</v>
      </c>
      <c r="U504" s="15">
        <f>S504+T504</f>
        <v/>
      </c>
      <c r="V504" s="15">
        <f>INT((2^$J$12-1)*U504/100)/(2^$J$12-1)*100</f>
        <v/>
      </c>
      <c r="X504" s="15">
        <f>M504 * 1.05</f>
        <v/>
      </c>
      <c r="Y504" s="15">
        <f>M504 * 0.95</f>
        <v/>
      </c>
      <c r="Z504" s="15">
        <f>IF(AND(V504 &lt;= X504, V504 &gt;= Y504), 1, 0)</f>
        <v/>
      </c>
      <c r="AC504" s="15">
        <f>N504^2</f>
        <v/>
      </c>
      <c r="AD504" s="15">
        <f>ABS(N504)</f>
        <v/>
      </c>
      <c r="AE504" s="15">
        <f>IF(M504&gt;0, ABS(N504)*(L504-$D$16),0)</f>
        <v/>
      </c>
    </row>
    <row r="505">
      <c r="L505" s="15" t="n">
        <v>503</v>
      </c>
      <c r="M505" s="15">
        <f>IF(L505&lt;$D$16,$D$12,IF(L505&lt;$E$16,$E$12,$F$13))</f>
        <v/>
      </c>
      <c r="N505" s="15">
        <f>M505-V505</f>
        <v/>
      </c>
      <c r="O505" s="15">
        <f>IF(MOD(L505,$B$11)=0,OFFSET(O505,-$B$11,0)+ $E$2*N505+$E$3*OFFSET(N505,-$B$11,0)+ $E$4*OFFSET(N505,-2* $B$11,0), O504)</f>
        <v/>
      </c>
      <c r="P505" s="15">
        <f>INT((2^$J$12-1)*O505/100)/(2^$J$12-1)*100</f>
        <v/>
      </c>
      <c r="Q505" s="15" t="n">
        <v>0</v>
      </c>
      <c r="R505" s="15">
        <f>P505+Q505</f>
        <v/>
      </c>
      <c r="S505" s="15">
        <f>$I$1*S504-$I$2*S503+$I$3*R484+$I$4*R483</f>
        <v/>
      </c>
      <c r="T505" s="15" t="n">
        <v>0</v>
      </c>
      <c r="U505" s="15">
        <f>S505+T505</f>
        <v/>
      </c>
      <c r="V505" s="15">
        <f>INT((2^$J$12-1)*U505/100)/(2^$J$12-1)*100</f>
        <v/>
      </c>
      <c r="X505" s="15">
        <f>M505 * 1.05</f>
        <v/>
      </c>
      <c r="Y505" s="15">
        <f>M505 * 0.95</f>
        <v/>
      </c>
      <c r="Z505" s="15">
        <f>IF(AND(V505 &lt;= X505, V505 &gt;= Y505), 1, 0)</f>
        <v/>
      </c>
      <c r="AC505" s="15">
        <f>N505^2</f>
        <v/>
      </c>
      <c r="AD505" s="15">
        <f>ABS(N505)</f>
        <v/>
      </c>
      <c r="AE505" s="15">
        <f>IF(M505&gt;0, ABS(N505)*(L505-$D$16),0)</f>
        <v/>
      </c>
    </row>
    <row r="506">
      <c r="L506" s="15" t="n">
        <v>504</v>
      </c>
      <c r="M506" s="15">
        <f>IF(L506&lt;$D$16,$D$12,IF(L506&lt;$E$16,$E$12,$F$13))</f>
        <v/>
      </c>
      <c r="N506" s="15">
        <f>M506-V506</f>
        <v/>
      </c>
      <c r="O506" s="15">
        <f>IF(MOD(L506,$B$11)=0,OFFSET(O506,-$B$11,0)+ $E$2*N506+$E$3*OFFSET(N506,-$B$11,0)+ $E$4*OFFSET(N506,-2* $B$11,0), O505)</f>
        <v/>
      </c>
      <c r="P506" s="15">
        <f>INT((2^$J$12-1)*O506/100)/(2^$J$12-1)*100</f>
        <v/>
      </c>
      <c r="Q506" s="15" t="n">
        <v>0</v>
      </c>
      <c r="R506" s="15">
        <f>P506+Q506</f>
        <v/>
      </c>
      <c r="S506" s="15">
        <f>$I$1*S505-$I$2*S504+$I$3*R485+$I$4*R484</f>
        <v/>
      </c>
      <c r="T506" s="15" t="n">
        <v>0</v>
      </c>
      <c r="U506" s="15">
        <f>S506+T506</f>
        <v/>
      </c>
      <c r="V506" s="15">
        <f>INT((2^$J$12-1)*U506/100)/(2^$J$12-1)*100</f>
        <v/>
      </c>
      <c r="X506" s="15">
        <f>M506 * 1.05</f>
        <v/>
      </c>
      <c r="Y506" s="15">
        <f>M506 * 0.95</f>
        <v/>
      </c>
      <c r="Z506" s="15">
        <f>IF(AND(V506 &lt;= X506, V506 &gt;= Y506), 1, 0)</f>
        <v/>
      </c>
      <c r="AC506" s="15">
        <f>N506^2</f>
        <v/>
      </c>
      <c r="AD506" s="15">
        <f>ABS(N506)</f>
        <v/>
      </c>
      <c r="AE506" s="15">
        <f>IF(M506&gt;0, ABS(N506)*(L506-$D$16),0)</f>
        <v/>
      </c>
    </row>
    <row r="507">
      <c r="L507" s="15" t="n">
        <v>505</v>
      </c>
      <c r="M507" s="15">
        <f>IF(L507&lt;$D$16,$D$12,IF(L507&lt;$E$16,$E$12,$F$13))</f>
        <v/>
      </c>
      <c r="N507" s="15">
        <f>M507-V507</f>
        <v/>
      </c>
      <c r="O507" s="15">
        <f>IF(MOD(L507,$B$11)=0,OFFSET(O507,-$B$11,0)+ $E$2*N507+$E$3*OFFSET(N507,-$B$11,0)+ $E$4*OFFSET(N507,-2* $B$11,0), O506)</f>
        <v/>
      </c>
      <c r="P507" s="15">
        <f>INT((2^$J$12-1)*O507/100)/(2^$J$12-1)*100</f>
        <v/>
      </c>
      <c r="Q507" s="15" t="n">
        <v>0</v>
      </c>
      <c r="R507" s="15">
        <f>P507+Q507</f>
        <v/>
      </c>
      <c r="S507" s="15">
        <f>$I$1*S506-$I$2*S505+$I$3*R486+$I$4*R485</f>
        <v/>
      </c>
      <c r="T507" s="15" t="n">
        <v>0</v>
      </c>
      <c r="U507" s="15">
        <f>S507+T507</f>
        <v/>
      </c>
      <c r="V507" s="15">
        <f>INT((2^$J$12-1)*U507/100)/(2^$J$12-1)*100</f>
        <v/>
      </c>
      <c r="X507" s="15">
        <f>M507 * 1.05</f>
        <v/>
      </c>
      <c r="Y507" s="15">
        <f>M507 * 0.95</f>
        <v/>
      </c>
      <c r="Z507" s="15">
        <f>IF(AND(V507 &lt;= X507, V507 &gt;= Y507), 1, 0)</f>
        <v/>
      </c>
      <c r="AC507" s="15">
        <f>N507^2</f>
        <v/>
      </c>
      <c r="AD507" s="15">
        <f>ABS(N507)</f>
        <v/>
      </c>
      <c r="AE507" s="15">
        <f>IF(M507&gt;0, ABS(N507)*(L507-$D$16),0)</f>
        <v/>
      </c>
    </row>
    <row r="508">
      <c r="L508" s="15" t="n">
        <v>506</v>
      </c>
      <c r="M508" s="15">
        <f>IF(L508&lt;$D$16,$D$12,IF(L508&lt;$E$16,$E$12,$F$13))</f>
        <v/>
      </c>
      <c r="N508" s="15">
        <f>M508-V508</f>
        <v/>
      </c>
      <c r="O508" s="15">
        <f>IF(MOD(L508,$B$11)=0,OFFSET(O508,-$B$11,0)+ $E$2*N508+$E$3*OFFSET(N508,-$B$11,0)+ $E$4*OFFSET(N508,-2* $B$11,0), O507)</f>
        <v/>
      </c>
      <c r="P508" s="15">
        <f>INT((2^$J$12-1)*O508/100)/(2^$J$12-1)*100</f>
        <v/>
      </c>
      <c r="Q508" s="15" t="n">
        <v>0</v>
      </c>
      <c r="R508" s="15">
        <f>P508+Q508</f>
        <v/>
      </c>
      <c r="S508" s="15">
        <f>$I$1*S507-$I$2*S506+$I$3*R487+$I$4*R486</f>
        <v/>
      </c>
      <c r="T508" s="15" t="n">
        <v>0</v>
      </c>
      <c r="U508" s="15">
        <f>S508+T508</f>
        <v/>
      </c>
      <c r="V508" s="15">
        <f>INT((2^$J$12-1)*U508/100)/(2^$J$12-1)*100</f>
        <v/>
      </c>
      <c r="X508" s="15">
        <f>M508 * 1.05</f>
        <v/>
      </c>
      <c r="Y508" s="15">
        <f>M508 * 0.95</f>
        <v/>
      </c>
      <c r="Z508" s="15">
        <f>IF(AND(V508 &lt;= X508, V508 &gt;= Y508), 1, 0)</f>
        <v/>
      </c>
      <c r="AC508" s="15">
        <f>N508^2</f>
        <v/>
      </c>
      <c r="AD508" s="15">
        <f>ABS(N508)</f>
        <v/>
      </c>
      <c r="AE508" s="15">
        <f>IF(M508&gt;0, ABS(N508)*(L508-$D$16),0)</f>
        <v/>
      </c>
    </row>
    <row r="509">
      <c r="L509" s="15" t="n">
        <v>507</v>
      </c>
      <c r="M509" s="15">
        <f>IF(L509&lt;$D$16,$D$12,IF(L509&lt;$E$16,$E$12,$F$13))</f>
        <v/>
      </c>
      <c r="N509" s="15">
        <f>M509-V509</f>
        <v/>
      </c>
      <c r="O509" s="15">
        <f>IF(MOD(L509,$B$11)=0,OFFSET(O509,-$B$11,0)+ $E$2*N509+$E$3*OFFSET(N509,-$B$11,0)+ $E$4*OFFSET(N509,-2* $B$11,0), O508)</f>
        <v/>
      </c>
      <c r="P509" s="15">
        <f>INT((2^$J$12-1)*O509/100)/(2^$J$12-1)*100</f>
        <v/>
      </c>
      <c r="Q509" s="15" t="n">
        <v>0</v>
      </c>
      <c r="R509" s="15">
        <f>P509+Q509</f>
        <v/>
      </c>
      <c r="S509" s="15">
        <f>$I$1*S508-$I$2*S507+$I$3*R488+$I$4*R487</f>
        <v/>
      </c>
      <c r="T509" s="15" t="n">
        <v>0</v>
      </c>
      <c r="U509" s="15">
        <f>S509+T509</f>
        <v/>
      </c>
      <c r="V509" s="15">
        <f>INT((2^$J$12-1)*U509/100)/(2^$J$12-1)*100</f>
        <v/>
      </c>
      <c r="X509" s="15">
        <f>M509 * 1.05</f>
        <v/>
      </c>
      <c r="Y509" s="15">
        <f>M509 * 0.95</f>
        <v/>
      </c>
      <c r="Z509" s="15">
        <f>IF(AND(V509 &lt;= X509, V509 &gt;= Y509), 1, 0)</f>
        <v/>
      </c>
      <c r="AC509" s="15">
        <f>N509^2</f>
        <v/>
      </c>
      <c r="AD509" s="15">
        <f>ABS(N509)</f>
        <v/>
      </c>
      <c r="AE509" s="15">
        <f>IF(M509&gt;0, ABS(N509)*(L509-$D$16),0)</f>
        <v/>
      </c>
    </row>
    <row r="510">
      <c r="L510" s="15" t="n">
        <v>508</v>
      </c>
      <c r="M510" s="15">
        <f>IF(L510&lt;$D$16,$D$12,IF(L510&lt;$E$16,$E$12,$F$13))</f>
        <v/>
      </c>
      <c r="N510" s="15">
        <f>M510-V510</f>
        <v/>
      </c>
      <c r="O510" s="15">
        <f>IF(MOD(L510,$B$11)=0,OFFSET(O510,-$B$11,0)+ $E$2*N510+$E$3*OFFSET(N510,-$B$11,0)+ $E$4*OFFSET(N510,-2* $B$11,0), O509)</f>
        <v/>
      </c>
      <c r="P510" s="15">
        <f>INT((2^$J$12-1)*O510/100)/(2^$J$12-1)*100</f>
        <v/>
      </c>
      <c r="Q510" s="15" t="n">
        <v>0</v>
      </c>
      <c r="R510" s="15">
        <f>P510+Q510</f>
        <v/>
      </c>
      <c r="S510" s="15">
        <f>$I$1*S509-$I$2*S508+$I$3*R489+$I$4*R488</f>
        <v/>
      </c>
      <c r="T510" s="15" t="n">
        <v>0</v>
      </c>
      <c r="U510" s="15">
        <f>S510+T510</f>
        <v/>
      </c>
      <c r="V510" s="15">
        <f>INT((2^$J$12-1)*U510/100)/(2^$J$12-1)*100</f>
        <v/>
      </c>
      <c r="X510" s="15">
        <f>M510 * 1.05</f>
        <v/>
      </c>
      <c r="Y510" s="15">
        <f>M510 * 0.95</f>
        <v/>
      </c>
      <c r="Z510" s="15">
        <f>IF(AND(V510 &lt;= X510, V510 &gt;= Y510), 1, 0)</f>
        <v/>
      </c>
      <c r="AC510" s="15">
        <f>N510^2</f>
        <v/>
      </c>
      <c r="AD510" s="15">
        <f>ABS(N510)</f>
        <v/>
      </c>
      <c r="AE510" s="15">
        <f>IF(M510&gt;0, ABS(N510)*(L510-$D$16),0)</f>
        <v/>
      </c>
    </row>
    <row r="511">
      <c r="L511" s="15" t="n">
        <v>509</v>
      </c>
      <c r="M511" s="15">
        <f>IF(L511&lt;$D$16,$D$12,IF(L511&lt;$E$16,$E$12,$F$13))</f>
        <v/>
      </c>
      <c r="N511" s="15">
        <f>M511-V511</f>
        <v/>
      </c>
      <c r="O511" s="15">
        <f>IF(MOD(L511,$B$11)=0,OFFSET(O511,-$B$11,0)+ $E$2*N511+$E$3*OFFSET(N511,-$B$11,0)+ $E$4*OFFSET(N511,-2* $B$11,0), O510)</f>
        <v/>
      </c>
      <c r="P511" s="15">
        <f>INT((2^$J$12-1)*O511/100)/(2^$J$12-1)*100</f>
        <v/>
      </c>
      <c r="Q511" s="15" t="n">
        <v>0</v>
      </c>
      <c r="R511" s="15">
        <f>P511+Q511</f>
        <v/>
      </c>
      <c r="S511" s="15">
        <f>$I$1*S510-$I$2*S509+$I$3*R490+$I$4*R489</f>
        <v/>
      </c>
      <c r="T511" s="15" t="n">
        <v>0</v>
      </c>
      <c r="U511" s="15">
        <f>S511+T511</f>
        <v/>
      </c>
      <c r="V511" s="15">
        <f>INT((2^$J$12-1)*U511/100)/(2^$J$12-1)*100</f>
        <v/>
      </c>
      <c r="X511" s="15">
        <f>M511 * 1.05</f>
        <v/>
      </c>
      <c r="Y511" s="15">
        <f>M511 * 0.95</f>
        <v/>
      </c>
      <c r="Z511" s="15">
        <f>IF(AND(V511 &lt;= X511, V511 &gt;= Y511), 1, 0)</f>
        <v/>
      </c>
      <c r="AC511" s="15">
        <f>N511^2</f>
        <v/>
      </c>
      <c r="AD511" s="15">
        <f>ABS(N511)</f>
        <v/>
      </c>
      <c r="AE511" s="15">
        <f>IF(M511&gt;0, ABS(N511)*(L511-$D$16),0)</f>
        <v/>
      </c>
    </row>
    <row r="512">
      <c r="L512" s="15" t="n">
        <v>510</v>
      </c>
      <c r="M512" s="15">
        <f>IF(L512&lt;$D$16,$D$12,IF(L512&lt;$E$16,$E$12,$F$13))</f>
        <v/>
      </c>
      <c r="N512" s="15">
        <f>M512-V512</f>
        <v/>
      </c>
      <c r="O512" s="15">
        <f>IF(MOD(L512,$B$11)=0,OFFSET(O512,-$B$11,0)+ $E$2*N512+$E$3*OFFSET(N512,-$B$11,0)+ $E$4*OFFSET(N512,-2* $B$11,0), O511)</f>
        <v/>
      </c>
      <c r="P512" s="15">
        <f>INT((2^$J$12-1)*O512/100)/(2^$J$12-1)*100</f>
        <v/>
      </c>
      <c r="Q512" s="15" t="n">
        <v>0</v>
      </c>
      <c r="R512" s="15">
        <f>P512+Q512</f>
        <v/>
      </c>
      <c r="S512" s="15">
        <f>$I$1*S511-$I$2*S510+$I$3*R491+$I$4*R490</f>
        <v/>
      </c>
      <c r="T512" s="15" t="n">
        <v>0</v>
      </c>
      <c r="U512" s="15">
        <f>S512+T512</f>
        <v/>
      </c>
      <c r="V512" s="15">
        <f>INT((2^$J$12-1)*U512/100)/(2^$J$12-1)*100</f>
        <v/>
      </c>
      <c r="X512" s="15">
        <f>M512 * 1.05</f>
        <v/>
      </c>
      <c r="Y512" s="15">
        <f>M512 * 0.95</f>
        <v/>
      </c>
      <c r="Z512" s="15">
        <f>IF(AND(V512 &lt;= X512, V512 &gt;= Y512), 1, 0)</f>
        <v/>
      </c>
      <c r="AC512" s="15">
        <f>N512^2</f>
        <v/>
      </c>
      <c r="AD512" s="15">
        <f>ABS(N512)</f>
        <v/>
      </c>
      <c r="AE512" s="15">
        <f>IF(M512&gt;0, ABS(N512)*(L512-$D$16),0)</f>
        <v/>
      </c>
    </row>
    <row r="513">
      <c r="L513" s="15" t="n">
        <v>511</v>
      </c>
      <c r="M513" s="15">
        <f>IF(L513&lt;$D$16,$D$12,IF(L513&lt;$E$16,$E$12,$F$13))</f>
        <v/>
      </c>
      <c r="N513" s="15">
        <f>M513-V513</f>
        <v/>
      </c>
      <c r="O513" s="15">
        <f>IF(MOD(L513,$B$11)=0,OFFSET(O513,-$B$11,0)+ $E$2*N513+$E$3*OFFSET(N513,-$B$11,0)+ $E$4*OFFSET(N513,-2* $B$11,0), O512)</f>
        <v/>
      </c>
      <c r="P513" s="15">
        <f>INT((2^$J$12-1)*O513/100)/(2^$J$12-1)*100</f>
        <v/>
      </c>
      <c r="Q513" s="15" t="n">
        <v>0</v>
      </c>
      <c r="R513" s="15">
        <f>P513+Q513</f>
        <v/>
      </c>
      <c r="S513" s="15">
        <f>$I$1*S512-$I$2*S511+$I$3*R492+$I$4*R491</f>
        <v/>
      </c>
      <c r="T513" s="15" t="n">
        <v>0</v>
      </c>
      <c r="U513" s="15">
        <f>S513+T513</f>
        <v/>
      </c>
      <c r="V513" s="15">
        <f>INT((2^$J$12-1)*U513/100)/(2^$J$12-1)*100</f>
        <v/>
      </c>
      <c r="X513" s="15">
        <f>M513 * 1.05</f>
        <v/>
      </c>
      <c r="Y513" s="15">
        <f>M513 * 0.95</f>
        <v/>
      </c>
      <c r="Z513" s="15">
        <f>IF(AND(V513 &lt;= X513, V513 &gt;= Y513), 1, 0)</f>
        <v/>
      </c>
      <c r="AC513" s="15">
        <f>N513^2</f>
        <v/>
      </c>
      <c r="AD513" s="15">
        <f>ABS(N513)</f>
        <v/>
      </c>
      <c r="AE513" s="15">
        <f>IF(M513&gt;0, ABS(N513)*(L513-$D$16),0)</f>
        <v/>
      </c>
    </row>
    <row r="514">
      <c r="L514" s="15" t="n">
        <v>512</v>
      </c>
      <c r="M514" s="15">
        <f>IF(L514&lt;$D$16,$D$12,IF(L514&lt;$E$16,$E$12,$F$13))</f>
        <v/>
      </c>
      <c r="N514" s="15">
        <f>M514-V514</f>
        <v/>
      </c>
      <c r="O514" s="15">
        <f>IF(MOD(L514,$B$11)=0,OFFSET(O514,-$B$11,0)+ $E$2*N514+$E$3*OFFSET(N514,-$B$11,0)+ $E$4*OFFSET(N514,-2* $B$11,0), O513)</f>
        <v/>
      </c>
      <c r="P514" s="15">
        <f>INT((2^$J$12-1)*O514/100)/(2^$J$12-1)*100</f>
        <v/>
      </c>
      <c r="Q514" s="15" t="n">
        <v>0</v>
      </c>
      <c r="R514" s="15">
        <f>P514+Q514</f>
        <v/>
      </c>
      <c r="S514" s="15">
        <f>$I$1*S513-$I$2*S512+$I$3*R493+$I$4*R492</f>
        <v/>
      </c>
      <c r="T514" s="15" t="n">
        <v>0</v>
      </c>
      <c r="U514" s="15">
        <f>S514+T514</f>
        <v/>
      </c>
      <c r="V514" s="15">
        <f>INT((2^$J$12-1)*U514/100)/(2^$J$12-1)*100</f>
        <v/>
      </c>
      <c r="X514" s="15">
        <f>M514 * 1.05</f>
        <v/>
      </c>
      <c r="Y514" s="15">
        <f>M514 * 0.95</f>
        <v/>
      </c>
      <c r="Z514" s="15">
        <f>IF(AND(V514 &lt;= X514, V514 &gt;= Y514), 1, 0)</f>
        <v/>
      </c>
      <c r="AC514" s="15">
        <f>N514^2</f>
        <v/>
      </c>
      <c r="AD514" s="15">
        <f>ABS(N514)</f>
        <v/>
      </c>
      <c r="AE514" s="15">
        <f>IF(M514&gt;0, ABS(N514)*(L514-$D$16),0)</f>
        <v/>
      </c>
    </row>
    <row r="515">
      <c r="L515" s="15" t="n">
        <v>513</v>
      </c>
      <c r="M515" s="15">
        <f>IF(L515&lt;$D$16,$D$12,IF(L515&lt;$E$16,$E$12,$F$13))</f>
        <v/>
      </c>
      <c r="N515" s="15">
        <f>M515-V515</f>
        <v/>
      </c>
      <c r="O515" s="15">
        <f>IF(MOD(L515,$B$11)=0,OFFSET(O515,-$B$11,0)+ $E$2*N515+$E$3*OFFSET(N515,-$B$11,0)+ $E$4*OFFSET(N515,-2* $B$11,0), O514)</f>
        <v/>
      </c>
      <c r="P515" s="15">
        <f>INT((2^$J$12-1)*O515/100)/(2^$J$12-1)*100</f>
        <v/>
      </c>
      <c r="Q515" s="15" t="n">
        <v>0</v>
      </c>
      <c r="R515" s="15">
        <f>P515+Q515</f>
        <v/>
      </c>
      <c r="S515" s="15">
        <f>$I$1*S514-$I$2*S513+$I$3*R494+$I$4*R493</f>
        <v/>
      </c>
      <c r="T515" s="15" t="n">
        <v>0</v>
      </c>
      <c r="U515" s="15">
        <f>S515+T515</f>
        <v/>
      </c>
      <c r="V515" s="15">
        <f>INT((2^$J$12-1)*U515/100)/(2^$J$12-1)*100</f>
        <v/>
      </c>
      <c r="X515" s="15">
        <f>M515 * 1.05</f>
        <v/>
      </c>
      <c r="Y515" s="15">
        <f>M515 * 0.95</f>
        <v/>
      </c>
      <c r="Z515" s="15">
        <f>IF(AND(V515 &lt;= X515, V515 &gt;= Y515), 1, 0)</f>
        <v/>
      </c>
      <c r="AC515" s="15">
        <f>N515^2</f>
        <v/>
      </c>
      <c r="AD515" s="15">
        <f>ABS(N515)</f>
        <v/>
      </c>
      <c r="AE515" s="15">
        <f>IF(M515&gt;0, ABS(N515)*(L515-$D$16),0)</f>
        <v/>
      </c>
    </row>
    <row r="516">
      <c r="L516" s="15" t="n">
        <v>514</v>
      </c>
      <c r="M516" s="15">
        <f>IF(L516&lt;$D$16,$D$12,IF(L516&lt;$E$16,$E$12,$F$13))</f>
        <v/>
      </c>
      <c r="N516" s="15">
        <f>M516-V516</f>
        <v/>
      </c>
      <c r="O516" s="15">
        <f>IF(MOD(L516,$B$11)=0,OFFSET(O516,-$B$11,0)+ $E$2*N516+$E$3*OFFSET(N516,-$B$11,0)+ $E$4*OFFSET(N516,-2* $B$11,0), O515)</f>
        <v/>
      </c>
      <c r="P516" s="15">
        <f>INT((2^$J$12-1)*O516/100)/(2^$J$12-1)*100</f>
        <v/>
      </c>
      <c r="Q516" s="15" t="n">
        <v>0</v>
      </c>
      <c r="R516" s="15">
        <f>P516+Q516</f>
        <v/>
      </c>
      <c r="S516" s="15">
        <f>$I$1*S515-$I$2*S514+$I$3*R495+$I$4*R494</f>
        <v/>
      </c>
      <c r="T516" s="15" t="n">
        <v>0</v>
      </c>
      <c r="U516" s="15">
        <f>S516+T516</f>
        <v/>
      </c>
      <c r="V516" s="15">
        <f>INT((2^$J$12-1)*U516/100)/(2^$J$12-1)*100</f>
        <v/>
      </c>
      <c r="X516" s="15">
        <f>M516 * 1.05</f>
        <v/>
      </c>
      <c r="Y516" s="15">
        <f>M516 * 0.95</f>
        <v/>
      </c>
      <c r="Z516" s="15">
        <f>IF(AND(V516 &lt;= X516, V516 &gt;= Y516), 1, 0)</f>
        <v/>
      </c>
      <c r="AC516" s="15">
        <f>N516^2</f>
        <v/>
      </c>
      <c r="AD516" s="15">
        <f>ABS(N516)</f>
        <v/>
      </c>
      <c r="AE516" s="15">
        <f>IF(M516&gt;0, ABS(N516)*(L516-$D$16),0)</f>
        <v/>
      </c>
    </row>
    <row r="517">
      <c r="L517" s="15" t="n">
        <v>515</v>
      </c>
      <c r="M517" s="15">
        <f>IF(L517&lt;$D$16,$D$12,IF(L517&lt;$E$16,$E$12,$F$13))</f>
        <v/>
      </c>
      <c r="N517" s="15">
        <f>M517-V517</f>
        <v/>
      </c>
      <c r="O517" s="15">
        <f>IF(MOD(L517,$B$11)=0,OFFSET(O517,-$B$11,0)+ $E$2*N517+$E$3*OFFSET(N517,-$B$11,0)+ $E$4*OFFSET(N517,-2* $B$11,0), O516)</f>
        <v/>
      </c>
      <c r="P517" s="15">
        <f>INT((2^$J$12-1)*O517/100)/(2^$J$12-1)*100</f>
        <v/>
      </c>
      <c r="Q517" s="15" t="n">
        <v>0</v>
      </c>
      <c r="R517" s="15">
        <f>P517+Q517</f>
        <v/>
      </c>
      <c r="S517" s="15">
        <f>$I$1*S516-$I$2*S515+$I$3*R496+$I$4*R495</f>
        <v/>
      </c>
      <c r="T517" s="15" t="n">
        <v>0</v>
      </c>
      <c r="U517" s="15">
        <f>S517+T517</f>
        <v/>
      </c>
      <c r="V517" s="15">
        <f>INT((2^$J$12-1)*U517/100)/(2^$J$12-1)*100</f>
        <v/>
      </c>
      <c r="X517" s="15">
        <f>M517 * 1.05</f>
        <v/>
      </c>
      <c r="Y517" s="15">
        <f>M517 * 0.95</f>
        <v/>
      </c>
      <c r="Z517" s="15">
        <f>IF(AND(V517 &lt;= X517, V517 &gt;= Y517), 1, 0)</f>
        <v/>
      </c>
      <c r="AC517" s="15">
        <f>N517^2</f>
        <v/>
      </c>
      <c r="AD517" s="15">
        <f>ABS(N517)</f>
        <v/>
      </c>
      <c r="AE517" s="15">
        <f>IF(M517&gt;0, ABS(N517)*(L517-$D$16),0)</f>
        <v/>
      </c>
    </row>
    <row r="518">
      <c r="L518" s="15" t="n">
        <v>516</v>
      </c>
      <c r="M518" s="15">
        <f>IF(L518&lt;$D$16,$D$12,IF(L518&lt;$E$16,$E$12,$F$13))</f>
        <v/>
      </c>
      <c r="N518" s="15">
        <f>M518-V518</f>
        <v/>
      </c>
      <c r="O518" s="15">
        <f>IF(MOD(L518,$B$11)=0,OFFSET(O518,-$B$11,0)+ $E$2*N518+$E$3*OFFSET(N518,-$B$11,0)+ $E$4*OFFSET(N518,-2* $B$11,0), O517)</f>
        <v/>
      </c>
      <c r="P518" s="15">
        <f>INT((2^$J$12-1)*O518/100)/(2^$J$12-1)*100</f>
        <v/>
      </c>
      <c r="Q518" s="15" t="n">
        <v>0</v>
      </c>
      <c r="R518" s="15">
        <f>P518+Q518</f>
        <v/>
      </c>
      <c r="S518" s="15">
        <f>$I$1*S517-$I$2*S516+$I$3*R497+$I$4*R496</f>
        <v/>
      </c>
      <c r="T518" s="15" t="n">
        <v>0</v>
      </c>
      <c r="U518" s="15">
        <f>S518+T518</f>
        <v/>
      </c>
      <c r="V518" s="15">
        <f>INT((2^$J$12-1)*U518/100)/(2^$J$12-1)*100</f>
        <v/>
      </c>
      <c r="X518" s="15">
        <f>M518 * 1.05</f>
        <v/>
      </c>
      <c r="Y518" s="15">
        <f>M518 * 0.95</f>
        <v/>
      </c>
      <c r="Z518" s="15">
        <f>IF(AND(V518 &lt;= X518, V518 &gt;= Y518), 1, 0)</f>
        <v/>
      </c>
      <c r="AC518" s="15">
        <f>N518^2</f>
        <v/>
      </c>
      <c r="AD518" s="15">
        <f>ABS(N518)</f>
        <v/>
      </c>
      <c r="AE518" s="15">
        <f>IF(M518&gt;0, ABS(N518)*(L518-$D$16),0)</f>
        <v/>
      </c>
    </row>
    <row r="519">
      <c r="L519" s="15" t="n">
        <v>517</v>
      </c>
      <c r="M519" s="15">
        <f>IF(L519&lt;$D$16,$D$12,IF(L519&lt;$E$16,$E$12,$F$13))</f>
        <v/>
      </c>
      <c r="N519" s="15">
        <f>M519-V519</f>
        <v/>
      </c>
      <c r="O519" s="15">
        <f>IF(MOD(L519,$B$11)=0,OFFSET(O519,-$B$11,0)+ $E$2*N519+$E$3*OFFSET(N519,-$B$11,0)+ $E$4*OFFSET(N519,-2* $B$11,0), O518)</f>
        <v/>
      </c>
      <c r="P519" s="15">
        <f>INT((2^$J$12-1)*O519/100)/(2^$J$12-1)*100</f>
        <v/>
      </c>
      <c r="Q519" s="15" t="n">
        <v>0</v>
      </c>
      <c r="R519" s="15">
        <f>P519+Q519</f>
        <v/>
      </c>
      <c r="S519" s="15">
        <f>$I$1*S518-$I$2*S517+$I$3*R498+$I$4*R497</f>
        <v/>
      </c>
      <c r="T519" s="15" t="n">
        <v>0</v>
      </c>
      <c r="U519" s="15">
        <f>S519+T519</f>
        <v/>
      </c>
      <c r="V519" s="15">
        <f>INT((2^$J$12-1)*U519/100)/(2^$J$12-1)*100</f>
        <v/>
      </c>
      <c r="X519" s="15">
        <f>M519 * 1.05</f>
        <v/>
      </c>
      <c r="Y519" s="15">
        <f>M519 * 0.95</f>
        <v/>
      </c>
      <c r="Z519" s="15">
        <f>IF(AND(V519 &lt;= X519, V519 &gt;= Y519), 1, 0)</f>
        <v/>
      </c>
      <c r="AC519" s="15">
        <f>N519^2</f>
        <v/>
      </c>
      <c r="AD519" s="15">
        <f>ABS(N519)</f>
        <v/>
      </c>
      <c r="AE519" s="15">
        <f>IF(M519&gt;0, ABS(N519)*(L519-$D$16),0)</f>
        <v/>
      </c>
    </row>
    <row r="520">
      <c r="L520" s="15" t="n">
        <v>518</v>
      </c>
      <c r="M520" s="15">
        <f>IF(L520&lt;$D$16,$D$12,IF(L520&lt;$E$16,$E$12,$F$13))</f>
        <v/>
      </c>
      <c r="N520" s="15">
        <f>M520-V520</f>
        <v/>
      </c>
      <c r="O520" s="15">
        <f>IF(MOD(L520,$B$11)=0,OFFSET(O520,-$B$11,0)+ $E$2*N520+$E$3*OFFSET(N520,-$B$11,0)+ $E$4*OFFSET(N520,-2* $B$11,0), O519)</f>
        <v/>
      </c>
      <c r="P520" s="15">
        <f>INT((2^$J$12-1)*O520/100)/(2^$J$12-1)*100</f>
        <v/>
      </c>
      <c r="Q520" s="15" t="n">
        <v>0</v>
      </c>
      <c r="R520" s="15">
        <f>P520+Q520</f>
        <v/>
      </c>
      <c r="S520" s="15">
        <f>$I$1*S519-$I$2*S518+$I$3*R499+$I$4*R498</f>
        <v/>
      </c>
      <c r="T520" s="15" t="n">
        <v>0</v>
      </c>
      <c r="U520" s="15">
        <f>S520+T520</f>
        <v/>
      </c>
      <c r="V520" s="15">
        <f>INT((2^$J$12-1)*U520/100)/(2^$J$12-1)*100</f>
        <v/>
      </c>
      <c r="X520" s="15">
        <f>M520 * 1.05</f>
        <v/>
      </c>
      <c r="Y520" s="15">
        <f>M520 * 0.95</f>
        <v/>
      </c>
      <c r="Z520" s="15">
        <f>IF(AND(V520 &lt;= X520, V520 &gt;= Y520), 1, 0)</f>
        <v/>
      </c>
      <c r="AC520" s="15">
        <f>N520^2</f>
        <v/>
      </c>
      <c r="AD520" s="15">
        <f>ABS(N520)</f>
        <v/>
      </c>
      <c r="AE520" s="15">
        <f>IF(M520&gt;0, ABS(N520)*(L520-$D$16),0)</f>
        <v/>
      </c>
    </row>
    <row r="521">
      <c r="L521" s="15" t="n">
        <v>519</v>
      </c>
      <c r="M521" s="15">
        <f>IF(L521&lt;$D$16,$D$12,IF(L521&lt;$E$16,$E$12,$F$13))</f>
        <v/>
      </c>
      <c r="N521" s="15">
        <f>M521-V521</f>
        <v/>
      </c>
      <c r="O521" s="15">
        <f>IF(MOD(L521,$B$11)=0,OFFSET(O521,-$B$11,0)+ $E$2*N521+$E$3*OFFSET(N521,-$B$11,0)+ $E$4*OFFSET(N521,-2* $B$11,0), O520)</f>
        <v/>
      </c>
      <c r="P521" s="15">
        <f>INT((2^$J$12-1)*O521/100)/(2^$J$12-1)*100</f>
        <v/>
      </c>
      <c r="Q521" s="15" t="n">
        <v>0</v>
      </c>
      <c r="R521" s="15">
        <f>P521+Q521</f>
        <v/>
      </c>
      <c r="S521" s="15">
        <f>$I$1*S520-$I$2*S519+$I$3*R500+$I$4*R499</f>
        <v/>
      </c>
      <c r="T521" s="15" t="n">
        <v>0</v>
      </c>
      <c r="U521" s="15">
        <f>S521+T521</f>
        <v/>
      </c>
      <c r="V521" s="15">
        <f>INT((2^$J$12-1)*U521/100)/(2^$J$12-1)*100</f>
        <v/>
      </c>
      <c r="X521" s="15">
        <f>M521 * 1.05</f>
        <v/>
      </c>
      <c r="Y521" s="15">
        <f>M521 * 0.95</f>
        <v/>
      </c>
      <c r="Z521" s="15">
        <f>IF(AND(V521 &lt;= X521, V521 &gt;= Y521), 1, 0)</f>
        <v/>
      </c>
      <c r="AC521" s="15">
        <f>N521^2</f>
        <v/>
      </c>
      <c r="AD521" s="15">
        <f>ABS(N521)</f>
        <v/>
      </c>
      <c r="AE521" s="15">
        <f>IF(M521&gt;0, ABS(N521)*(L521-$D$16),0)</f>
        <v/>
      </c>
    </row>
    <row r="522">
      <c r="L522" s="15" t="n">
        <v>520</v>
      </c>
      <c r="M522" s="15">
        <f>IF(L522&lt;$D$16,$D$12,IF(L522&lt;$E$16,$E$12,$F$13))</f>
        <v/>
      </c>
      <c r="N522" s="15">
        <f>M522-V522</f>
        <v/>
      </c>
      <c r="O522" s="15">
        <f>IF(MOD(L522,$B$11)=0,OFFSET(O522,-$B$11,0)+ $E$2*N522+$E$3*OFFSET(N522,-$B$11,0)+ $E$4*OFFSET(N522,-2* $B$11,0), O521)</f>
        <v/>
      </c>
      <c r="P522" s="15">
        <f>INT((2^$J$12-1)*O522/100)/(2^$J$12-1)*100</f>
        <v/>
      </c>
      <c r="Q522" s="15" t="n">
        <v>0</v>
      </c>
      <c r="R522" s="15">
        <f>P522+Q522</f>
        <v/>
      </c>
      <c r="S522" s="15">
        <f>$I$1*S521-$I$2*S520+$I$3*R501+$I$4*R500</f>
        <v/>
      </c>
      <c r="T522" s="15" t="n">
        <v>0</v>
      </c>
      <c r="U522" s="15">
        <f>S522+T522</f>
        <v/>
      </c>
      <c r="V522" s="15">
        <f>INT((2^$J$12-1)*U522/100)/(2^$J$12-1)*100</f>
        <v/>
      </c>
      <c r="X522" s="15">
        <f>M522 * 1.05</f>
        <v/>
      </c>
      <c r="Y522" s="15">
        <f>M522 * 0.95</f>
        <v/>
      </c>
      <c r="Z522" s="15">
        <f>IF(AND(V522 &lt;= X522, V522 &gt;= Y522), 1, 0)</f>
        <v/>
      </c>
      <c r="AC522" s="15">
        <f>N522^2</f>
        <v/>
      </c>
      <c r="AD522" s="15">
        <f>ABS(N522)</f>
        <v/>
      </c>
      <c r="AE522" s="15">
        <f>IF(M522&gt;0, ABS(N522)*(L522-$D$16),0)</f>
        <v/>
      </c>
    </row>
    <row r="523">
      <c r="L523" s="15" t="n">
        <v>521</v>
      </c>
      <c r="M523" s="15">
        <f>IF(L523&lt;$D$16,$D$12,IF(L523&lt;$E$16,$E$12,$F$13))</f>
        <v/>
      </c>
      <c r="N523" s="15">
        <f>M523-V523</f>
        <v/>
      </c>
      <c r="O523" s="15">
        <f>IF(MOD(L523,$B$11)=0,OFFSET(O523,-$B$11,0)+ $E$2*N523+$E$3*OFFSET(N523,-$B$11,0)+ $E$4*OFFSET(N523,-2* $B$11,0), O522)</f>
        <v/>
      </c>
      <c r="P523" s="15">
        <f>INT((2^$J$12-1)*O523/100)/(2^$J$12-1)*100</f>
        <v/>
      </c>
      <c r="Q523" s="15" t="n">
        <v>0</v>
      </c>
      <c r="R523" s="15">
        <f>P523+Q523</f>
        <v/>
      </c>
      <c r="S523" s="15">
        <f>$I$1*S522-$I$2*S521+$I$3*R502+$I$4*R501</f>
        <v/>
      </c>
      <c r="T523" s="15" t="n">
        <v>0</v>
      </c>
      <c r="U523" s="15">
        <f>S523+T523</f>
        <v/>
      </c>
      <c r="V523" s="15">
        <f>INT((2^$J$12-1)*U523/100)/(2^$J$12-1)*100</f>
        <v/>
      </c>
      <c r="X523" s="15">
        <f>M523 * 1.05</f>
        <v/>
      </c>
      <c r="Y523" s="15">
        <f>M523 * 0.95</f>
        <v/>
      </c>
      <c r="Z523" s="15">
        <f>IF(AND(V523 &lt;= X523, V523 &gt;= Y523), 1, 0)</f>
        <v/>
      </c>
      <c r="AC523" s="15">
        <f>N523^2</f>
        <v/>
      </c>
      <c r="AD523" s="15">
        <f>ABS(N523)</f>
        <v/>
      </c>
      <c r="AE523" s="15">
        <f>IF(M523&gt;0, ABS(N523)*(L523-$D$16),0)</f>
        <v/>
      </c>
    </row>
    <row r="524">
      <c r="L524" s="15" t="n">
        <v>522</v>
      </c>
      <c r="M524" s="15">
        <f>IF(L524&lt;$D$16,$D$12,IF(L524&lt;$E$16,$E$12,$F$13))</f>
        <v/>
      </c>
      <c r="N524" s="15">
        <f>M524-V524</f>
        <v/>
      </c>
      <c r="O524" s="15">
        <f>IF(MOD(L524,$B$11)=0,OFFSET(O524,-$B$11,0)+ $E$2*N524+$E$3*OFFSET(N524,-$B$11,0)+ $E$4*OFFSET(N524,-2* $B$11,0), O523)</f>
        <v/>
      </c>
      <c r="P524" s="15">
        <f>INT((2^$J$12-1)*O524/100)/(2^$J$12-1)*100</f>
        <v/>
      </c>
      <c r="Q524" s="15" t="n">
        <v>0</v>
      </c>
      <c r="R524" s="15">
        <f>P524+Q524</f>
        <v/>
      </c>
      <c r="S524" s="15">
        <f>$I$1*S523-$I$2*S522+$I$3*R503+$I$4*R502</f>
        <v/>
      </c>
      <c r="T524" s="15" t="n">
        <v>0</v>
      </c>
      <c r="U524" s="15">
        <f>S524+T524</f>
        <v/>
      </c>
      <c r="V524" s="15">
        <f>INT((2^$J$12-1)*U524/100)/(2^$J$12-1)*100</f>
        <v/>
      </c>
      <c r="X524" s="15">
        <f>M524 * 1.05</f>
        <v/>
      </c>
      <c r="Y524" s="15">
        <f>M524 * 0.95</f>
        <v/>
      </c>
      <c r="Z524" s="15">
        <f>IF(AND(V524 &lt;= X524, V524 &gt;= Y524), 1, 0)</f>
        <v/>
      </c>
      <c r="AC524" s="15">
        <f>N524^2</f>
        <v/>
      </c>
      <c r="AD524" s="15">
        <f>ABS(N524)</f>
        <v/>
      </c>
      <c r="AE524" s="15">
        <f>IF(M524&gt;0, ABS(N524)*(L524-$D$16),0)</f>
        <v/>
      </c>
    </row>
    <row r="525">
      <c r="L525" s="15" t="n">
        <v>523</v>
      </c>
      <c r="M525" s="15">
        <f>IF(L525&lt;$D$16,$D$12,IF(L525&lt;$E$16,$E$12,$F$13))</f>
        <v/>
      </c>
      <c r="N525" s="15">
        <f>M525-V525</f>
        <v/>
      </c>
      <c r="O525" s="15">
        <f>IF(MOD(L525,$B$11)=0,OFFSET(O525,-$B$11,0)+ $E$2*N525+$E$3*OFFSET(N525,-$B$11,0)+ $E$4*OFFSET(N525,-2* $B$11,0), O524)</f>
        <v/>
      </c>
      <c r="P525" s="15">
        <f>INT((2^$J$12-1)*O525/100)/(2^$J$12-1)*100</f>
        <v/>
      </c>
      <c r="Q525" s="15" t="n">
        <v>0</v>
      </c>
      <c r="R525" s="15">
        <f>P525+Q525</f>
        <v/>
      </c>
      <c r="S525" s="15">
        <f>$I$1*S524-$I$2*S523+$I$3*R504+$I$4*R503</f>
        <v/>
      </c>
      <c r="T525" s="15" t="n">
        <v>0</v>
      </c>
      <c r="U525" s="15">
        <f>S525+T525</f>
        <v/>
      </c>
      <c r="V525" s="15">
        <f>INT((2^$J$12-1)*U525/100)/(2^$J$12-1)*100</f>
        <v/>
      </c>
      <c r="X525" s="15">
        <f>M525 * 1.05</f>
        <v/>
      </c>
      <c r="Y525" s="15">
        <f>M525 * 0.95</f>
        <v/>
      </c>
      <c r="Z525" s="15">
        <f>IF(AND(V525 &lt;= X525, V525 &gt;= Y525), 1, 0)</f>
        <v/>
      </c>
      <c r="AC525" s="15">
        <f>N525^2</f>
        <v/>
      </c>
      <c r="AD525" s="15">
        <f>ABS(N525)</f>
        <v/>
      </c>
      <c r="AE525" s="15">
        <f>IF(M525&gt;0, ABS(N525)*(L525-$D$16),0)</f>
        <v/>
      </c>
    </row>
    <row r="526">
      <c r="L526" s="15" t="n">
        <v>524</v>
      </c>
      <c r="M526" s="15">
        <f>IF(L526&lt;$D$16,$D$12,IF(L526&lt;$E$16,$E$12,$F$13))</f>
        <v/>
      </c>
      <c r="N526" s="15">
        <f>M526-V526</f>
        <v/>
      </c>
      <c r="O526" s="15">
        <f>IF(MOD(L526,$B$11)=0,OFFSET(O526,-$B$11,0)+ $E$2*N526+$E$3*OFFSET(N526,-$B$11,0)+ $E$4*OFFSET(N526,-2* $B$11,0), O525)</f>
        <v/>
      </c>
      <c r="P526" s="15">
        <f>INT((2^$J$12-1)*O526/100)/(2^$J$12-1)*100</f>
        <v/>
      </c>
      <c r="Q526" s="15" t="n">
        <v>0</v>
      </c>
      <c r="R526" s="15">
        <f>P526+Q526</f>
        <v/>
      </c>
      <c r="S526" s="15">
        <f>$I$1*S525-$I$2*S524+$I$3*R505+$I$4*R504</f>
        <v/>
      </c>
      <c r="T526" s="15" t="n">
        <v>0</v>
      </c>
      <c r="U526" s="15">
        <f>S526+T526</f>
        <v/>
      </c>
      <c r="V526" s="15">
        <f>INT((2^$J$12-1)*U526/100)/(2^$J$12-1)*100</f>
        <v/>
      </c>
      <c r="X526" s="15">
        <f>M526 * 1.05</f>
        <v/>
      </c>
      <c r="Y526" s="15">
        <f>M526 * 0.95</f>
        <v/>
      </c>
      <c r="Z526" s="15">
        <f>IF(AND(V526 &lt;= X526, V526 &gt;= Y526), 1, 0)</f>
        <v/>
      </c>
      <c r="AC526" s="15">
        <f>N526^2</f>
        <v/>
      </c>
      <c r="AD526" s="15">
        <f>ABS(N526)</f>
        <v/>
      </c>
      <c r="AE526" s="15">
        <f>IF(M526&gt;0, ABS(N526)*(L526-$D$16),0)</f>
        <v/>
      </c>
    </row>
    <row r="527">
      <c r="L527" s="15" t="n">
        <v>525</v>
      </c>
      <c r="M527" s="15">
        <f>IF(L527&lt;$D$16,$D$12,IF(L527&lt;$E$16,$E$12,$F$13))</f>
        <v/>
      </c>
      <c r="N527" s="15">
        <f>M527-V527</f>
        <v/>
      </c>
      <c r="O527" s="15">
        <f>IF(MOD(L527,$B$11)=0,OFFSET(O527,-$B$11,0)+ $E$2*N527+$E$3*OFFSET(N527,-$B$11,0)+ $E$4*OFFSET(N527,-2* $B$11,0), O526)</f>
        <v/>
      </c>
      <c r="P527" s="15">
        <f>INT((2^$J$12-1)*O527/100)/(2^$J$12-1)*100</f>
        <v/>
      </c>
      <c r="Q527" s="15" t="n">
        <v>0</v>
      </c>
      <c r="R527" s="15">
        <f>P527+Q527</f>
        <v/>
      </c>
      <c r="S527" s="15">
        <f>$I$1*S526-$I$2*S525+$I$3*R506+$I$4*R505</f>
        <v/>
      </c>
      <c r="T527" s="15" t="n">
        <v>0</v>
      </c>
      <c r="U527" s="15">
        <f>S527+T527</f>
        <v/>
      </c>
      <c r="V527" s="15">
        <f>INT((2^$J$12-1)*U527/100)/(2^$J$12-1)*100</f>
        <v/>
      </c>
      <c r="X527" s="15">
        <f>M527 * 1.05</f>
        <v/>
      </c>
      <c r="Y527" s="15">
        <f>M527 * 0.95</f>
        <v/>
      </c>
      <c r="Z527" s="15">
        <f>IF(AND(V527 &lt;= X527, V527 &gt;= Y527), 1, 0)</f>
        <v/>
      </c>
      <c r="AC527" s="15">
        <f>N527^2</f>
        <v/>
      </c>
      <c r="AD527" s="15">
        <f>ABS(N527)</f>
        <v/>
      </c>
      <c r="AE527" s="15">
        <f>IF(M527&gt;0, ABS(N527)*(L527-$D$16),0)</f>
        <v/>
      </c>
    </row>
    <row r="528">
      <c r="L528" s="15" t="n">
        <v>526</v>
      </c>
      <c r="M528" s="15">
        <f>IF(L528&lt;$D$16,$D$12,IF(L528&lt;$E$16,$E$12,$F$13))</f>
        <v/>
      </c>
      <c r="N528" s="15">
        <f>M528-V528</f>
        <v/>
      </c>
      <c r="O528" s="15">
        <f>IF(MOD(L528,$B$11)=0,OFFSET(O528,-$B$11,0)+ $E$2*N528+$E$3*OFFSET(N528,-$B$11,0)+ $E$4*OFFSET(N528,-2* $B$11,0), O527)</f>
        <v/>
      </c>
      <c r="P528" s="15">
        <f>INT((2^$J$12-1)*O528/100)/(2^$J$12-1)*100</f>
        <v/>
      </c>
      <c r="Q528" s="15" t="n">
        <v>0</v>
      </c>
      <c r="R528" s="15">
        <f>P528+Q528</f>
        <v/>
      </c>
      <c r="S528" s="15">
        <f>$I$1*S527-$I$2*S526+$I$3*R507+$I$4*R506</f>
        <v/>
      </c>
      <c r="T528" s="15" t="n">
        <v>0</v>
      </c>
      <c r="U528" s="15">
        <f>S528+T528</f>
        <v/>
      </c>
      <c r="V528" s="15">
        <f>INT((2^$J$12-1)*U528/100)/(2^$J$12-1)*100</f>
        <v/>
      </c>
      <c r="X528" s="15">
        <f>M528 * 1.05</f>
        <v/>
      </c>
      <c r="Y528" s="15">
        <f>M528 * 0.95</f>
        <v/>
      </c>
      <c r="Z528" s="15">
        <f>IF(AND(V528 &lt;= X528, V528 &gt;= Y528), 1, 0)</f>
        <v/>
      </c>
      <c r="AC528" s="15">
        <f>N528^2</f>
        <v/>
      </c>
      <c r="AD528" s="15">
        <f>ABS(N528)</f>
        <v/>
      </c>
      <c r="AE528" s="15">
        <f>IF(M528&gt;0, ABS(N528)*(L528-$D$16),0)</f>
        <v/>
      </c>
    </row>
    <row r="529">
      <c r="L529" s="15" t="n">
        <v>527</v>
      </c>
      <c r="M529" s="15">
        <f>IF(L529&lt;$D$16,$D$12,IF(L529&lt;$E$16,$E$12,$F$13))</f>
        <v/>
      </c>
      <c r="N529" s="15">
        <f>M529-V529</f>
        <v/>
      </c>
      <c r="O529" s="15">
        <f>IF(MOD(L529,$B$11)=0,OFFSET(O529,-$B$11,0)+ $E$2*N529+$E$3*OFFSET(N529,-$B$11,0)+ $E$4*OFFSET(N529,-2* $B$11,0), O528)</f>
        <v/>
      </c>
      <c r="P529" s="15">
        <f>INT((2^$J$12-1)*O529/100)/(2^$J$12-1)*100</f>
        <v/>
      </c>
      <c r="Q529" s="15" t="n">
        <v>0</v>
      </c>
      <c r="R529" s="15">
        <f>P529+Q529</f>
        <v/>
      </c>
      <c r="S529" s="15">
        <f>$I$1*S528-$I$2*S527+$I$3*R508+$I$4*R507</f>
        <v/>
      </c>
      <c r="T529" s="15" t="n">
        <v>0</v>
      </c>
      <c r="U529" s="15">
        <f>S529+T529</f>
        <v/>
      </c>
      <c r="V529" s="15">
        <f>INT((2^$J$12-1)*U529/100)/(2^$J$12-1)*100</f>
        <v/>
      </c>
      <c r="X529" s="15">
        <f>M529 * 1.05</f>
        <v/>
      </c>
      <c r="Y529" s="15">
        <f>M529 * 0.95</f>
        <v/>
      </c>
      <c r="Z529" s="15">
        <f>IF(AND(V529 &lt;= X529, V529 &gt;= Y529), 1, 0)</f>
        <v/>
      </c>
      <c r="AC529" s="15">
        <f>N529^2</f>
        <v/>
      </c>
      <c r="AD529" s="15">
        <f>ABS(N529)</f>
        <v/>
      </c>
      <c r="AE529" s="15">
        <f>IF(M529&gt;0, ABS(N529)*(L529-$D$16),0)</f>
        <v/>
      </c>
    </row>
    <row r="530">
      <c r="L530" s="15" t="n">
        <v>528</v>
      </c>
      <c r="M530" s="15">
        <f>IF(L530&lt;$D$16,$D$12,IF(L530&lt;$E$16,$E$12,$F$13))</f>
        <v/>
      </c>
      <c r="N530" s="15">
        <f>M530-V530</f>
        <v/>
      </c>
      <c r="O530" s="15">
        <f>IF(MOD(L530,$B$11)=0,OFFSET(O530,-$B$11,0)+ $E$2*N530+$E$3*OFFSET(N530,-$B$11,0)+ $E$4*OFFSET(N530,-2* $B$11,0), O529)</f>
        <v/>
      </c>
      <c r="P530" s="15">
        <f>INT((2^$J$12-1)*O530/100)/(2^$J$12-1)*100</f>
        <v/>
      </c>
      <c r="Q530" s="15" t="n">
        <v>0</v>
      </c>
      <c r="R530" s="15">
        <f>P530+Q530</f>
        <v/>
      </c>
      <c r="S530" s="15">
        <f>$I$1*S529-$I$2*S528+$I$3*R509+$I$4*R508</f>
        <v/>
      </c>
      <c r="T530" s="15" t="n">
        <v>0</v>
      </c>
      <c r="U530" s="15">
        <f>S530+T530</f>
        <v/>
      </c>
      <c r="V530" s="15">
        <f>INT((2^$J$12-1)*U530/100)/(2^$J$12-1)*100</f>
        <v/>
      </c>
      <c r="X530" s="15">
        <f>M530 * 1.05</f>
        <v/>
      </c>
      <c r="Y530" s="15">
        <f>M530 * 0.95</f>
        <v/>
      </c>
      <c r="Z530" s="15">
        <f>IF(AND(V530 &lt;= X530, V530 &gt;= Y530), 1, 0)</f>
        <v/>
      </c>
      <c r="AC530" s="15">
        <f>N530^2</f>
        <v/>
      </c>
      <c r="AD530" s="15">
        <f>ABS(N530)</f>
        <v/>
      </c>
      <c r="AE530" s="15">
        <f>IF(M530&gt;0, ABS(N530)*(L530-$D$16),0)</f>
        <v/>
      </c>
    </row>
    <row r="531">
      <c r="L531" s="15" t="n">
        <v>529</v>
      </c>
      <c r="M531" s="15">
        <f>IF(L531&lt;$D$16,$D$12,IF(L531&lt;$E$16,$E$12,$F$13))</f>
        <v/>
      </c>
      <c r="N531" s="15">
        <f>M531-V531</f>
        <v/>
      </c>
      <c r="O531" s="15">
        <f>IF(MOD(L531,$B$11)=0,OFFSET(O531,-$B$11,0)+ $E$2*N531+$E$3*OFFSET(N531,-$B$11,0)+ $E$4*OFFSET(N531,-2* $B$11,0), O530)</f>
        <v/>
      </c>
      <c r="P531" s="15">
        <f>INT((2^$J$12-1)*O531/100)/(2^$J$12-1)*100</f>
        <v/>
      </c>
      <c r="Q531" s="15" t="n">
        <v>0</v>
      </c>
      <c r="R531" s="15">
        <f>P531+Q531</f>
        <v/>
      </c>
      <c r="S531" s="15">
        <f>$I$1*S530-$I$2*S529+$I$3*R510+$I$4*R509</f>
        <v/>
      </c>
      <c r="T531" s="15" t="n">
        <v>0</v>
      </c>
      <c r="U531" s="15">
        <f>S531+T531</f>
        <v/>
      </c>
      <c r="V531" s="15">
        <f>INT((2^$J$12-1)*U531/100)/(2^$J$12-1)*100</f>
        <v/>
      </c>
      <c r="X531" s="15">
        <f>M531 * 1.05</f>
        <v/>
      </c>
      <c r="Y531" s="15">
        <f>M531 * 0.95</f>
        <v/>
      </c>
      <c r="Z531" s="15">
        <f>IF(AND(V531 &lt;= X531, V531 &gt;= Y531), 1, 0)</f>
        <v/>
      </c>
      <c r="AC531" s="15">
        <f>N531^2</f>
        <v/>
      </c>
      <c r="AD531" s="15">
        <f>ABS(N531)</f>
        <v/>
      </c>
      <c r="AE531" s="15">
        <f>IF(M531&gt;0, ABS(N531)*(L531-$D$16),0)</f>
        <v/>
      </c>
    </row>
    <row r="532">
      <c r="L532" s="15" t="n">
        <v>530</v>
      </c>
      <c r="M532" s="15">
        <f>IF(L532&lt;$D$16,$D$12,IF(L532&lt;$E$16,$E$12,$F$13))</f>
        <v/>
      </c>
      <c r="N532" s="15">
        <f>M532-V532</f>
        <v/>
      </c>
      <c r="O532" s="15">
        <f>IF(MOD(L532,$B$11)=0,OFFSET(O532,-$B$11,0)+ $E$2*N532+$E$3*OFFSET(N532,-$B$11,0)+ $E$4*OFFSET(N532,-2* $B$11,0), O531)</f>
        <v/>
      </c>
      <c r="P532" s="15">
        <f>INT((2^$J$12-1)*O532/100)/(2^$J$12-1)*100</f>
        <v/>
      </c>
      <c r="Q532" s="15" t="n">
        <v>0</v>
      </c>
      <c r="R532" s="15">
        <f>P532+Q532</f>
        <v/>
      </c>
      <c r="S532" s="15">
        <f>$I$1*S531-$I$2*S530+$I$3*R511+$I$4*R510</f>
        <v/>
      </c>
      <c r="T532" s="15" t="n">
        <v>0</v>
      </c>
      <c r="U532" s="15">
        <f>S532+T532</f>
        <v/>
      </c>
      <c r="V532" s="15">
        <f>INT((2^$J$12-1)*U532/100)/(2^$J$12-1)*100</f>
        <v/>
      </c>
      <c r="X532" s="15">
        <f>M532 * 1.05</f>
        <v/>
      </c>
      <c r="Y532" s="15">
        <f>M532 * 0.95</f>
        <v/>
      </c>
      <c r="Z532" s="15">
        <f>IF(AND(V532 &lt;= X532, V532 &gt;= Y532), 1, 0)</f>
        <v/>
      </c>
      <c r="AC532" s="15">
        <f>N532^2</f>
        <v/>
      </c>
      <c r="AD532" s="15">
        <f>ABS(N532)</f>
        <v/>
      </c>
      <c r="AE532" s="15">
        <f>IF(M532&gt;0, ABS(N532)*(L532-$D$16),0)</f>
        <v/>
      </c>
    </row>
    <row r="533">
      <c r="L533" s="15" t="n">
        <v>531</v>
      </c>
      <c r="M533" s="15">
        <f>IF(L533&lt;$D$16,$D$12,IF(L533&lt;$E$16,$E$12,$F$13))</f>
        <v/>
      </c>
      <c r="N533" s="15">
        <f>M533-V533</f>
        <v/>
      </c>
      <c r="O533" s="15">
        <f>IF(MOD(L533,$B$11)=0,OFFSET(O533,-$B$11,0)+ $E$2*N533+$E$3*OFFSET(N533,-$B$11,0)+ $E$4*OFFSET(N533,-2* $B$11,0), O532)</f>
        <v/>
      </c>
      <c r="P533" s="15">
        <f>INT((2^$J$12-1)*O533/100)/(2^$J$12-1)*100</f>
        <v/>
      </c>
      <c r="Q533" s="15" t="n">
        <v>0</v>
      </c>
      <c r="R533" s="15">
        <f>P533+Q533</f>
        <v/>
      </c>
      <c r="S533" s="15">
        <f>$I$1*S532-$I$2*S531+$I$3*R512+$I$4*R511</f>
        <v/>
      </c>
      <c r="T533" s="15" t="n">
        <v>0</v>
      </c>
      <c r="U533" s="15">
        <f>S533+T533</f>
        <v/>
      </c>
      <c r="V533" s="15">
        <f>INT((2^$J$12-1)*U533/100)/(2^$J$12-1)*100</f>
        <v/>
      </c>
      <c r="X533" s="15">
        <f>M533 * 1.05</f>
        <v/>
      </c>
      <c r="Y533" s="15">
        <f>M533 * 0.95</f>
        <v/>
      </c>
      <c r="Z533" s="15">
        <f>IF(AND(V533 &lt;= X533, V533 &gt;= Y533), 1, 0)</f>
        <v/>
      </c>
      <c r="AC533" s="15">
        <f>N533^2</f>
        <v/>
      </c>
      <c r="AD533" s="15">
        <f>ABS(N533)</f>
        <v/>
      </c>
      <c r="AE533" s="15">
        <f>IF(M533&gt;0, ABS(N533)*(L533-$D$16),0)</f>
        <v/>
      </c>
    </row>
    <row r="534">
      <c r="L534" s="15" t="n">
        <v>532</v>
      </c>
      <c r="M534" s="15">
        <f>IF(L534&lt;$D$16,$D$12,IF(L534&lt;$E$16,$E$12,$F$13))</f>
        <v/>
      </c>
      <c r="N534" s="15">
        <f>M534-V534</f>
        <v/>
      </c>
      <c r="O534" s="15">
        <f>IF(MOD(L534,$B$11)=0,OFFSET(O534,-$B$11,0)+ $E$2*N534+$E$3*OFFSET(N534,-$B$11,0)+ $E$4*OFFSET(N534,-2* $B$11,0), O533)</f>
        <v/>
      </c>
      <c r="P534" s="15">
        <f>INT((2^$J$12-1)*O534/100)/(2^$J$12-1)*100</f>
        <v/>
      </c>
      <c r="Q534" s="15" t="n">
        <v>0</v>
      </c>
      <c r="R534" s="15">
        <f>P534+Q534</f>
        <v/>
      </c>
      <c r="S534" s="15">
        <f>$I$1*S533-$I$2*S532+$I$3*R513+$I$4*R512</f>
        <v/>
      </c>
      <c r="T534" s="15" t="n">
        <v>0</v>
      </c>
      <c r="U534" s="15">
        <f>S534+T534</f>
        <v/>
      </c>
      <c r="V534" s="15">
        <f>INT((2^$J$12-1)*U534/100)/(2^$J$12-1)*100</f>
        <v/>
      </c>
      <c r="X534" s="15">
        <f>M534 * 1.05</f>
        <v/>
      </c>
      <c r="Y534" s="15">
        <f>M534 * 0.95</f>
        <v/>
      </c>
      <c r="Z534" s="15">
        <f>IF(AND(V534 &lt;= X534, V534 &gt;= Y534), 1, 0)</f>
        <v/>
      </c>
      <c r="AC534" s="15">
        <f>N534^2</f>
        <v/>
      </c>
      <c r="AD534" s="15">
        <f>ABS(N534)</f>
        <v/>
      </c>
      <c r="AE534" s="15">
        <f>IF(M534&gt;0, ABS(N534)*(L534-$D$16),0)</f>
        <v/>
      </c>
    </row>
    <row r="535">
      <c r="L535" s="15" t="n">
        <v>533</v>
      </c>
      <c r="M535" s="15">
        <f>IF(L535&lt;$D$16,$D$12,IF(L535&lt;$E$16,$E$12,$F$13))</f>
        <v/>
      </c>
      <c r="N535" s="15">
        <f>M535-V535</f>
        <v/>
      </c>
      <c r="O535" s="15">
        <f>IF(MOD(L535,$B$11)=0,OFFSET(O535,-$B$11,0)+ $E$2*N535+$E$3*OFFSET(N535,-$B$11,0)+ $E$4*OFFSET(N535,-2* $B$11,0), O534)</f>
        <v/>
      </c>
      <c r="P535" s="15">
        <f>INT((2^$J$12-1)*O535/100)/(2^$J$12-1)*100</f>
        <v/>
      </c>
      <c r="Q535" s="15" t="n">
        <v>0</v>
      </c>
      <c r="R535" s="15">
        <f>P535+Q535</f>
        <v/>
      </c>
      <c r="S535" s="15">
        <f>$I$1*S534-$I$2*S533+$I$3*R514+$I$4*R513</f>
        <v/>
      </c>
      <c r="T535" s="15" t="n">
        <v>0</v>
      </c>
      <c r="U535" s="15">
        <f>S535+T535</f>
        <v/>
      </c>
      <c r="V535" s="15">
        <f>INT((2^$J$12-1)*U535/100)/(2^$J$12-1)*100</f>
        <v/>
      </c>
      <c r="X535" s="15">
        <f>M535 * 1.05</f>
        <v/>
      </c>
      <c r="Y535" s="15">
        <f>M535 * 0.95</f>
        <v/>
      </c>
      <c r="Z535" s="15">
        <f>IF(AND(V535 &lt;= X535, V535 &gt;= Y535), 1, 0)</f>
        <v/>
      </c>
      <c r="AC535" s="15">
        <f>N535^2</f>
        <v/>
      </c>
      <c r="AD535" s="15">
        <f>ABS(N535)</f>
        <v/>
      </c>
      <c r="AE535" s="15">
        <f>IF(M535&gt;0, ABS(N535)*(L535-$D$16),0)</f>
        <v/>
      </c>
    </row>
    <row r="536">
      <c r="L536" s="15" t="n">
        <v>534</v>
      </c>
      <c r="M536" s="15">
        <f>IF(L536&lt;$D$16,$D$12,IF(L536&lt;$E$16,$E$12,$F$13))</f>
        <v/>
      </c>
      <c r="N536" s="15">
        <f>M536-V536</f>
        <v/>
      </c>
      <c r="O536" s="15">
        <f>IF(MOD(L536,$B$11)=0,OFFSET(O536,-$B$11,0)+ $E$2*N536+$E$3*OFFSET(N536,-$B$11,0)+ $E$4*OFFSET(N536,-2* $B$11,0), O535)</f>
        <v/>
      </c>
      <c r="P536" s="15">
        <f>INT((2^$J$12-1)*O536/100)/(2^$J$12-1)*100</f>
        <v/>
      </c>
      <c r="Q536" s="15" t="n">
        <v>0</v>
      </c>
      <c r="R536" s="15">
        <f>P536+Q536</f>
        <v/>
      </c>
      <c r="S536" s="15">
        <f>$I$1*S535-$I$2*S534+$I$3*R515+$I$4*R514</f>
        <v/>
      </c>
      <c r="T536" s="15" t="n">
        <v>0</v>
      </c>
      <c r="U536" s="15">
        <f>S536+T536</f>
        <v/>
      </c>
      <c r="V536" s="15">
        <f>INT((2^$J$12-1)*U536/100)/(2^$J$12-1)*100</f>
        <v/>
      </c>
      <c r="X536" s="15">
        <f>M536 * 1.05</f>
        <v/>
      </c>
      <c r="Y536" s="15">
        <f>M536 * 0.95</f>
        <v/>
      </c>
      <c r="Z536" s="15">
        <f>IF(AND(V536 &lt;= X536, V536 &gt;= Y536), 1, 0)</f>
        <v/>
      </c>
      <c r="AC536" s="15">
        <f>N536^2</f>
        <v/>
      </c>
      <c r="AD536" s="15">
        <f>ABS(N536)</f>
        <v/>
      </c>
      <c r="AE536" s="15">
        <f>IF(M536&gt;0, ABS(N536)*(L536-$D$16),0)</f>
        <v/>
      </c>
    </row>
    <row r="537">
      <c r="L537" s="15" t="n">
        <v>535</v>
      </c>
      <c r="M537" s="15">
        <f>IF(L537&lt;$D$16,$D$12,IF(L537&lt;$E$16,$E$12,$F$13))</f>
        <v/>
      </c>
      <c r="N537" s="15">
        <f>M537-V537</f>
        <v/>
      </c>
      <c r="O537" s="15">
        <f>IF(MOD(L537,$B$11)=0,OFFSET(O537,-$B$11,0)+ $E$2*N537+$E$3*OFFSET(N537,-$B$11,0)+ $E$4*OFFSET(N537,-2* $B$11,0), O536)</f>
        <v/>
      </c>
      <c r="P537" s="15">
        <f>INT((2^$J$12-1)*O537/100)/(2^$J$12-1)*100</f>
        <v/>
      </c>
      <c r="Q537" s="15" t="n">
        <v>0</v>
      </c>
      <c r="R537" s="15">
        <f>P537+Q537</f>
        <v/>
      </c>
      <c r="S537" s="15">
        <f>$I$1*S536-$I$2*S535+$I$3*R516+$I$4*R515</f>
        <v/>
      </c>
      <c r="T537" s="15" t="n">
        <v>0</v>
      </c>
      <c r="U537" s="15">
        <f>S537+T537</f>
        <v/>
      </c>
      <c r="V537" s="15">
        <f>INT((2^$J$12-1)*U537/100)/(2^$J$12-1)*100</f>
        <v/>
      </c>
      <c r="X537" s="15">
        <f>M537 * 1.05</f>
        <v/>
      </c>
      <c r="Y537" s="15">
        <f>M537 * 0.95</f>
        <v/>
      </c>
      <c r="Z537" s="15">
        <f>IF(AND(V537 &lt;= X537, V537 &gt;= Y537), 1, 0)</f>
        <v/>
      </c>
      <c r="AC537" s="15">
        <f>N537^2</f>
        <v/>
      </c>
      <c r="AD537" s="15">
        <f>ABS(N537)</f>
        <v/>
      </c>
      <c r="AE537" s="15">
        <f>IF(M537&gt;0, ABS(N537)*(L537-$D$16),0)</f>
        <v/>
      </c>
    </row>
    <row r="538">
      <c r="L538" s="15" t="n">
        <v>536</v>
      </c>
      <c r="M538" s="15">
        <f>IF(L538&lt;$D$16,$D$12,IF(L538&lt;$E$16,$E$12,$F$13))</f>
        <v/>
      </c>
      <c r="N538" s="15">
        <f>M538-V538</f>
        <v/>
      </c>
      <c r="O538" s="15">
        <f>IF(MOD(L538,$B$11)=0,OFFSET(O538,-$B$11,0)+ $E$2*N538+$E$3*OFFSET(N538,-$B$11,0)+ $E$4*OFFSET(N538,-2* $B$11,0), O537)</f>
        <v/>
      </c>
      <c r="P538" s="15">
        <f>INT((2^$J$12-1)*O538/100)/(2^$J$12-1)*100</f>
        <v/>
      </c>
      <c r="Q538" s="15" t="n">
        <v>0</v>
      </c>
      <c r="R538" s="15">
        <f>P538+Q538</f>
        <v/>
      </c>
      <c r="S538" s="15">
        <f>$I$1*S537-$I$2*S536+$I$3*R517+$I$4*R516</f>
        <v/>
      </c>
      <c r="T538" s="15" t="n">
        <v>0</v>
      </c>
      <c r="U538" s="15">
        <f>S538+T538</f>
        <v/>
      </c>
      <c r="V538" s="15">
        <f>INT((2^$J$12-1)*U538/100)/(2^$J$12-1)*100</f>
        <v/>
      </c>
      <c r="X538" s="15">
        <f>M538 * 1.05</f>
        <v/>
      </c>
      <c r="Y538" s="15">
        <f>M538 * 0.95</f>
        <v/>
      </c>
      <c r="Z538" s="15">
        <f>IF(AND(V538 &lt;= X538, V538 &gt;= Y538), 1, 0)</f>
        <v/>
      </c>
      <c r="AC538" s="15">
        <f>N538^2</f>
        <v/>
      </c>
      <c r="AD538" s="15">
        <f>ABS(N538)</f>
        <v/>
      </c>
      <c r="AE538" s="15">
        <f>IF(M538&gt;0, ABS(N538)*(L538-$D$16),0)</f>
        <v/>
      </c>
    </row>
    <row r="539">
      <c r="L539" s="15" t="n">
        <v>537</v>
      </c>
      <c r="M539" s="15">
        <f>IF(L539&lt;$D$16,$D$12,IF(L539&lt;$E$16,$E$12,$F$13))</f>
        <v/>
      </c>
      <c r="N539" s="15">
        <f>M539-V539</f>
        <v/>
      </c>
      <c r="O539" s="15">
        <f>IF(MOD(L539,$B$11)=0,OFFSET(O539,-$B$11,0)+ $E$2*N539+$E$3*OFFSET(N539,-$B$11,0)+ $E$4*OFFSET(N539,-2* $B$11,0), O538)</f>
        <v/>
      </c>
      <c r="P539" s="15">
        <f>INT((2^$J$12-1)*O539/100)/(2^$J$12-1)*100</f>
        <v/>
      </c>
      <c r="Q539" s="15" t="n">
        <v>0</v>
      </c>
      <c r="R539" s="15">
        <f>P539+Q539</f>
        <v/>
      </c>
      <c r="S539" s="15">
        <f>$I$1*S538-$I$2*S537+$I$3*R518+$I$4*R517</f>
        <v/>
      </c>
      <c r="T539" s="15" t="n">
        <v>0</v>
      </c>
      <c r="U539" s="15">
        <f>S539+T539</f>
        <v/>
      </c>
      <c r="V539" s="15">
        <f>INT((2^$J$12-1)*U539/100)/(2^$J$12-1)*100</f>
        <v/>
      </c>
      <c r="X539" s="15">
        <f>M539 * 1.05</f>
        <v/>
      </c>
      <c r="Y539" s="15">
        <f>M539 * 0.95</f>
        <v/>
      </c>
      <c r="Z539" s="15">
        <f>IF(AND(V539 &lt;= X539, V539 &gt;= Y539), 1, 0)</f>
        <v/>
      </c>
      <c r="AC539" s="15">
        <f>N539^2</f>
        <v/>
      </c>
      <c r="AD539" s="15">
        <f>ABS(N539)</f>
        <v/>
      </c>
      <c r="AE539" s="15">
        <f>IF(M539&gt;0, ABS(N539)*(L539-$D$16),0)</f>
        <v/>
      </c>
    </row>
    <row r="540">
      <c r="L540" s="15" t="n">
        <v>538</v>
      </c>
      <c r="M540" s="15">
        <f>IF(L540&lt;$D$16,$D$12,IF(L540&lt;$E$16,$E$12,$F$13))</f>
        <v/>
      </c>
      <c r="N540" s="15">
        <f>M540-V540</f>
        <v/>
      </c>
      <c r="O540" s="15">
        <f>IF(MOD(L540,$B$11)=0,OFFSET(O540,-$B$11,0)+ $E$2*N540+$E$3*OFFSET(N540,-$B$11,0)+ $E$4*OFFSET(N540,-2* $B$11,0), O539)</f>
        <v/>
      </c>
      <c r="P540" s="15">
        <f>INT((2^$J$12-1)*O540/100)/(2^$J$12-1)*100</f>
        <v/>
      </c>
      <c r="Q540" s="15" t="n">
        <v>0</v>
      </c>
      <c r="R540" s="15">
        <f>P540+Q540</f>
        <v/>
      </c>
      <c r="S540" s="15">
        <f>$I$1*S539-$I$2*S538+$I$3*R519+$I$4*R518</f>
        <v/>
      </c>
      <c r="T540" s="15" t="n">
        <v>0</v>
      </c>
      <c r="U540" s="15">
        <f>S540+T540</f>
        <v/>
      </c>
      <c r="V540" s="15">
        <f>INT((2^$J$12-1)*U540/100)/(2^$J$12-1)*100</f>
        <v/>
      </c>
      <c r="X540" s="15">
        <f>M540 * 1.05</f>
        <v/>
      </c>
      <c r="Y540" s="15">
        <f>M540 * 0.95</f>
        <v/>
      </c>
      <c r="Z540" s="15">
        <f>IF(AND(V540 &lt;= X540, V540 &gt;= Y540), 1, 0)</f>
        <v/>
      </c>
      <c r="AC540" s="15">
        <f>N540^2</f>
        <v/>
      </c>
      <c r="AD540" s="15">
        <f>ABS(N540)</f>
        <v/>
      </c>
      <c r="AE540" s="15">
        <f>IF(M540&gt;0, ABS(N540)*(L540-$D$16),0)</f>
        <v/>
      </c>
    </row>
    <row r="541">
      <c r="L541" s="15" t="n">
        <v>539</v>
      </c>
      <c r="M541" s="15">
        <f>IF(L541&lt;$D$16,$D$12,IF(L541&lt;$E$16,$E$12,$F$13))</f>
        <v/>
      </c>
      <c r="N541" s="15">
        <f>M541-V541</f>
        <v/>
      </c>
      <c r="O541" s="15">
        <f>IF(MOD(L541,$B$11)=0,OFFSET(O541,-$B$11,0)+ $E$2*N541+$E$3*OFFSET(N541,-$B$11,0)+ $E$4*OFFSET(N541,-2* $B$11,0), O540)</f>
        <v/>
      </c>
      <c r="P541" s="15">
        <f>INT((2^$J$12-1)*O541/100)/(2^$J$12-1)*100</f>
        <v/>
      </c>
      <c r="Q541" s="15" t="n">
        <v>0</v>
      </c>
      <c r="R541" s="15">
        <f>P541+Q541</f>
        <v/>
      </c>
      <c r="S541" s="15">
        <f>$I$1*S540-$I$2*S539+$I$3*R520+$I$4*R519</f>
        <v/>
      </c>
      <c r="T541" s="15" t="n">
        <v>0</v>
      </c>
      <c r="U541" s="15">
        <f>S541+T541</f>
        <v/>
      </c>
      <c r="V541" s="15">
        <f>INT((2^$J$12-1)*U541/100)/(2^$J$12-1)*100</f>
        <v/>
      </c>
      <c r="X541" s="15">
        <f>M541 * 1.05</f>
        <v/>
      </c>
      <c r="Y541" s="15">
        <f>M541 * 0.95</f>
        <v/>
      </c>
      <c r="Z541" s="15">
        <f>IF(AND(V541 &lt;= X541, V541 &gt;= Y541), 1, 0)</f>
        <v/>
      </c>
      <c r="AC541" s="15">
        <f>N541^2</f>
        <v/>
      </c>
      <c r="AD541" s="15">
        <f>ABS(N541)</f>
        <v/>
      </c>
      <c r="AE541" s="15">
        <f>IF(M541&gt;0, ABS(N541)*(L541-$D$16),0)</f>
        <v/>
      </c>
    </row>
    <row r="542">
      <c r="L542" s="15" t="n">
        <v>540</v>
      </c>
      <c r="M542" s="15">
        <f>IF(L542&lt;$D$16,$D$12,IF(L542&lt;$E$16,$E$12,$F$13))</f>
        <v/>
      </c>
      <c r="N542" s="15">
        <f>M542-V542</f>
        <v/>
      </c>
      <c r="O542" s="15">
        <f>IF(MOD(L542,$B$11)=0,OFFSET(O542,-$B$11,0)+ $E$2*N542+$E$3*OFFSET(N542,-$B$11,0)+ $E$4*OFFSET(N542,-2* $B$11,0), O541)</f>
        <v/>
      </c>
      <c r="P542" s="15">
        <f>INT((2^$J$12-1)*O542/100)/(2^$J$12-1)*100</f>
        <v/>
      </c>
      <c r="Q542" s="15" t="n">
        <v>0</v>
      </c>
      <c r="R542" s="15">
        <f>P542+Q542</f>
        <v/>
      </c>
      <c r="S542" s="15">
        <f>$I$1*S541-$I$2*S540+$I$3*R521+$I$4*R520</f>
        <v/>
      </c>
      <c r="T542" s="15" t="n">
        <v>0</v>
      </c>
      <c r="U542" s="15">
        <f>S542+T542</f>
        <v/>
      </c>
      <c r="V542" s="15">
        <f>INT((2^$J$12-1)*U542/100)/(2^$J$12-1)*100</f>
        <v/>
      </c>
      <c r="X542" s="15">
        <f>M542 * 1.05</f>
        <v/>
      </c>
      <c r="Y542" s="15">
        <f>M542 * 0.95</f>
        <v/>
      </c>
      <c r="Z542" s="15">
        <f>IF(AND(V542 &lt;= X542, V542 &gt;= Y542), 1, 0)</f>
        <v/>
      </c>
      <c r="AC542" s="15">
        <f>N542^2</f>
        <v/>
      </c>
      <c r="AD542" s="15">
        <f>ABS(N542)</f>
        <v/>
      </c>
      <c r="AE542" s="15">
        <f>IF(M542&gt;0, ABS(N542)*(L542-$D$16),0)</f>
        <v/>
      </c>
    </row>
    <row r="543">
      <c r="L543" s="15" t="n">
        <v>541</v>
      </c>
      <c r="M543" s="15">
        <f>IF(L543&lt;$D$16,$D$12,IF(L543&lt;$E$16,$E$12,$F$13))</f>
        <v/>
      </c>
      <c r="N543" s="15">
        <f>M543-V543</f>
        <v/>
      </c>
      <c r="O543" s="15">
        <f>IF(MOD(L543,$B$11)=0,OFFSET(O543,-$B$11,0)+ $E$2*N543+$E$3*OFFSET(N543,-$B$11,0)+ $E$4*OFFSET(N543,-2* $B$11,0), O542)</f>
        <v/>
      </c>
      <c r="P543" s="15">
        <f>INT((2^$J$12-1)*O543/100)/(2^$J$12-1)*100</f>
        <v/>
      </c>
      <c r="Q543" s="15" t="n">
        <v>0</v>
      </c>
      <c r="R543" s="15">
        <f>P543+Q543</f>
        <v/>
      </c>
      <c r="S543" s="15">
        <f>$I$1*S542-$I$2*S541+$I$3*R522+$I$4*R521</f>
        <v/>
      </c>
      <c r="T543" s="15" t="n">
        <v>0</v>
      </c>
      <c r="U543" s="15">
        <f>S543+T543</f>
        <v/>
      </c>
      <c r="V543" s="15">
        <f>INT((2^$J$12-1)*U543/100)/(2^$J$12-1)*100</f>
        <v/>
      </c>
      <c r="X543" s="15">
        <f>M543 * 1.05</f>
        <v/>
      </c>
      <c r="Y543" s="15">
        <f>M543 * 0.95</f>
        <v/>
      </c>
      <c r="Z543" s="15">
        <f>IF(AND(V543 &lt;= X543, V543 &gt;= Y543), 1, 0)</f>
        <v/>
      </c>
      <c r="AC543" s="15">
        <f>N543^2</f>
        <v/>
      </c>
      <c r="AD543" s="15">
        <f>ABS(N543)</f>
        <v/>
      </c>
      <c r="AE543" s="15">
        <f>IF(M543&gt;0, ABS(N543)*(L543-$D$16),0)</f>
        <v/>
      </c>
    </row>
    <row r="544">
      <c r="L544" s="15" t="n">
        <v>542</v>
      </c>
      <c r="M544" s="15">
        <f>IF(L544&lt;$D$16,$D$12,IF(L544&lt;$E$16,$E$12,$F$13))</f>
        <v/>
      </c>
      <c r="N544" s="15">
        <f>M544-V544</f>
        <v/>
      </c>
      <c r="O544" s="15">
        <f>IF(MOD(L544,$B$11)=0,OFFSET(O544,-$B$11,0)+ $E$2*N544+$E$3*OFFSET(N544,-$B$11,0)+ $E$4*OFFSET(N544,-2* $B$11,0), O543)</f>
        <v/>
      </c>
      <c r="P544" s="15">
        <f>INT((2^$J$12-1)*O544/100)/(2^$J$12-1)*100</f>
        <v/>
      </c>
      <c r="Q544" s="15" t="n">
        <v>0</v>
      </c>
      <c r="R544" s="15">
        <f>P544+Q544</f>
        <v/>
      </c>
      <c r="S544" s="15">
        <f>$I$1*S543-$I$2*S542+$I$3*R523+$I$4*R522</f>
        <v/>
      </c>
      <c r="T544" s="15" t="n">
        <v>0</v>
      </c>
      <c r="U544" s="15">
        <f>S544+T544</f>
        <v/>
      </c>
      <c r="V544" s="15">
        <f>INT((2^$J$12-1)*U544/100)/(2^$J$12-1)*100</f>
        <v/>
      </c>
      <c r="X544" s="15">
        <f>M544 * 1.05</f>
        <v/>
      </c>
      <c r="Y544" s="15">
        <f>M544 * 0.95</f>
        <v/>
      </c>
      <c r="Z544" s="15">
        <f>IF(AND(V544 &lt;= X544, V544 &gt;= Y544), 1, 0)</f>
        <v/>
      </c>
      <c r="AC544" s="15">
        <f>N544^2</f>
        <v/>
      </c>
      <c r="AD544" s="15">
        <f>ABS(N544)</f>
        <v/>
      </c>
      <c r="AE544" s="15">
        <f>IF(M544&gt;0, ABS(N544)*(L544-$D$16),0)</f>
        <v/>
      </c>
    </row>
    <row r="545">
      <c r="L545" s="15" t="n">
        <v>543</v>
      </c>
      <c r="M545" s="15">
        <f>IF(L545&lt;$D$16,$D$12,IF(L545&lt;$E$16,$E$12,$F$13))</f>
        <v/>
      </c>
      <c r="N545" s="15">
        <f>M545-V545</f>
        <v/>
      </c>
      <c r="O545" s="15">
        <f>IF(MOD(L545,$B$11)=0,OFFSET(O545,-$B$11,0)+ $E$2*N545+$E$3*OFFSET(N545,-$B$11,0)+ $E$4*OFFSET(N545,-2* $B$11,0), O544)</f>
        <v/>
      </c>
      <c r="P545" s="15">
        <f>INT((2^$J$12-1)*O545/100)/(2^$J$12-1)*100</f>
        <v/>
      </c>
      <c r="Q545" s="15" t="n">
        <v>0</v>
      </c>
      <c r="R545" s="15">
        <f>P545+Q545</f>
        <v/>
      </c>
      <c r="S545" s="15">
        <f>$I$1*S544-$I$2*S543+$I$3*R524+$I$4*R523</f>
        <v/>
      </c>
      <c r="T545" s="15" t="n">
        <v>0</v>
      </c>
      <c r="U545" s="15">
        <f>S545+T545</f>
        <v/>
      </c>
      <c r="V545" s="15">
        <f>INT((2^$J$12-1)*U545/100)/(2^$J$12-1)*100</f>
        <v/>
      </c>
      <c r="X545" s="15">
        <f>M545 * 1.05</f>
        <v/>
      </c>
      <c r="Y545" s="15">
        <f>M545 * 0.95</f>
        <v/>
      </c>
      <c r="Z545" s="15">
        <f>IF(AND(V545 &lt;= X545, V545 &gt;= Y545), 1, 0)</f>
        <v/>
      </c>
      <c r="AC545" s="15">
        <f>N545^2</f>
        <v/>
      </c>
      <c r="AD545" s="15">
        <f>ABS(N545)</f>
        <v/>
      </c>
      <c r="AE545" s="15">
        <f>IF(M545&gt;0, ABS(N545)*(L545-$D$16),0)</f>
        <v/>
      </c>
    </row>
    <row r="546">
      <c r="L546" s="15" t="n">
        <v>544</v>
      </c>
      <c r="M546" s="15">
        <f>IF(L546&lt;$D$16,$D$12,IF(L546&lt;$E$16,$E$12,$F$13))</f>
        <v/>
      </c>
      <c r="N546" s="15">
        <f>M546-V546</f>
        <v/>
      </c>
      <c r="O546" s="15">
        <f>IF(MOD(L546,$B$11)=0,OFFSET(O546,-$B$11,0)+ $E$2*N546+$E$3*OFFSET(N546,-$B$11,0)+ $E$4*OFFSET(N546,-2* $B$11,0), O545)</f>
        <v/>
      </c>
      <c r="P546" s="15">
        <f>INT((2^$J$12-1)*O546/100)/(2^$J$12-1)*100</f>
        <v/>
      </c>
      <c r="Q546" s="15" t="n">
        <v>0</v>
      </c>
      <c r="R546" s="15">
        <f>P546+Q546</f>
        <v/>
      </c>
      <c r="S546" s="15">
        <f>$I$1*S545-$I$2*S544+$I$3*R525+$I$4*R524</f>
        <v/>
      </c>
      <c r="T546" s="15" t="n">
        <v>0</v>
      </c>
      <c r="U546" s="15">
        <f>S546+T546</f>
        <v/>
      </c>
      <c r="V546" s="15">
        <f>INT((2^$J$12-1)*U546/100)/(2^$J$12-1)*100</f>
        <v/>
      </c>
      <c r="X546" s="15">
        <f>M546 * 1.05</f>
        <v/>
      </c>
      <c r="Y546" s="15">
        <f>M546 * 0.95</f>
        <v/>
      </c>
      <c r="Z546" s="15">
        <f>IF(AND(V546 &lt;= X546, V546 &gt;= Y546), 1, 0)</f>
        <v/>
      </c>
      <c r="AC546" s="15">
        <f>N546^2</f>
        <v/>
      </c>
      <c r="AD546" s="15">
        <f>ABS(N546)</f>
        <v/>
      </c>
      <c r="AE546" s="15">
        <f>IF(M546&gt;0, ABS(N546)*(L546-$D$16),0)</f>
        <v/>
      </c>
    </row>
    <row r="547">
      <c r="L547" s="15" t="n">
        <v>545</v>
      </c>
      <c r="M547" s="15">
        <f>IF(L547&lt;$D$16,$D$12,IF(L547&lt;$E$16,$E$12,$F$13))</f>
        <v/>
      </c>
      <c r="N547" s="15">
        <f>M547-V547</f>
        <v/>
      </c>
      <c r="O547" s="15">
        <f>IF(MOD(L547,$B$11)=0,OFFSET(O547,-$B$11,0)+ $E$2*N547+$E$3*OFFSET(N547,-$B$11,0)+ $E$4*OFFSET(N547,-2* $B$11,0), O546)</f>
        <v/>
      </c>
      <c r="P547" s="15">
        <f>INT((2^$J$12-1)*O547/100)/(2^$J$12-1)*100</f>
        <v/>
      </c>
      <c r="Q547" s="15" t="n">
        <v>0</v>
      </c>
      <c r="R547" s="15">
        <f>P547+Q547</f>
        <v/>
      </c>
      <c r="S547" s="15">
        <f>$I$1*S546-$I$2*S545+$I$3*R526+$I$4*R525</f>
        <v/>
      </c>
      <c r="T547" s="15" t="n">
        <v>0</v>
      </c>
      <c r="U547" s="15">
        <f>S547+T547</f>
        <v/>
      </c>
      <c r="V547" s="15">
        <f>INT((2^$J$12-1)*U547/100)/(2^$J$12-1)*100</f>
        <v/>
      </c>
      <c r="X547" s="15">
        <f>M547 * 1.05</f>
        <v/>
      </c>
      <c r="Y547" s="15">
        <f>M547 * 0.95</f>
        <v/>
      </c>
      <c r="Z547" s="15">
        <f>IF(AND(V547 &lt;= X547, V547 &gt;= Y547), 1, 0)</f>
        <v/>
      </c>
      <c r="AC547" s="15">
        <f>N547^2</f>
        <v/>
      </c>
      <c r="AD547" s="15">
        <f>ABS(N547)</f>
        <v/>
      </c>
      <c r="AE547" s="15">
        <f>IF(M547&gt;0, ABS(N547)*(L547-$D$16),0)</f>
        <v/>
      </c>
    </row>
    <row r="548">
      <c r="L548" s="15" t="n">
        <v>546</v>
      </c>
      <c r="M548" s="15">
        <f>IF(L548&lt;$D$16,$D$12,IF(L548&lt;$E$16,$E$12,$F$13))</f>
        <v/>
      </c>
      <c r="N548" s="15">
        <f>M548-V548</f>
        <v/>
      </c>
      <c r="O548" s="15">
        <f>IF(MOD(L548,$B$11)=0,OFFSET(O548,-$B$11,0)+ $E$2*N548+$E$3*OFFSET(N548,-$B$11,0)+ $E$4*OFFSET(N548,-2* $B$11,0), O547)</f>
        <v/>
      </c>
      <c r="P548" s="15">
        <f>INT((2^$J$12-1)*O548/100)/(2^$J$12-1)*100</f>
        <v/>
      </c>
      <c r="Q548" s="15" t="n">
        <v>0</v>
      </c>
      <c r="R548" s="15">
        <f>P548+Q548</f>
        <v/>
      </c>
      <c r="S548" s="15">
        <f>$I$1*S547-$I$2*S546+$I$3*R527+$I$4*R526</f>
        <v/>
      </c>
      <c r="T548" s="15" t="n">
        <v>0</v>
      </c>
      <c r="U548" s="15">
        <f>S548+T548</f>
        <v/>
      </c>
      <c r="V548" s="15">
        <f>INT((2^$J$12-1)*U548/100)/(2^$J$12-1)*100</f>
        <v/>
      </c>
      <c r="X548" s="15">
        <f>M548 * 1.05</f>
        <v/>
      </c>
      <c r="Y548" s="15">
        <f>M548 * 0.95</f>
        <v/>
      </c>
      <c r="Z548" s="15">
        <f>IF(AND(V548 &lt;= X548, V548 &gt;= Y548), 1, 0)</f>
        <v/>
      </c>
      <c r="AC548" s="15">
        <f>N548^2</f>
        <v/>
      </c>
      <c r="AD548" s="15">
        <f>ABS(N548)</f>
        <v/>
      </c>
      <c r="AE548" s="15">
        <f>IF(M548&gt;0, ABS(N548)*(L548-$D$16),0)</f>
        <v/>
      </c>
    </row>
    <row r="549">
      <c r="L549" s="15" t="n">
        <v>547</v>
      </c>
      <c r="M549" s="15">
        <f>IF(L549&lt;$D$16,$D$12,IF(L549&lt;$E$16,$E$12,$F$13))</f>
        <v/>
      </c>
      <c r="N549" s="15">
        <f>M549-V549</f>
        <v/>
      </c>
      <c r="O549" s="15">
        <f>IF(MOD(L549,$B$11)=0,OFFSET(O549,-$B$11,0)+ $E$2*N549+$E$3*OFFSET(N549,-$B$11,0)+ $E$4*OFFSET(N549,-2* $B$11,0), O548)</f>
        <v/>
      </c>
      <c r="P549" s="15">
        <f>INT((2^$J$12-1)*O549/100)/(2^$J$12-1)*100</f>
        <v/>
      </c>
      <c r="Q549" s="15" t="n">
        <v>0</v>
      </c>
      <c r="R549" s="15">
        <f>P549+Q549</f>
        <v/>
      </c>
      <c r="S549" s="15">
        <f>$I$1*S548-$I$2*S547+$I$3*R528+$I$4*R527</f>
        <v/>
      </c>
      <c r="T549" s="15" t="n">
        <v>0</v>
      </c>
      <c r="U549" s="15">
        <f>S549+T549</f>
        <v/>
      </c>
      <c r="V549" s="15">
        <f>INT((2^$J$12-1)*U549/100)/(2^$J$12-1)*100</f>
        <v/>
      </c>
      <c r="X549" s="15">
        <f>M549 * 1.05</f>
        <v/>
      </c>
      <c r="Y549" s="15">
        <f>M549 * 0.95</f>
        <v/>
      </c>
      <c r="Z549" s="15">
        <f>IF(AND(V549 &lt;= X549, V549 &gt;= Y549), 1, 0)</f>
        <v/>
      </c>
      <c r="AC549" s="15">
        <f>N549^2</f>
        <v/>
      </c>
      <c r="AD549" s="15">
        <f>ABS(N549)</f>
        <v/>
      </c>
      <c r="AE549" s="15">
        <f>IF(M549&gt;0, ABS(N549)*(L549-$D$16),0)</f>
        <v/>
      </c>
    </row>
    <row r="550">
      <c r="L550" s="15" t="n">
        <v>548</v>
      </c>
      <c r="M550" s="15">
        <f>IF(L550&lt;$D$16,$D$12,IF(L550&lt;$E$16,$E$12,$F$13))</f>
        <v/>
      </c>
      <c r="N550" s="15">
        <f>M550-V550</f>
        <v/>
      </c>
      <c r="O550" s="15">
        <f>IF(MOD(L550,$B$11)=0,OFFSET(O550,-$B$11,0)+ $E$2*N550+$E$3*OFFSET(N550,-$B$11,0)+ $E$4*OFFSET(N550,-2* $B$11,0), O549)</f>
        <v/>
      </c>
      <c r="P550" s="15">
        <f>INT((2^$J$12-1)*O550/100)/(2^$J$12-1)*100</f>
        <v/>
      </c>
      <c r="Q550" s="15" t="n">
        <v>0</v>
      </c>
      <c r="R550" s="15">
        <f>P550+Q550</f>
        <v/>
      </c>
      <c r="S550" s="15">
        <f>$I$1*S549-$I$2*S548+$I$3*R529+$I$4*R528</f>
        <v/>
      </c>
      <c r="T550" s="15" t="n">
        <v>0</v>
      </c>
      <c r="U550" s="15">
        <f>S550+T550</f>
        <v/>
      </c>
      <c r="V550" s="15">
        <f>INT((2^$J$12-1)*U550/100)/(2^$J$12-1)*100</f>
        <v/>
      </c>
      <c r="X550" s="15">
        <f>M550 * 1.05</f>
        <v/>
      </c>
      <c r="Y550" s="15">
        <f>M550 * 0.95</f>
        <v/>
      </c>
      <c r="Z550" s="15">
        <f>IF(AND(V550 &lt;= X550, V550 &gt;= Y550), 1, 0)</f>
        <v/>
      </c>
      <c r="AC550" s="15">
        <f>N550^2</f>
        <v/>
      </c>
      <c r="AD550" s="15">
        <f>ABS(N550)</f>
        <v/>
      </c>
      <c r="AE550" s="15">
        <f>IF(M550&gt;0, ABS(N550)*(L550-$D$16),0)</f>
        <v/>
      </c>
    </row>
    <row r="551">
      <c r="L551" s="15" t="n">
        <v>549</v>
      </c>
      <c r="M551" s="15">
        <f>IF(L551&lt;$D$16,$D$12,IF(L551&lt;$E$16,$E$12,$F$13))</f>
        <v/>
      </c>
      <c r="N551" s="15">
        <f>M551-V551</f>
        <v/>
      </c>
      <c r="O551" s="15">
        <f>IF(MOD(L551,$B$11)=0,OFFSET(O551,-$B$11,0)+ $E$2*N551+$E$3*OFFSET(N551,-$B$11,0)+ $E$4*OFFSET(N551,-2* $B$11,0), O550)</f>
        <v/>
      </c>
      <c r="P551" s="15">
        <f>INT((2^$J$12-1)*O551/100)/(2^$J$12-1)*100</f>
        <v/>
      </c>
      <c r="Q551" s="15" t="n">
        <v>0</v>
      </c>
      <c r="R551" s="15">
        <f>P551+Q551</f>
        <v/>
      </c>
      <c r="S551" s="15">
        <f>$I$1*S550-$I$2*S549+$I$3*R530+$I$4*R529</f>
        <v/>
      </c>
      <c r="T551" s="15" t="n">
        <v>0</v>
      </c>
      <c r="U551" s="15">
        <f>S551+T551</f>
        <v/>
      </c>
      <c r="V551" s="15">
        <f>INT((2^$J$12-1)*U551/100)/(2^$J$12-1)*100</f>
        <v/>
      </c>
      <c r="X551" s="15">
        <f>M551 * 1.05</f>
        <v/>
      </c>
      <c r="Y551" s="15">
        <f>M551 * 0.95</f>
        <v/>
      </c>
      <c r="Z551" s="15">
        <f>IF(AND(V551 &lt;= X551, V551 &gt;= Y551), 1, 0)</f>
        <v/>
      </c>
      <c r="AC551" s="15">
        <f>N551^2</f>
        <v/>
      </c>
      <c r="AD551" s="15">
        <f>ABS(N551)</f>
        <v/>
      </c>
      <c r="AE551" s="15">
        <f>IF(M551&gt;0, ABS(N551)*(L551-$D$16),0)</f>
        <v/>
      </c>
    </row>
    <row r="552">
      <c r="L552" s="15" t="n">
        <v>550</v>
      </c>
      <c r="M552" s="15">
        <f>IF(L552&lt;$D$16,$D$12,IF(L552&lt;$E$16,$E$12,$F$13))</f>
        <v/>
      </c>
      <c r="N552" s="15">
        <f>M552-V552</f>
        <v/>
      </c>
      <c r="O552" s="15">
        <f>IF(MOD(L552,$B$11)=0,OFFSET(O552,-$B$11,0)+ $E$2*N552+$E$3*OFFSET(N552,-$B$11,0)+ $E$4*OFFSET(N552,-2* $B$11,0), O551)</f>
        <v/>
      </c>
      <c r="P552" s="15">
        <f>INT((2^$J$12-1)*O552/100)/(2^$J$12-1)*100</f>
        <v/>
      </c>
      <c r="Q552" s="15" t="n">
        <v>0</v>
      </c>
      <c r="R552" s="15">
        <f>P552+Q552</f>
        <v/>
      </c>
      <c r="S552" s="15">
        <f>$I$1*S551-$I$2*S550+$I$3*R531+$I$4*R530</f>
        <v/>
      </c>
      <c r="T552" s="15" t="n">
        <v>0</v>
      </c>
      <c r="U552" s="15">
        <f>S552+T552</f>
        <v/>
      </c>
      <c r="V552" s="15">
        <f>INT((2^$J$12-1)*U552/100)/(2^$J$12-1)*100</f>
        <v/>
      </c>
      <c r="X552" s="15">
        <f>M552 * 1.05</f>
        <v/>
      </c>
      <c r="Y552" s="15">
        <f>M552 * 0.95</f>
        <v/>
      </c>
      <c r="Z552" s="15">
        <f>IF(AND(V552 &lt;= X552, V552 &gt;= Y552), 1, 0)</f>
        <v/>
      </c>
      <c r="AC552" s="15">
        <f>N552^2</f>
        <v/>
      </c>
      <c r="AD552" s="15">
        <f>ABS(N552)</f>
        <v/>
      </c>
      <c r="AE552" s="15">
        <f>IF(M552&gt;0, ABS(N552)*(L552-$D$16),0)</f>
        <v/>
      </c>
    </row>
    <row r="553">
      <c r="L553" s="15" t="n">
        <v>551</v>
      </c>
      <c r="M553" s="15">
        <f>IF(L553&lt;$D$16,$D$12,IF(L553&lt;$E$16,$E$12,$F$13))</f>
        <v/>
      </c>
      <c r="N553" s="15">
        <f>M553-V553</f>
        <v/>
      </c>
      <c r="O553" s="15">
        <f>IF(MOD(L553,$B$11)=0,OFFSET(O553,-$B$11,0)+ $E$2*N553+$E$3*OFFSET(N553,-$B$11,0)+ $E$4*OFFSET(N553,-2* $B$11,0), O552)</f>
        <v/>
      </c>
      <c r="P553" s="15">
        <f>INT((2^$J$12-1)*O553/100)/(2^$J$12-1)*100</f>
        <v/>
      </c>
      <c r="Q553" s="15" t="n">
        <v>0</v>
      </c>
      <c r="R553" s="15">
        <f>P553+Q553</f>
        <v/>
      </c>
      <c r="S553" s="15">
        <f>$I$1*S552-$I$2*S551+$I$3*R532+$I$4*R531</f>
        <v/>
      </c>
      <c r="T553" s="15" t="n">
        <v>0</v>
      </c>
      <c r="U553" s="15">
        <f>S553+T553</f>
        <v/>
      </c>
      <c r="V553" s="15">
        <f>INT((2^$J$12-1)*U553/100)/(2^$J$12-1)*100</f>
        <v/>
      </c>
      <c r="X553" s="15">
        <f>M553 * 1.05</f>
        <v/>
      </c>
      <c r="Y553" s="15">
        <f>M553 * 0.95</f>
        <v/>
      </c>
      <c r="Z553" s="15">
        <f>IF(AND(V553 &lt;= X553, V553 &gt;= Y553), 1, 0)</f>
        <v/>
      </c>
      <c r="AC553" s="15">
        <f>N553^2</f>
        <v/>
      </c>
      <c r="AD553" s="15">
        <f>ABS(N553)</f>
        <v/>
      </c>
      <c r="AE553" s="15">
        <f>IF(M553&gt;0, ABS(N553)*(L553-$D$16),0)</f>
        <v/>
      </c>
    </row>
    <row r="554">
      <c r="L554" s="15" t="n">
        <v>552</v>
      </c>
      <c r="M554" s="15">
        <f>IF(L554&lt;$D$16,$D$12,IF(L554&lt;$E$16,$E$12,$F$13))</f>
        <v/>
      </c>
      <c r="N554" s="15">
        <f>M554-V554</f>
        <v/>
      </c>
      <c r="O554" s="15">
        <f>IF(MOD(L554,$B$11)=0,OFFSET(O554,-$B$11,0)+ $E$2*N554+$E$3*OFFSET(N554,-$B$11,0)+ $E$4*OFFSET(N554,-2* $B$11,0), O553)</f>
        <v/>
      </c>
      <c r="P554" s="15">
        <f>INT((2^$J$12-1)*O554/100)/(2^$J$12-1)*100</f>
        <v/>
      </c>
      <c r="Q554" s="15" t="n">
        <v>0</v>
      </c>
      <c r="R554" s="15">
        <f>P554+Q554</f>
        <v/>
      </c>
      <c r="S554" s="15">
        <f>$I$1*S553-$I$2*S552+$I$3*R533+$I$4*R532</f>
        <v/>
      </c>
      <c r="T554" s="15" t="n">
        <v>0</v>
      </c>
      <c r="U554" s="15">
        <f>S554+T554</f>
        <v/>
      </c>
      <c r="V554" s="15">
        <f>INT((2^$J$12-1)*U554/100)/(2^$J$12-1)*100</f>
        <v/>
      </c>
      <c r="X554" s="15">
        <f>M554 * 1.05</f>
        <v/>
      </c>
      <c r="Y554" s="15">
        <f>M554 * 0.95</f>
        <v/>
      </c>
      <c r="Z554" s="15">
        <f>IF(AND(V554 &lt;= X554, V554 &gt;= Y554), 1, 0)</f>
        <v/>
      </c>
      <c r="AC554" s="15">
        <f>N554^2</f>
        <v/>
      </c>
      <c r="AD554" s="15">
        <f>ABS(N554)</f>
        <v/>
      </c>
      <c r="AE554" s="15">
        <f>IF(M554&gt;0, ABS(N554)*(L554-$D$16),0)</f>
        <v/>
      </c>
    </row>
    <row r="555">
      <c r="L555" s="15" t="n">
        <v>553</v>
      </c>
      <c r="M555" s="15">
        <f>IF(L555&lt;$D$16,$D$12,IF(L555&lt;$E$16,$E$12,$F$13))</f>
        <v/>
      </c>
      <c r="N555" s="15">
        <f>M555-V555</f>
        <v/>
      </c>
      <c r="O555" s="15">
        <f>IF(MOD(L555,$B$11)=0,OFFSET(O555,-$B$11,0)+ $E$2*N555+$E$3*OFFSET(N555,-$B$11,0)+ $E$4*OFFSET(N555,-2* $B$11,0), O554)</f>
        <v/>
      </c>
      <c r="P555" s="15">
        <f>INT((2^$J$12-1)*O555/100)/(2^$J$12-1)*100</f>
        <v/>
      </c>
      <c r="Q555" s="15" t="n">
        <v>0</v>
      </c>
      <c r="R555" s="15">
        <f>P555+Q555</f>
        <v/>
      </c>
      <c r="S555" s="15">
        <f>$I$1*S554-$I$2*S553+$I$3*R534+$I$4*R533</f>
        <v/>
      </c>
      <c r="T555" s="15" t="n">
        <v>0</v>
      </c>
      <c r="U555" s="15">
        <f>S555+T555</f>
        <v/>
      </c>
      <c r="V555" s="15">
        <f>INT((2^$J$12-1)*U555/100)/(2^$J$12-1)*100</f>
        <v/>
      </c>
      <c r="X555" s="15">
        <f>M555 * 1.05</f>
        <v/>
      </c>
      <c r="Y555" s="15">
        <f>M555 * 0.95</f>
        <v/>
      </c>
      <c r="Z555" s="15">
        <f>IF(AND(V555 &lt;= X555, V555 &gt;= Y555), 1, 0)</f>
        <v/>
      </c>
      <c r="AC555" s="15">
        <f>N555^2</f>
        <v/>
      </c>
      <c r="AD555" s="15">
        <f>ABS(N555)</f>
        <v/>
      </c>
      <c r="AE555" s="15">
        <f>IF(M555&gt;0, ABS(N555)*(L555-$D$16),0)</f>
        <v/>
      </c>
    </row>
    <row r="556">
      <c r="L556" s="15" t="n">
        <v>554</v>
      </c>
      <c r="M556" s="15">
        <f>IF(L556&lt;$D$16,$D$12,IF(L556&lt;$E$16,$E$12,$F$13))</f>
        <v/>
      </c>
      <c r="N556" s="15">
        <f>M556-V556</f>
        <v/>
      </c>
      <c r="O556" s="15">
        <f>IF(MOD(L556,$B$11)=0,OFFSET(O556,-$B$11,0)+ $E$2*N556+$E$3*OFFSET(N556,-$B$11,0)+ $E$4*OFFSET(N556,-2* $B$11,0), O555)</f>
        <v/>
      </c>
      <c r="P556" s="15">
        <f>INT((2^$J$12-1)*O556/100)/(2^$J$12-1)*100</f>
        <v/>
      </c>
      <c r="Q556" s="15" t="n">
        <v>0</v>
      </c>
      <c r="R556" s="15">
        <f>P556+Q556</f>
        <v/>
      </c>
      <c r="S556" s="15">
        <f>$I$1*S555-$I$2*S554+$I$3*R535+$I$4*R534</f>
        <v/>
      </c>
      <c r="T556" s="15" t="n">
        <v>0</v>
      </c>
      <c r="U556" s="15">
        <f>S556+T556</f>
        <v/>
      </c>
      <c r="V556" s="15">
        <f>INT((2^$J$12-1)*U556/100)/(2^$J$12-1)*100</f>
        <v/>
      </c>
      <c r="X556" s="15">
        <f>M556 * 1.05</f>
        <v/>
      </c>
      <c r="Y556" s="15">
        <f>M556 * 0.95</f>
        <v/>
      </c>
      <c r="Z556" s="15">
        <f>IF(AND(V556 &lt;= X556, V556 &gt;= Y556), 1, 0)</f>
        <v/>
      </c>
      <c r="AC556" s="15">
        <f>N556^2</f>
        <v/>
      </c>
      <c r="AD556" s="15">
        <f>ABS(N556)</f>
        <v/>
      </c>
      <c r="AE556" s="15">
        <f>IF(M556&gt;0, ABS(N556)*(L556-$D$16),0)</f>
        <v/>
      </c>
    </row>
    <row r="557">
      <c r="L557" s="15" t="n">
        <v>555</v>
      </c>
      <c r="M557" s="15">
        <f>IF(L557&lt;$D$16,$D$12,IF(L557&lt;$E$16,$E$12,$F$13))</f>
        <v/>
      </c>
      <c r="N557" s="15">
        <f>M557-V557</f>
        <v/>
      </c>
      <c r="O557" s="15">
        <f>IF(MOD(L557,$B$11)=0,OFFSET(O557,-$B$11,0)+ $E$2*N557+$E$3*OFFSET(N557,-$B$11,0)+ $E$4*OFFSET(N557,-2* $B$11,0), O556)</f>
        <v/>
      </c>
      <c r="P557" s="15">
        <f>INT((2^$J$12-1)*O557/100)/(2^$J$12-1)*100</f>
        <v/>
      </c>
      <c r="Q557" s="15" t="n">
        <v>0</v>
      </c>
      <c r="R557" s="15">
        <f>P557+Q557</f>
        <v/>
      </c>
      <c r="S557" s="15">
        <f>$I$1*S556-$I$2*S555+$I$3*R536+$I$4*R535</f>
        <v/>
      </c>
      <c r="T557" s="15" t="n">
        <v>0</v>
      </c>
      <c r="U557" s="15">
        <f>S557+T557</f>
        <v/>
      </c>
      <c r="V557" s="15">
        <f>INT((2^$J$12-1)*U557/100)/(2^$J$12-1)*100</f>
        <v/>
      </c>
      <c r="X557" s="15">
        <f>M557 * 1.05</f>
        <v/>
      </c>
      <c r="Y557" s="15">
        <f>M557 * 0.95</f>
        <v/>
      </c>
      <c r="Z557" s="15">
        <f>IF(AND(V557 &lt;= X557, V557 &gt;= Y557), 1, 0)</f>
        <v/>
      </c>
      <c r="AC557" s="15">
        <f>N557^2</f>
        <v/>
      </c>
      <c r="AD557" s="15">
        <f>ABS(N557)</f>
        <v/>
      </c>
      <c r="AE557" s="15">
        <f>IF(M557&gt;0, ABS(N557)*(L557-$D$16),0)</f>
        <v/>
      </c>
    </row>
    <row r="558">
      <c r="L558" s="15" t="n">
        <v>556</v>
      </c>
      <c r="M558" s="15">
        <f>IF(L558&lt;$D$16,$D$12,IF(L558&lt;$E$16,$E$12,$F$13))</f>
        <v/>
      </c>
      <c r="N558" s="15">
        <f>M558-V558</f>
        <v/>
      </c>
      <c r="O558" s="15">
        <f>IF(MOD(L558,$B$11)=0,OFFSET(O558,-$B$11,0)+ $E$2*N558+$E$3*OFFSET(N558,-$B$11,0)+ $E$4*OFFSET(N558,-2* $B$11,0), O557)</f>
        <v/>
      </c>
      <c r="P558" s="15">
        <f>INT((2^$J$12-1)*O558/100)/(2^$J$12-1)*100</f>
        <v/>
      </c>
      <c r="Q558" s="15" t="n">
        <v>0</v>
      </c>
      <c r="R558" s="15">
        <f>P558+Q558</f>
        <v/>
      </c>
      <c r="S558" s="15">
        <f>$I$1*S557-$I$2*S556+$I$3*R537+$I$4*R536</f>
        <v/>
      </c>
      <c r="T558" s="15" t="n">
        <v>0</v>
      </c>
      <c r="U558" s="15">
        <f>S558+T558</f>
        <v/>
      </c>
      <c r="V558" s="15">
        <f>INT((2^$J$12-1)*U558/100)/(2^$J$12-1)*100</f>
        <v/>
      </c>
      <c r="X558" s="15">
        <f>M558 * 1.05</f>
        <v/>
      </c>
      <c r="Y558" s="15">
        <f>M558 * 0.95</f>
        <v/>
      </c>
      <c r="Z558" s="15">
        <f>IF(AND(V558 &lt;= X558, V558 &gt;= Y558), 1, 0)</f>
        <v/>
      </c>
      <c r="AC558" s="15">
        <f>N558^2</f>
        <v/>
      </c>
      <c r="AD558" s="15">
        <f>ABS(N558)</f>
        <v/>
      </c>
      <c r="AE558" s="15">
        <f>IF(M558&gt;0, ABS(N558)*(L558-$D$16),0)</f>
        <v/>
      </c>
    </row>
    <row r="559">
      <c r="L559" s="15" t="n">
        <v>557</v>
      </c>
      <c r="M559" s="15">
        <f>IF(L559&lt;$D$16,$D$12,IF(L559&lt;$E$16,$E$12,$F$13))</f>
        <v/>
      </c>
      <c r="N559" s="15">
        <f>M559-V559</f>
        <v/>
      </c>
      <c r="O559" s="15">
        <f>IF(MOD(L559,$B$11)=0,OFFSET(O559,-$B$11,0)+ $E$2*N559+$E$3*OFFSET(N559,-$B$11,0)+ $E$4*OFFSET(N559,-2* $B$11,0), O558)</f>
        <v/>
      </c>
      <c r="P559" s="15">
        <f>INT((2^$J$12-1)*O559/100)/(2^$J$12-1)*100</f>
        <v/>
      </c>
      <c r="Q559" s="15" t="n">
        <v>0</v>
      </c>
      <c r="R559" s="15">
        <f>P559+Q559</f>
        <v/>
      </c>
      <c r="S559" s="15">
        <f>$I$1*S558-$I$2*S557+$I$3*R538+$I$4*R537</f>
        <v/>
      </c>
      <c r="T559" s="15" t="n">
        <v>0</v>
      </c>
      <c r="U559" s="15">
        <f>S559+T559</f>
        <v/>
      </c>
      <c r="V559" s="15">
        <f>INT((2^$J$12-1)*U559/100)/(2^$J$12-1)*100</f>
        <v/>
      </c>
      <c r="X559" s="15">
        <f>M559 * 1.05</f>
        <v/>
      </c>
      <c r="Y559" s="15">
        <f>M559 * 0.95</f>
        <v/>
      </c>
      <c r="Z559" s="15">
        <f>IF(AND(V559 &lt;= X559, V559 &gt;= Y559), 1, 0)</f>
        <v/>
      </c>
      <c r="AC559" s="15">
        <f>N559^2</f>
        <v/>
      </c>
      <c r="AD559" s="15">
        <f>ABS(N559)</f>
        <v/>
      </c>
      <c r="AE559" s="15">
        <f>IF(M559&gt;0, ABS(N559)*(L559-$D$16),0)</f>
        <v/>
      </c>
    </row>
    <row r="560">
      <c r="L560" s="15" t="n">
        <v>558</v>
      </c>
      <c r="M560" s="15">
        <f>IF(L560&lt;$D$16,$D$12,IF(L560&lt;$E$16,$E$12,$F$13))</f>
        <v/>
      </c>
      <c r="N560" s="15">
        <f>M560-V560</f>
        <v/>
      </c>
      <c r="O560" s="15">
        <f>IF(MOD(L560,$B$11)=0,OFFSET(O560,-$B$11,0)+ $E$2*N560+$E$3*OFFSET(N560,-$B$11,0)+ $E$4*OFFSET(N560,-2* $B$11,0), O559)</f>
        <v/>
      </c>
      <c r="P560" s="15">
        <f>INT((2^$J$12-1)*O560/100)/(2^$J$12-1)*100</f>
        <v/>
      </c>
      <c r="Q560" s="15" t="n">
        <v>0</v>
      </c>
      <c r="R560" s="15">
        <f>P560+Q560</f>
        <v/>
      </c>
      <c r="S560" s="15">
        <f>$I$1*S559-$I$2*S558+$I$3*R539+$I$4*R538</f>
        <v/>
      </c>
      <c r="T560" s="15" t="n">
        <v>0</v>
      </c>
      <c r="U560" s="15">
        <f>S560+T560</f>
        <v/>
      </c>
      <c r="V560" s="15">
        <f>INT((2^$J$12-1)*U560/100)/(2^$J$12-1)*100</f>
        <v/>
      </c>
      <c r="X560" s="15">
        <f>M560 * 1.05</f>
        <v/>
      </c>
      <c r="Y560" s="15">
        <f>M560 * 0.95</f>
        <v/>
      </c>
      <c r="Z560" s="15">
        <f>IF(AND(V560 &lt;= X560, V560 &gt;= Y560), 1, 0)</f>
        <v/>
      </c>
      <c r="AC560" s="15">
        <f>N560^2</f>
        <v/>
      </c>
      <c r="AD560" s="15">
        <f>ABS(N560)</f>
        <v/>
      </c>
      <c r="AE560" s="15">
        <f>IF(M560&gt;0, ABS(N560)*(L560-$D$16),0)</f>
        <v/>
      </c>
    </row>
    <row r="561">
      <c r="L561" s="15" t="n">
        <v>559</v>
      </c>
      <c r="M561" s="15">
        <f>IF(L561&lt;$D$16,$D$12,IF(L561&lt;$E$16,$E$12,$F$13))</f>
        <v/>
      </c>
      <c r="N561" s="15">
        <f>M561-V561</f>
        <v/>
      </c>
      <c r="O561" s="15">
        <f>IF(MOD(L561,$B$11)=0,OFFSET(O561,-$B$11,0)+ $E$2*N561+$E$3*OFFSET(N561,-$B$11,0)+ $E$4*OFFSET(N561,-2* $B$11,0), O560)</f>
        <v/>
      </c>
      <c r="P561" s="15">
        <f>INT((2^$J$12-1)*O561/100)/(2^$J$12-1)*100</f>
        <v/>
      </c>
      <c r="Q561" s="15" t="n">
        <v>0</v>
      </c>
      <c r="R561" s="15">
        <f>P561+Q561</f>
        <v/>
      </c>
      <c r="S561" s="15">
        <f>$I$1*S560-$I$2*S559+$I$3*R540+$I$4*R539</f>
        <v/>
      </c>
      <c r="T561" s="15" t="n">
        <v>0</v>
      </c>
      <c r="U561" s="15">
        <f>S561+T561</f>
        <v/>
      </c>
      <c r="V561" s="15">
        <f>INT((2^$J$12-1)*U561/100)/(2^$J$12-1)*100</f>
        <v/>
      </c>
      <c r="X561" s="15">
        <f>M561 * 1.05</f>
        <v/>
      </c>
      <c r="Y561" s="15">
        <f>M561 * 0.95</f>
        <v/>
      </c>
      <c r="Z561" s="15">
        <f>IF(AND(V561 &lt;= X561, V561 &gt;= Y561), 1, 0)</f>
        <v/>
      </c>
      <c r="AC561" s="15">
        <f>N561^2</f>
        <v/>
      </c>
      <c r="AD561" s="15">
        <f>ABS(N561)</f>
        <v/>
      </c>
      <c r="AE561" s="15">
        <f>IF(M561&gt;0, ABS(N561)*(L561-$D$16),0)</f>
        <v/>
      </c>
    </row>
    <row r="562">
      <c r="L562" s="15" t="n">
        <v>560</v>
      </c>
      <c r="M562" s="15">
        <f>IF(L562&lt;$D$16,$D$12,IF(L562&lt;$E$16,$E$12,$F$13))</f>
        <v/>
      </c>
      <c r="N562" s="15">
        <f>M562-V562</f>
        <v/>
      </c>
      <c r="O562" s="15">
        <f>IF(MOD(L562,$B$11)=0,OFFSET(O562,-$B$11,0)+ $E$2*N562+$E$3*OFFSET(N562,-$B$11,0)+ $E$4*OFFSET(N562,-2* $B$11,0), O561)</f>
        <v/>
      </c>
      <c r="P562" s="15">
        <f>INT((2^$J$12-1)*O562/100)/(2^$J$12-1)*100</f>
        <v/>
      </c>
      <c r="Q562" s="15" t="n">
        <v>0</v>
      </c>
      <c r="R562" s="15">
        <f>P562+Q562</f>
        <v/>
      </c>
      <c r="S562" s="15">
        <f>$I$1*S561-$I$2*S560+$I$3*R541+$I$4*R540</f>
        <v/>
      </c>
      <c r="T562" s="15" t="n">
        <v>0</v>
      </c>
      <c r="U562" s="15">
        <f>S562+T562</f>
        <v/>
      </c>
      <c r="V562" s="15">
        <f>INT((2^$J$12-1)*U562/100)/(2^$J$12-1)*100</f>
        <v/>
      </c>
      <c r="X562" s="15">
        <f>M562 * 1.05</f>
        <v/>
      </c>
      <c r="Y562" s="15">
        <f>M562 * 0.95</f>
        <v/>
      </c>
      <c r="Z562" s="15">
        <f>IF(AND(V562 &lt;= X562, V562 &gt;= Y562), 1, 0)</f>
        <v/>
      </c>
      <c r="AC562" s="15">
        <f>N562^2</f>
        <v/>
      </c>
      <c r="AD562" s="15">
        <f>ABS(N562)</f>
        <v/>
      </c>
      <c r="AE562" s="15">
        <f>IF(M562&gt;0, ABS(N562)*(L562-$D$16),0)</f>
        <v/>
      </c>
    </row>
    <row r="563">
      <c r="L563" s="15" t="n">
        <v>561</v>
      </c>
      <c r="M563" s="15">
        <f>IF(L563&lt;$D$16,$D$12,IF(L563&lt;$E$16,$E$12,$F$13))</f>
        <v/>
      </c>
      <c r="N563" s="15">
        <f>M563-V563</f>
        <v/>
      </c>
      <c r="O563" s="15">
        <f>IF(MOD(L563,$B$11)=0,OFFSET(O563,-$B$11,0)+ $E$2*N563+$E$3*OFFSET(N563,-$B$11,0)+ $E$4*OFFSET(N563,-2* $B$11,0), O562)</f>
        <v/>
      </c>
      <c r="P563" s="15">
        <f>INT((2^$J$12-1)*O563/100)/(2^$J$12-1)*100</f>
        <v/>
      </c>
      <c r="Q563" s="15" t="n">
        <v>0</v>
      </c>
      <c r="R563" s="15">
        <f>P563+Q563</f>
        <v/>
      </c>
      <c r="S563" s="15">
        <f>$I$1*S562-$I$2*S561+$I$3*R542+$I$4*R541</f>
        <v/>
      </c>
      <c r="T563" s="15" t="n">
        <v>0</v>
      </c>
      <c r="U563" s="15">
        <f>S563+T563</f>
        <v/>
      </c>
      <c r="V563" s="15">
        <f>INT((2^$J$12-1)*U563/100)/(2^$J$12-1)*100</f>
        <v/>
      </c>
      <c r="X563" s="15">
        <f>M563 * 1.05</f>
        <v/>
      </c>
      <c r="Y563" s="15">
        <f>M563 * 0.95</f>
        <v/>
      </c>
      <c r="Z563" s="15">
        <f>IF(AND(V563 &lt;= X563, V563 &gt;= Y563), 1, 0)</f>
        <v/>
      </c>
      <c r="AC563" s="15">
        <f>N563^2</f>
        <v/>
      </c>
      <c r="AD563" s="15">
        <f>ABS(N563)</f>
        <v/>
      </c>
      <c r="AE563" s="15">
        <f>IF(M563&gt;0, ABS(N563)*(L563-$D$16),0)</f>
        <v/>
      </c>
    </row>
    <row r="564">
      <c r="L564" s="15" t="n">
        <v>562</v>
      </c>
      <c r="M564" s="15">
        <f>IF(L564&lt;$D$16,$D$12,IF(L564&lt;$E$16,$E$12,$F$13))</f>
        <v/>
      </c>
      <c r="N564" s="15">
        <f>M564-V564</f>
        <v/>
      </c>
      <c r="O564" s="15">
        <f>IF(MOD(L564,$B$11)=0,OFFSET(O564,-$B$11,0)+ $E$2*N564+$E$3*OFFSET(N564,-$B$11,0)+ $E$4*OFFSET(N564,-2* $B$11,0), O563)</f>
        <v/>
      </c>
      <c r="P564" s="15">
        <f>INT((2^$J$12-1)*O564/100)/(2^$J$12-1)*100</f>
        <v/>
      </c>
      <c r="Q564" s="15" t="n">
        <v>0</v>
      </c>
      <c r="R564" s="15">
        <f>P564+Q564</f>
        <v/>
      </c>
      <c r="S564" s="15">
        <f>$I$1*S563-$I$2*S562+$I$3*R543+$I$4*R542</f>
        <v/>
      </c>
      <c r="T564" s="15" t="n">
        <v>0</v>
      </c>
      <c r="U564" s="15">
        <f>S564+T564</f>
        <v/>
      </c>
      <c r="V564" s="15">
        <f>INT((2^$J$12-1)*U564/100)/(2^$J$12-1)*100</f>
        <v/>
      </c>
      <c r="X564" s="15">
        <f>M564 * 1.05</f>
        <v/>
      </c>
      <c r="Y564" s="15">
        <f>M564 * 0.95</f>
        <v/>
      </c>
      <c r="Z564" s="15">
        <f>IF(AND(V564 &lt;= X564, V564 &gt;= Y564), 1, 0)</f>
        <v/>
      </c>
      <c r="AC564" s="15">
        <f>N564^2</f>
        <v/>
      </c>
      <c r="AD564" s="15">
        <f>ABS(N564)</f>
        <v/>
      </c>
      <c r="AE564" s="15">
        <f>IF(M564&gt;0, ABS(N564)*(L564-$D$16),0)</f>
        <v/>
      </c>
    </row>
    <row r="565">
      <c r="L565" s="15" t="n">
        <v>563</v>
      </c>
      <c r="M565" s="15">
        <f>IF(L565&lt;$D$16,$D$12,IF(L565&lt;$E$16,$E$12,$F$13))</f>
        <v/>
      </c>
      <c r="N565" s="15">
        <f>M565-V565</f>
        <v/>
      </c>
      <c r="O565" s="15">
        <f>IF(MOD(L565,$B$11)=0,OFFSET(O565,-$B$11,0)+ $E$2*N565+$E$3*OFFSET(N565,-$B$11,0)+ $E$4*OFFSET(N565,-2* $B$11,0), O564)</f>
        <v/>
      </c>
      <c r="P565" s="15">
        <f>INT((2^$J$12-1)*O565/100)/(2^$J$12-1)*100</f>
        <v/>
      </c>
      <c r="Q565" s="15" t="n">
        <v>0</v>
      </c>
      <c r="R565" s="15">
        <f>P565+Q565</f>
        <v/>
      </c>
      <c r="S565" s="15">
        <f>$I$1*S564-$I$2*S563+$I$3*R544+$I$4*R543</f>
        <v/>
      </c>
      <c r="T565" s="15" t="n">
        <v>0</v>
      </c>
      <c r="U565" s="15">
        <f>S565+T565</f>
        <v/>
      </c>
      <c r="V565" s="15">
        <f>INT((2^$J$12-1)*U565/100)/(2^$J$12-1)*100</f>
        <v/>
      </c>
      <c r="X565" s="15">
        <f>M565 * 1.05</f>
        <v/>
      </c>
      <c r="Y565" s="15">
        <f>M565 * 0.95</f>
        <v/>
      </c>
      <c r="Z565" s="15">
        <f>IF(AND(V565 &lt;= X565, V565 &gt;= Y565), 1, 0)</f>
        <v/>
      </c>
      <c r="AC565" s="15">
        <f>N565^2</f>
        <v/>
      </c>
      <c r="AD565" s="15">
        <f>ABS(N565)</f>
        <v/>
      </c>
      <c r="AE565" s="15">
        <f>IF(M565&gt;0, ABS(N565)*(L565-$D$16),0)</f>
        <v/>
      </c>
    </row>
    <row r="566">
      <c r="L566" s="15" t="n">
        <v>564</v>
      </c>
      <c r="M566" s="15">
        <f>IF(L566&lt;$D$16,$D$12,IF(L566&lt;$E$16,$E$12,$F$13))</f>
        <v/>
      </c>
      <c r="N566" s="15">
        <f>M566-V566</f>
        <v/>
      </c>
      <c r="O566" s="15">
        <f>IF(MOD(L566,$B$11)=0,OFFSET(O566,-$B$11,0)+ $E$2*N566+$E$3*OFFSET(N566,-$B$11,0)+ $E$4*OFFSET(N566,-2* $B$11,0), O565)</f>
        <v/>
      </c>
      <c r="P566" s="15">
        <f>INT((2^$J$12-1)*O566/100)/(2^$J$12-1)*100</f>
        <v/>
      </c>
      <c r="Q566" s="15" t="n">
        <v>0</v>
      </c>
      <c r="R566" s="15">
        <f>P566+Q566</f>
        <v/>
      </c>
      <c r="S566" s="15">
        <f>$I$1*S565-$I$2*S564+$I$3*R545+$I$4*R544</f>
        <v/>
      </c>
      <c r="T566" s="15" t="n">
        <v>0</v>
      </c>
      <c r="U566" s="15">
        <f>S566+T566</f>
        <v/>
      </c>
      <c r="V566" s="15">
        <f>INT((2^$J$12-1)*U566/100)/(2^$J$12-1)*100</f>
        <v/>
      </c>
      <c r="X566" s="15">
        <f>M566 * 1.05</f>
        <v/>
      </c>
      <c r="Y566" s="15">
        <f>M566 * 0.95</f>
        <v/>
      </c>
      <c r="Z566" s="15">
        <f>IF(AND(V566 &lt;= X566, V566 &gt;= Y566), 1, 0)</f>
        <v/>
      </c>
      <c r="AC566" s="15">
        <f>N566^2</f>
        <v/>
      </c>
      <c r="AD566" s="15">
        <f>ABS(N566)</f>
        <v/>
      </c>
      <c r="AE566" s="15">
        <f>IF(M566&gt;0, ABS(N566)*(L566-$D$16),0)</f>
        <v/>
      </c>
    </row>
    <row r="567">
      <c r="L567" s="15" t="n">
        <v>565</v>
      </c>
      <c r="M567" s="15">
        <f>IF(L567&lt;$D$16,$D$12,IF(L567&lt;$E$16,$E$12,$F$13))</f>
        <v/>
      </c>
      <c r="N567" s="15">
        <f>M567-V567</f>
        <v/>
      </c>
      <c r="O567" s="15">
        <f>IF(MOD(L567,$B$11)=0,OFFSET(O567,-$B$11,0)+ $E$2*N567+$E$3*OFFSET(N567,-$B$11,0)+ $E$4*OFFSET(N567,-2* $B$11,0), O566)</f>
        <v/>
      </c>
      <c r="P567" s="15">
        <f>INT((2^$J$12-1)*O567/100)/(2^$J$12-1)*100</f>
        <v/>
      </c>
      <c r="Q567" s="15" t="n">
        <v>0</v>
      </c>
      <c r="R567" s="15">
        <f>P567+Q567</f>
        <v/>
      </c>
      <c r="S567" s="15">
        <f>$I$1*S566-$I$2*S565+$I$3*R546+$I$4*R545</f>
        <v/>
      </c>
      <c r="T567" s="15" t="n">
        <v>0</v>
      </c>
      <c r="U567" s="15">
        <f>S567+T567</f>
        <v/>
      </c>
      <c r="V567" s="15">
        <f>INT((2^$J$12-1)*U567/100)/(2^$J$12-1)*100</f>
        <v/>
      </c>
      <c r="X567" s="15">
        <f>M567 * 1.05</f>
        <v/>
      </c>
      <c r="Y567" s="15">
        <f>M567 * 0.95</f>
        <v/>
      </c>
      <c r="Z567" s="15">
        <f>IF(AND(V567 &lt;= X567, V567 &gt;= Y567), 1, 0)</f>
        <v/>
      </c>
      <c r="AC567" s="15">
        <f>N567^2</f>
        <v/>
      </c>
      <c r="AD567" s="15">
        <f>ABS(N567)</f>
        <v/>
      </c>
      <c r="AE567" s="15">
        <f>IF(M567&gt;0, ABS(N567)*(L567-$D$16),0)</f>
        <v/>
      </c>
    </row>
    <row r="568">
      <c r="L568" s="15" t="n">
        <v>566</v>
      </c>
      <c r="M568" s="15">
        <f>IF(L568&lt;$D$16,$D$12,IF(L568&lt;$E$16,$E$12,$F$13))</f>
        <v/>
      </c>
      <c r="N568" s="15">
        <f>M568-V568</f>
        <v/>
      </c>
      <c r="O568" s="15">
        <f>IF(MOD(L568,$B$11)=0,OFFSET(O568,-$B$11,0)+ $E$2*N568+$E$3*OFFSET(N568,-$B$11,0)+ $E$4*OFFSET(N568,-2* $B$11,0), O567)</f>
        <v/>
      </c>
      <c r="P568" s="15">
        <f>INT((2^$J$12-1)*O568/100)/(2^$J$12-1)*100</f>
        <v/>
      </c>
      <c r="Q568" s="15" t="n">
        <v>0</v>
      </c>
      <c r="R568" s="15">
        <f>P568+Q568</f>
        <v/>
      </c>
      <c r="S568" s="15">
        <f>$I$1*S567-$I$2*S566+$I$3*R547+$I$4*R546</f>
        <v/>
      </c>
      <c r="T568" s="15" t="n">
        <v>0</v>
      </c>
      <c r="U568" s="15">
        <f>S568+T568</f>
        <v/>
      </c>
      <c r="V568" s="15">
        <f>INT((2^$J$12-1)*U568/100)/(2^$J$12-1)*100</f>
        <v/>
      </c>
      <c r="X568" s="15">
        <f>M568 * 1.05</f>
        <v/>
      </c>
      <c r="Y568" s="15">
        <f>M568 * 0.95</f>
        <v/>
      </c>
      <c r="Z568" s="15">
        <f>IF(AND(V568 &lt;= X568, V568 &gt;= Y568), 1, 0)</f>
        <v/>
      </c>
      <c r="AC568" s="15">
        <f>N568^2</f>
        <v/>
      </c>
      <c r="AD568" s="15">
        <f>ABS(N568)</f>
        <v/>
      </c>
      <c r="AE568" s="15">
        <f>IF(M568&gt;0, ABS(N568)*(L568-$D$16),0)</f>
        <v/>
      </c>
    </row>
    <row r="569">
      <c r="L569" s="15" t="n">
        <v>567</v>
      </c>
      <c r="M569" s="15">
        <f>IF(L569&lt;$D$16,$D$12,IF(L569&lt;$E$16,$E$12,$F$13))</f>
        <v/>
      </c>
      <c r="N569" s="15">
        <f>M569-V569</f>
        <v/>
      </c>
      <c r="O569" s="15">
        <f>IF(MOD(L569,$B$11)=0,OFFSET(O569,-$B$11,0)+ $E$2*N569+$E$3*OFFSET(N569,-$B$11,0)+ $E$4*OFFSET(N569,-2* $B$11,0), O568)</f>
        <v/>
      </c>
      <c r="P569" s="15">
        <f>INT((2^$J$12-1)*O569/100)/(2^$J$12-1)*100</f>
        <v/>
      </c>
      <c r="Q569" s="15" t="n">
        <v>0</v>
      </c>
      <c r="R569" s="15">
        <f>P569+Q569</f>
        <v/>
      </c>
      <c r="S569" s="15">
        <f>$I$1*S568-$I$2*S567+$I$3*R548+$I$4*R547</f>
        <v/>
      </c>
      <c r="T569" s="15" t="n">
        <v>0</v>
      </c>
      <c r="U569" s="15">
        <f>S569+T569</f>
        <v/>
      </c>
      <c r="V569" s="15">
        <f>INT((2^$J$12-1)*U569/100)/(2^$J$12-1)*100</f>
        <v/>
      </c>
      <c r="X569" s="15">
        <f>M569 * 1.05</f>
        <v/>
      </c>
      <c r="Y569" s="15">
        <f>M569 * 0.95</f>
        <v/>
      </c>
      <c r="Z569" s="15">
        <f>IF(AND(V569 &lt;= X569, V569 &gt;= Y569), 1, 0)</f>
        <v/>
      </c>
      <c r="AC569" s="15">
        <f>N569^2</f>
        <v/>
      </c>
      <c r="AD569" s="15">
        <f>ABS(N569)</f>
        <v/>
      </c>
      <c r="AE569" s="15">
        <f>IF(M569&gt;0, ABS(N569)*(L569-$D$16),0)</f>
        <v/>
      </c>
    </row>
    <row r="570">
      <c r="L570" s="15" t="n">
        <v>568</v>
      </c>
      <c r="M570" s="15">
        <f>IF(L570&lt;$D$16,$D$12,IF(L570&lt;$E$16,$E$12,$F$13))</f>
        <v/>
      </c>
      <c r="N570" s="15">
        <f>M570-V570</f>
        <v/>
      </c>
      <c r="O570" s="15">
        <f>IF(MOD(L570,$B$11)=0,OFFSET(O570,-$B$11,0)+ $E$2*N570+$E$3*OFFSET(N570,-$B$11,0)+ $E$4*OFFSET(N570,-2* $B$11,0), O569)</f>
        <v/>
      </c>
      <c r="P570" s="15">
        <f>INT((2^$J$12-1)*O570/100)/(2^$J$12-1)*100</f>
        <v/>
      </c>
      <c r="Q570" s="15" t="n">
        <v>0</v>
      </c>
      <c r="R570" s="15">
        <f>P570+Q570</f>
        <v/>
      </c>
      <c r="S570" s="15">
        <f>$I$1*S569-$I$2*S568+$I$3*R549+$I$4*R548</f>
        <v/>
      </c>
      <c r="T570" s="15" t="n">
        <v>0</v>
      </c>
      <c r="U570" s="15">
        <f>S570+T570</f>
        <v/>
      </c>
      <c r="V570" s="15">
        <f>INT((2^$J$12-1)*U570/100)/(2^$J$12-1)*100</f>
        <v/>
      </c>
      <c r="X570" s="15">
        <f>M570 * 1.05</f>
        <v/>
      </c>
      <c r="Y570" s="15">
        <f>M570 * 0.95</f>
        <v/>
      </c>
      <c r="Z570" s="15">
        <f>IF(AND(V570 &lt;= X570, V570 &gt;= Y570), 1, 0)</f>
        <v/>
      </c>
      <c r="AC570" s="15">
        <f>N570^2</f>
        <v/>
      </c>
      <c r="AD570" s="15">
        <f>ABS(N570)</f>
        <v/>
      </c>
      <c r="AE570" s="15">
        <f>IF(M570&gt;0, ABS(N570)*(L570-$D$16),0)</f>
        <v/>
      </c>
    </row>
    <row r="571">
      <c r="L571" s="15" t="n">
        <v>569</v>
      </c>
      <c r="M571" s="15">
        <f>IF(L571&lt;$D$16,$D$12,IF(L571&lt;$E$16,$E$12,$F$13))</f>
        <v/>
      </c>
      <c r="N571" s="15">
        <f>M571-V571</f>
        <v/>
      </c>
      <c r="O571" s="15">
        <f>IF(MOD(L571,$B$11)=0,OFFSET(O571,-$B$11,0)+ $E$2*N571+$E$3*OFFSET(N571,-$B$11,0)+ $E$4*OFFSET(N571,-2* $B$11,0), O570)</f>
        <v/>
      </c>
      <c r="P571" s="15">
        <f>INT((2^$J$12-1)*O571/100)/(2^$J$12-1)*100</f>
        <v/>
      </c>
      <c r="Q571" s="15" t="n">
        <v>0</v>
      </c>
      <c r="R571" s="15">
        <f>P571+Q571</f>
        <v/>
      </c>
      <c r="S571" s="15">
        <f>$I$1*S570-$I$2*S569+$I$3*R550+$I$4*R549</f>
        <v/>
      </c>
      <c r="T571" s="15" t="n">
        <v>0</v>
      </c>
      <c r="U571" s="15">
        <f>S571+T571</f>
        <v/>
      </c>
      <c r="V571" s="15">
        <f>INT((2^$J$12-1)*U571/100)/(2^$J$12-1)*100</f>
        <v/>
      </c>
      <c r="X571" s="15">
        <f>M571 * 1.05</f>
        <v/>
      </c>
      <c r="Y571" s="15">
        <f>M571 * 0.95</f>
        <v/>
      </c>
      <c r="Z571" s="15">
        <f>IF(AND(V571 &lt;= X571, V571 &gt;= Y571), 1, 0)</f>
        <v/>
      </c>
      <c r="AC571" s="15">
        <f>N571^2</f>
        <v/>
      </c>
      <c r="AD571" s="15">
        <f>ABS(N571)</f>
        <v/>
      </c>
      <c r="AE571" s="15">
        <f>IF(M571&gt;0, ABS(N571)*(L571-$D$16),0)</f>
        <v/>
      </c>
    </row>
    <row r="572">
      <c r="L572" s="15" t="n">
        <v>570</v>
      </c>
      <c r="M572" s="15">
        <f>IF(L572&lt;$D$16,$D$12,IF(L572&lt;$E$16,$E$12,$F$13))</f>
        <v/>
      </c>
      <c r="N572" s="15">
        <f>M572-V572</f>
        <v/>
      </c>
      <c r="O572" s="15">
        <f>IF(MOD(L572,$B$11)=0,OFFSET(O572,-$B$11,0)+ $E$2*N572+$E$3*OFFSET(N572,-$B$11,0)+ $E$4*OFFSET(N572,-2* $B$11,0), O571)</f>
        <v/>
      </c>
      <c r="P572" s="15">
        <f>INT((2^$J$12-1)*O572/100)/(2^$J$12-1)*100</f>
        <v/>
      </c>
      <c r="Q572" s="15" t="n">
        <v>0</v>
      </c>
      <c r="R572" s="15">
        <f>P572+Q572</f>
        <v/>
      </c>
      <c r="S572" s="15">
        <f>$I$1*S571-$I$2*S570+$I$3*R551+$I$4*R550</f>
        <v/>
      </c>
      <c r="T572" s="15" t="n">
        <v>0</v>
      </c>
      <c r="U572" s="15">
        <f>S572+T572</f>
        <v/>
      </c>
      <c r="V572" s="15">
        <f>INT((2^$J$12-1)*U572/100)/(2^$J$12-1)*100</f>
        <v/>
      </c>
      <c r="X572" s="15">
        <f>M572 * 1.05</f>
        <v/>
      </c>
      <c r="Y572" s="15">
        <f>M572 * 0.95</f>
        <v/>
      </c>
      <c r="Z572" s="15">
        <f>IF(AND(V572 &lt;= X572, V572 &gt;= Y572), 1, 0)</f>
        <v/>
      </c>
      <c r="AC572" s="15">
        <f>N572^2</f>
        <v/>
      </c>
      <c r="AD572" s="15">
        <f>ABS(N572)</f>
        <v/>
      </c>
      <c r="AE572" s="15">
        <f>IF(M572&gt;0, ABS(N572)*(L572-$D$16),0)</f>
        <v/>
      </c>
    </row>
    <row r="573">
      <c r="L573" s="15" t="n">
        <v>571</v>
      </c>
      <c r="M573" s="15">
        <f>IF(L573&lt;$D$16,$D$12,IF(L573&lt;$E$16,$E$12,$F$13))</f>
        <v/>
      </c>
      <c r="N573" s="15">
        <f>M573-V573</f>
        <v/>
      </c>
      <c r="O573" s="15">
        <f>IF(MOD(L573,$B$11)=0,OFFSET(O573,-$B$11,0)+ $E$2*N573+$E$3*OFFSET(N573,-$B$11,0)+ $E$4*OFFSET(N573,-2* $B$11,0), O572)</f>
        <v/>
      </c>
      <c r="P573" s="15">
        <f>INT((2^$J$12-1)*O573/100)/(2^$J$12-1)*100</f>
        <v/>
      </c>
      <c r="Q573" s="15" t="n">
        <v>0</v>
      </c>
      <c r="R573" s="15">
        <f>P573+Q573</f>
        <v/>
      </c>
      <c r="S573" s="15">
        <f>$I$1*S572-$I$2*S571+$I$3*R552+$I$4*R551</f>
        <v/>
      </c>
      <c r="T573" s="15" t="n">
        <v>0</v>
      </c>
      <c r="U573" s="15">
        <f>S573+T573</f>
        <v/>
      </c>
      <c r="V573" s="15">
        <f>INT((2^$J$12-1)*U573/100)/(2^$J$12-1)*100</f>
        <v/>
      </c>
      <c r="X573" s="15">
        <f>M573 * 1.05</f>
        <v/>
      </c>
      <c r="Y573" s="15">
        <f>M573 * 0.95</f>
        <v/>
      </c>
      <c r="Z573" s="15">
        <f>IF(AND(V573 &lt;= X573, V573 &gt;= Y573), 1, 0)</f>
        <v/>
      </c>
      <c r="AC573" s="15">
        <f>N573^2</f>
        <v/>
      </c>
      <c r="AD573" s="15">
        <f>ABS(N573)</f>
        <v/>
      </c>
      <c r="AE573" s="15">
        <f>IF(M573&gt;0, ABS(N573)*(L573-$D$16),0)</f>
        <v/>
      </c>
    </row>
    <row r="574">
      <c r="L574" s="15" t="n">
        <v>572</v>
      </c>
      <c r="M574" s="15">
        <f>IF(L574&lt;$D$16,$D$12,IF(L574&lt;$E$16,$E$12,$F$13))</f>
        <v/>
      </c>
      <c r="N574" s="15">
        <f>M574-V574</f>
        <v/>
      </c>
      <c r="O574" s="15">
        <f>IF(MOD(L574,$B$11)=0,OFFSET(O574,-$B$11,0)+ $E$2*N574+$E$3*OFFSET(N574,-$B$11,0)+ $E$4*OFFSET(N574,-2* $B$11,0), O573)</f>
        <v/>
      </c>
      <c r="P574" s="15">
        <f>INT((2^$J$12-1)*O574/100)/(2^$J$12-1)*100</f>
        <v/>
      </c>
      <c r="Q574" s="15" t="n">
        <v>0</v>
      </c>
      <c r="R574" s="15">
        <f>P574+Q574</f>
        <v/>
      </c>
      <c r="S574" s="15">
        <f>$I$1*S573-$I$2*S572+$I$3*R553+$I$4*R552</f>
        <v/>
      </c>
      <c r="T574" s="15" t="n">
        <v>0</v>
      </c>
      <c r="U574" s="15">
        <f>S574+T574</f>
        <v/>
      </c>
      <c r="V574" s="15">
        <f>INT((2^$J$12-1)*U574/100)/(2^$J$12-1)*100</f>
        <v/>
      </c>
      <c r="X574" s="15">
        <f>M574 * 1.05</f>
        <v/>
      </c>
      <c r="Y574" s="15">
        <f>M574 * 0.95</f>
        <v/>
      </c>
      <c r="Z574" s="15">
        <f>IF(AND(V574 &lt;= X574, V574 &gt;= Y574), 1, 0)</f>
        <v/>
      </c>
      <c r="AC574" s="15">
        <f>N574^2</f>
        <v/>
      </c>
      <c r="AD574" s="15">
        <f>ABS(N574)</f>
        <v/>
      </c>
      <c r="AE574" s="15">
        <f>IF(M574&gt;0, ABS(N574)*(L574-$D$16),0)</f>
        <v/>
      </c>
    </row>
    <row r="575">
      <c r="L575" s="15" t="n">
        <v>573</v>
      </c>
      <c r="M575" s="15">
        <f>IF(L575&lt;$D$16,$D$12,IF(L575&lt;$E$16,$E$12,$F$13))</f>
        <v/>
      </c>
      <c r="N575" s="15">
        <f>M575-V575</f>
        <v/>
      </c>
      <c r="O575" s="15">
        <f>IF(MOD(L575,$B$11)=0,OFFSET(O575,-$B$11,0)+ $E$2*N575+$E$3*OFFSET(N575,-$B$11,0)+ $E$4*OFFSET(N575,-2* $B$11,0), O574)</f>
        <v/>
      </c>
      <c r="P575" s="15">
        <f>INT((2^$J$12-1)*O575/100)/(2^$J$12-1)*100</f>
        <v/>
      </c>
      <c r="Q575" s="15" t="n">
        <v>0</v>
      </c>
      <c r="R575" s="15">
        <f>P575+Q575</f>
        <v/>
      </c>
      <c r="S575" s="15">
        <f>$I$1*S574-$I$2*S573+$I$3*R554+$I$4*R553</f>
        <v/>
      </c>
      <c r="T575" s="15" t="n">
        <v>0</v>
      </c>
      <c r="U575" s="15">
        <f>S575+T575</f>
        <v/>
      </c>
      <c r="V575" s="15">
        <f>INT((2^$J$12-1)*U575/100)/(2^$J$12-1)*100</f>
        <v/>
      </c>
      <c r="X575" s="15">
        <f>M575 * 1.05</f>
        <v/>
      </c>
      <c r="Y575" s="15">
        <f>M575 * 0.95</f>
        <v/>
      </c>
      <c r="Z575" s="15">
        <f>IF(AND(V575 &lt;= X575, V575 &gt;= Y575), 1, 0)</f>
        <v/>
      </c>
      <c r="AC575" s="15">
        <f>N575^2</f>
        <v/>
      </c>
      <c r="AD575" s="15">
        <f>ABS(N575)</f>
        <v/>
      </c>
      <c r="AE575" s="15">
        <f>IF(M575&gt;0, ABS(N575)*(L575-$D$16),0)</f>
        <v/>
      </c>
    </row>
    <row r="576">
      <c r="L576" s="15" t="n">
        <v>574</v>
      </c>
      <c r="M576" s="15">
        <f>IF(L576&lt;$D$16,$D$12,IF(L576&lt;$E$16,$E$12,$F$13))</f>
        <v/>
      </c>
      <c r="N576" s="15">
        <f>M576-V576</f>
        <v/>
      </c>
      <c r="O576" s="15">
        <f>IF(MOD(L576,$B$11)=0,OFFSET(O576,-$B$11,0)+ $E$2*N576+$E$3*OFFSET(N576,-$B$11,0)+ $E$4*OFFSET(N576,-2* $B$11,0), O575)</f>
        <v/>
      </c>
      <c r="P576" s="15">
        <f>INT((2^$J$12-1)*O576/100)/(2^$J$12-1)*100</f>
        <v/>
      </c>
      <c r="Q576" s="15" t="n">
        <v>0</v>
      </c>
      <c r="R576" s="15">
        <f>P576+Q576</f>
        <v/>
      </c>
      <c r="S576" s="15">
        <f>$I$1*S575-$I$2*S574+$I$3*R555+$I$4*R554</f>
        <v/>
      </c>
      <c r="T576" s="15" t="n">
        <v>0</v>
      </c>
      <c r="U576" s="15">
        <f>S576+T576</f>
        <v/>
      </c>
      <c r="V576" s="15">
        <f>INT((2^$J$12-1)*U576/100)/(2^$J$12-1)*100</f>
        <v/>
      </c>
      <c r="X576" s="15">
        <f>M576 * 1.05</f>
        <v/>
      </c>
      <c r="Y576" s="15">
        <f>M576 * 0.95</f>
        <v/>
      </c>
      <c r="Z576" s="15">
        <f>IF(AND(V576 &lt;= X576, V576 &gt;= Y576), 1, 0)</f>
        <v/>
      </c>
      <c r="AC576" s="15">
        <f>N576^2</f>
        <v/>
      </c>
      <c r="AD576" s="15">
        <f>ABS(N576)</f>
        <v/>
      </c>
      <c r="AE576" s="15">
        <f>IF(M576&gt;0, ABS(N576)*(L576-$D$16),0)</f>
        <v/>
      </c>
    </row>
    <row r="577">
      <c r="L577" s="15" t="n">
        <v>575</v>
      </c>
      <c r="M577" s="15">
        <f>IF(L577&lt;$D$16,$D$12,IF(L577&lt;$E$16,$E$12,$F$13))</f>
        <v/>
      </c>
      <c r="N577" s="15">
        <f>M577-V577</f>
        <v/>
      </c>
      <c r="O577" s="15">
        <f>IF(MOD(L577,$B$11)=0,OFFSET(O577,-$B$11,0)+ $E$2*N577+$E$3*OFFSET(N577,-$B$11,0)+ $E$4*OFFSET(N577,-2* $B$11,0), O576)</f>
        <v/>
      </c>
      <c r="P577" s="15">
        <f>INT((2^$J$12-1)*O577/100)/(2^$J$12-1)*100</f>
        <v/>
      </c>
      <c r="Q577" s="15" t="n">
        <v>0</v>
      </c>
      <c r="R577" s="15">
        <f>P577+Q577</f>
        <v/>
      </c>
      <c r="S577" s="15">
        <f>$I$1*S576-$I$2*S575+$I$3*R556+$I$4*R555</f>
        <v/>
      </c>
      <c r="T577" s="15" t="n">
        <v>0</v>
      </c>
      <c r="U577" s="15">
        <f>S577+T577</f>
        <v/>
      </c>
      <c r="V577" s="15">
        <f>INT((2^$J$12-1)*U577/100)/(2^$J$12-1)*100</f>
        <v/>
      </c>
      <c r="X577" s="15">
        <f>M577 * 1.05</f>
        <v/>
      </c>
      <c r="Y577" s="15">
        <f>M577 * 0.95</f>
        <v/>
      </c>
      <c r="Z577" s="15">
        <f>IF(AND(V577 &lt;= X577, V577 &gt;= Y577), 1, 0)</f>
        <v/>
      </c>
      <c r="AC577" s="15">
        <f>N577^2</f>
        <v/>
      </c>
      <c r="AD577" s="15">
        <f>ABS(N577)</f>
        <v/>
      </c>
      <c r="AE577" s="15">
        <f>IF(M577&gt;0, ABS(N577)*(L577-$D$16),0)</f>
        <v/>
      </c>
    </row>
    <row r="578">
      <c r="L578" s="15" t="n">
        <v>576</v>
      </c>
      <c r="M578" s="15">
        <f>IF(L578&lt;$D$16,$D$12,IF(L578&lt;$E$16,$E$12,$F$13))</f>
        <v/>
      </c>
      <c r="N578" s="15">
        <f>M578-V578</f>
        <v/>
      </c>
      <c r="O578" s="15">
        <f>IF(MOD(L578,$B$11)=0,OFFSET(O578,-$B$11,0)+ $E$2*N578+$E$3*OFFSET(N578,-$B$11,0)+ $E$4*OFFSET(N578,-2* $B$11,0), O577)</f>
        <v/>
      </c>
      <c r="P578" s="15">
        <f>INT((2^$J$12-1)*O578/100)/(2^$J$12-1)*100</f>
        <v/>
      </c>
      <c r="Q578" s="15" t="n">
        <v>0</v>
      </c>
      <c r="R578" s="15">
        <f>P578+Q578</f>
        <v/>
      </c>
      <c r="S578" s="15">
        <f>$I$1*S577-$I$2*S576+$I$3*R557+$I$4*R556</f>
        <v/>
      </c>
      <c r="T578" s="15" t="n">
        <v>0</v>
      </c>
      <c r="U578" s="15">
        <f>S578+T578</f>
        <v/>
      </c>
      <c r="V578" s="15">
        <f>INT((2^$J$12-1)*U578/100)/(2^$J$12-1)*100</f>
        <v/>
      </c>
      <c r="X578" s="15">
        <f>M578 * 1.05</f>
        <v/>
      </c>
      <c r="Y578" s="15">
        <f>M578 * 0.95</f>
        <v/>
      </c>
      <c r="Z578" s="15">
        <f>IF(AND(V578 &lt;= X578, V578 &gt;= Y578), 1, 0)</f>
        <v/>
      </c>
      <c r="AC578" s="15">
        <f>N578^2</f>
        <v/>
      </c>
      <c r="AD578" s="15">
        <f>ABS(N578)</f>
        <v/>
      </c>
      <c r="AE578" s="15">
        <f>IF(M578&gt;0, ABS(N578)*(L578-$D$16),0)</f>
        <v/>
      </c>
    </row>
    <row r="579">
      <c r="L579" s="15" t="n">
        <v>577</v>
      </c>
      <c r="M579" s="15">
        <f>IF(L579&lt;$D$16,$D$12,IF(L579&lt;$E$16,$E$12,$F$13))</f>
        <v/>
      </c>
      <c r="N579" s="15">
        <f>M579-V579</f>
        <v/>
      </c>
      <c r="O579" s="15">
        <f>IF(MOD(L579,$B$11)=0,OFFSET(O579,-$B$11,0)+ $E$2*N579+$E$3*OFFSET(N579,-$B$11,0)+ $E$4*OFFSET(N579,-2* $B$11,0), O578)</f>
        <v/>
      </c>
      <c r="P579" s="15">
        <f>INT((2^$J$12-1)*O579/100)/(2^$J$12-1)*100</f>
        <v/>
      </c>
      <c r="Q579" s="15" t="n">
        <v>0</v>
      </c>
      <c r="R579" s="15">
        <f>P579+Q579</f>
        <v/>
      </c>
      <c r="S579" s="15">
        <f>$I$1*S578-$I$2*S577+$I$3*R558+$I$4*R557</f>
        <v/>
      </c>
      <c r="T579" s="15" t="n">
        <v>0</v>
      </c>
      <c r="U579" s="15">
        <f>S579+T579</f>
        <v/>
      </c>
      <c r="V579" s="15">
        <f>INT((2^$J$12-1)*U579/100)/(2^$J$12-1)*100</f>
        <v/>
      </c>
      <c r="X579" s="15">
        <f>M579 * 1.05</f>
        <v/>
      </c>
      <c r="Y579" s="15">
        <f>M579 * 0.95</f>
        <v/>
      </c>
      <c r="Z579" s="15">
        <f>IF(AND(V579 &lt;= X579, V579 &gt;= Y579), 1, 0)</f>
        <v/>
      </c>
      <c r="AC579" s="15">
        <f>N579^2</f>
        <v/>
      </c>
      <c r="AD579" s="15">
        <f>ABS(N579)</f>
        <v/>
      </c>
      <c r="AE579" s="15">
        <f>IF(M579&gt;0, ABS(N579)*(L579-$D$16),0)</f>
        <v/>
      </c>
    </row>
    <row r="580">
      <c r="L580" s="15" t="n">
        <v>578</v>
      </c>
      <c r="M580" s="15">
        <f>IF(L580&lt;$D$16,$D$12,IF(L580&lt;$E$16,$E$12,$F$13))</f>
        <v/>
      </c>
      <c r="N580" s="15">
        <f>M580-V580</f>
        <v/>
      </c>
      <c r="O580" s="15">
        <f>IF(MOD(L580,$B$11)=0,OFFSET(O580,-$B$11,0)+ $E$2*N580+$E$3*OFFSET(N580,-$B$11,0)+ $E$4*OFFSET(N580,-2* $B$11,0), O579)</f>
        <v/>
      </c>
      <c r="P580" s="15">
        <f>INT((2^$J$12-1)*O580/100)/(2^$J$12-1)*100</f>
        <v/>
      </c>
      <c r="Q580" s="15" t="n">
        <v>0</v>
      </c>
      <c r="R580" s="15">
        <f>P580+Q580</f>
        <v/>
      </c>
      <c r="S580" s="15">
        <f>$I$1*S579-$I$2*S578+$I$3*R559+$I$4*R558</f>
        <v/>
      </c>
      <c r="T580" s="15" t="n">
        <v>0</v>
      </c>
      <c r="U580" s="15">
        <f>S580+T580</f>
        <v/>
      </c>
      <c r="V580" s="15">
        <f>INT((2^$J$12-1)*U580/100)/(2^$J$12-1)*100</f>
        <v/>
      </c>
      <c r="X580" s="15">
        <f>M580 * 1.05</f>
        <v/>
      </c>
      <c r="Y580" s="15">
        <f>M580 * 0.95</f>
        <v/>
      </c>
      <c r="Z580" s="15">
        <f>IF(AND(V580 &lt;= X580, V580 &gt;= Y580), 1, 0)</f>
        <v/>
      </c>
      <c r="AC580" s="15">
        <f>N580^2</f>
        <v/>
      </c>
      <c r="AD580" s="15">
        <f>ABS(N580)</f>
        <v/>
      </c>
      <c r="AE580" s="15">
        <f>IF(M580&gt;0, ABS(N580)*(L580-$D$16),0)</f>
        <v/>
      </c>
    </row>
    <row r="581">
      <c r="L581" s="15" t="n">
        <v>579</v>
      </c>
      <c r="M581" s="15">
        <f>IF(L581&lt;$D$16,$D$12,IF(L581&lt;$E$16,$E$12,$F$13))</f>
        <v/>
      </c>
      <c r="N581" s="15">
        <f>M581-V581</f>
        <v/>
      </c>
      <c r="O581" s="15">
        <f>IF(MOD(L581,$B$11)=0,OFFSET(O581,-$B$11,0)+ $E$2*N581+$E$3*OFFSET(N581,-$B$11,0)+ $E$4*OFFSET(N581,-2* $B$11,0), O580)</f>
        <v/>
      </c>
      <c r="P581" s="15">
        <f>INT((2^$J$12-1)*O581/100)/(2^$J$12-1)*100</f>
        <v/>
      </c>
      <c r="Q581" s="15" t="n">
        <v>0</v>
      </c>
      <c r="R581" s="15">
        <f>P581+Q581</f>
        <v/>
      </c>
      <c r="S581" s="15">
        <f>$I$1*S580-$I$2*S579+$I$3*R560+$I$4*R559</f>
        <v/>
      </c>
      <c r="T581" s="15" t="n">
        <v>0</v>
      </c>
      <c r="U581" s="15">
        <f>S581+T581</f>
        <v/>
      </c>
      <c r="V581" s="15">
        <f>INT((2^$J$12-1)*U581/100)/(2^$J$12-1)*100</f>
        <v/>
      </c>
      <c r="X581" s="15">
        <f>M581 * 1.05</f>
        <v/>
      </c>
      <c r="Y581" s="15">
        <f>M581 * 0.95</f>
        <v/>
      </c>
      <c r="Z581" s="15">
        <f>IF(AND(V581 &lt;= X581, V581 &gt;= Y581), 1, 0)</f>
        <v/>
      </c>
      <c r="AC581" s="15">
        <f>N581^2</f>
        <v/>
      </c>
      <c r="AD581" s="15">
        <f>ABS(N581)</f>
        <v/>
      </c>
      <c r="AE581" s="15">
        <f>IF(M581&gt;0, ABS(N581)*(L581-$D$16),0)</f>
        <v/>
      </c>
    </row>
    <row r="582">
      <c r="L582" s="15" t="n">
        <v>580</v>
      </c>
      <c r="M582" s="15">
        <f>IF(L582&lt;$D$16,$D$12,IF(L582&lt;$E$16,$E$12,$F$13))</f>
        <v/>
      </c>
      <c r="N582" s="15">
        <f>M582-V582</f>
        <v/>
      </c>
      <c r="O582" s="15">
        <f>IF(MOD(L582,$B$11)=0,OFFSET(O582,-$B$11,0)+ $E$2*N582+$E$3*OFFSET(N582,-$B$11,0)+ $E$4*OFFSET(N582,-2* $B$11,0), O581)</f>
        <v/>
      </c>
      <c r="P582" s="15">
        <f>INT((2^$J$12-1)*O582/100)/(2^$J$12-1)*100</f>
        <v/>
      </c>
      <c r="Q582" s="15" t="n">
        <v>0</v>
      </c>
      <c r="R582" s="15">
        <f>P582+Q582</f>
        <v/>
      </c>
      <c r="S582" s="15">
        <f>$I$1*S581-$I$2*S580+$I$3*R561+$I$4*R560</f>
        <v/>
      </c>
      <c r="T582" s="15" t="n">
        <v>0</v>
      </c>
      <c r="U582" s="15">
        <f>S582+T582</f>
        <v/>
      </c>
      <c r="V582" s="15">
        <f>INT((2^$J$12-1)*U582/100)/(2^$J$12-1)*100</f>
        <v/>
      </c>
      <c r="X582" s="15">
        <f>M582 * 1.05</f>
        <v/>
      </c>
      <c r="Y582" s="15">
        <f>M582 * 0.95</f>
        <v/>
      </c>
      <c r="Z582" s="15">
        <f>IF(AND(V582 &lt;= X582, V582 &gt;= Y582), 1, 0)</f>
        <v/>
      </c>
      <c r="AC582" s="15">
        <f>N582^2</f>
        <v/>
      </c>
      <c r="AD582" s="15">
        <f>ABS(N582)</f>
        <v/>
      </c>
      <c r="AE582" s="15">
        <f>IF(M582&gt;0, ABS(N582)*(L582-$D$16),0)</f>
        <v/>
      </c>
    </row>
    <row r="583">
      <c r="L583" s="15" t="n">
        <v>581</v>
      </c>
      <c r="M583" s="15">
        <f>IF(L583&lt;$D$16,$D$12,IF(L583&lt;$E$16,$E$12,$F$13))</f>
        <v/>
      </c>
      <c r="N583" s="15">
        <f>M583-V583</f>
        <v/>
      </c>
      <c r="O583" s="15">
        <f>IF(MOD(L583,$B$11)=0,OFFSET(O583,-$B$11,0)+ $E$2*N583+$E$3*OFFSET(N583,-$B$11,0)+ $E$4*OFFSET(N583,-2* $B$11,0), O582)</f>
        <v/>
      </c>
      <c r="P583" s="15">
        <f>INT((2^$J$12-1)*O583/100)/(2^$J$12-1)*100</f>
        <v/>
      </c>
      <c r="Q583" s="15" t="n">
        <v>0</v>
      </c>
      <c r="R583" s="15">
        <f>P583+Q583</f>
        <v/>
      </c>
      <c r="S583" s="15">
        <f>$I$1*S582-$I$2*S581+$I$3*R562+$I$4*R561</f>
        <v/>
      </c>
      <c r="T583" s="15" t="n">
        <v>0</v>
      </c>
      <c r="U583" s="15">
        <f>S583+T583</f>
        <v/>
      </c>
      <c r="V583" s="15">
        <f>INT((2^$J$12-1)*U583/100)/(2^$J$12-1)*100</f>
        <v/>
      </c>
      <c r="X583" s="15">
        <f>M583 * 1.05</f>
        <v/>
      </c>
      <c r="Y583" s="15">
        <f>M583 * 0.95</f>
        <v/>
      </c>
      <c r="Z583" s="15">
        <f>IF(AND(V583 &lt;= X583, V583 &gt;= Y583), 1, 0)</f>
        <v/>
      </c>
      <c r="AC583" s="15">
        <f>N583^2</f>
        <v/>
      </c>
      <c r="AD583" s="15">
        <f>ABS(N583)</f>
        <v/>
      </c>
      <c r="AE583" s="15">
        <f>IF(M583&gt;0, ABS(N583)*(L583-$D$16),0)</f>
        <v/>
      </c>
    </row>
    <row r="584">
      <c r="L584" s="15" t="n">
        <v>582</v>
      </c>
      <c r="M584" s="15">
        <f>IF(L584&lt;$D$16,$D$12,IF(L584&lt;$E$16,$E$12,$F$13))</f>
        <v/>
      </c>
      <c r="N584" s="15">
        <f>M584-V584</f>
        <v/>
      </c>
      <c r="O584" s="15">
        <f>IF(MOD(L584,$B$11)=0,OFFSET(O584,-$B$11,0)+ $E$2*N584+$E$3*OFFSET(N584,-$B$11,0)+ $E$4*OFFSET(N584,-2* $B$11,0), O583)</f>
        <v/>
      </c>
      <c r="P584" s="15">
        <f>INT((2^$J$12-1)*O584/100)/(2^$J$12-1)*100</f>
        <v/>
      </c>
      <c r="Q584" s="15" t="n">
        <v>0</v>
      </c>
      <c r="R584" s="15">
        <f>P584+Q584</f>
        <v/>
      </c>
      <c r="S584" s="15">
        <f>$I$1*S583-$I$2*S582+$I$3*R563+$I$4*R562</f>
        <v/>
      </c>
      <c r="T584" s="15" t="n">
        <v>0</v>
      </c>
      <c r="U584" s="15">
        <f>S584+T584</f>
        <v/>
      </c>
      <c r="V584" s="15">
        <f>INT((2^$J$12-1)*U584/100)/(2^$J$12-1)*100</f>
        <v/>
      </c>
      <c r="X584" s="15">
        <f>M584 * 1.05</f>
        <v/>
      </c>
      <c r="Y584" s="15">
        <f>M584 * 0.95</f>
        <v/>
      </c>
      <c r="Z584" s="15">
        <f>IF(AND(V584 &lt;= X584, V584 &gt;= Y584), 1, 0)</f>
        <v/>
      </c>
      <c r="AC584" s="15">
        <f>N584^2</f>
        <v/>
      </c>
      <c r="AD584" s="15">
        <f>ABS(N584)</f>
        <v/>
      </c>
      <c r="AE584" s="15">
        <f>IF(M584&gt;0, ABS(N584)*(L584-$D$16),0)</f>
        <v/>
      </c>
    </row>
    <row r="585">
      <c r="L585" s="15" t="n">
        <v>583</v>
      </c>
      <c r="M585" s="15">
        <f>IF(L585&lt;$D$16,$D$12,IF(L585&lt;$E$16,$E$12,$F$13))</f>
        <v/>
      </c>
      <c r="N585" s="15">
        <f>M585-V585</f>
        <v/>
      </c>
      <c r="O585" s="15">
        <f>IF(MOD(L585,$B$11)=0,OFFSET(O585,-$B$11,0)+ $E$2*N585+$E$3*OFFSET(N585,-$B$11,0)+ $E$4*OFFSET(N585,-2* $B$11,0), O584)</f>
        <v/>
      </c>
      <c r="P585" s="15">
        <f>INT((2^$J$12-1)*O585/100)/(2^$J$12-1)*100</f>
        <v/>
      </c>
      <c r="Q585" s="15" t="n">
        <v>0</v>
      </c>
      <c r="R585" s="15">
        <f>P585+Q585</f>
        <v/>
      </c>
      <c r="S585" s="15">
        <f>$I$1*S584-$I$2*S583+$I$3*R564+$I$4*R563</f>
        <v/>
      </c>
      <c r="T585" s="15" t="n">
        <v>0</v>
      </c>
      <c r="U585" s="15">
        <f>S585+T585</f>
        <v/>
      </c>
      <c r="V585" s="15">
        <f>INT((2^$J$12-1)*U585/100)/(2^$J$12-1)*100</f>
        <v/>
      </c>
      <c r="X585" s="15">
        <f>M585 * 1.05</f>
        <v/>
      </c>
      <c r="Y585" s="15">
        <f>M585 * 0.95</f>
        <v/>
      </c>
      <c r="Z585" s="15">
        <f>IF(AND(V585 &lt;= X585, V585 &gt;= Y585), 1, 0)</f>
        <v/>
      </c>
      <c r="AC585" s="15">
        <f>N585^2</f>
        <v/>
      </c>
      <c r="AD585" s="15">
        <f>ABS(N585)</f>
        <v/>
      </c>
      <c r="AE585" s="15">
        <f>IF(M585&gt;0, ABS(N585)*(L585-$D$16),0)</f>
        <v/>
      </c>
    </row>
    <row r="586">
      <c r="L586" s="15" t="n">
        <v>584</v>
      </c>
      <c r="M586" s="15">
        <f>IF(L586&lt;$D$16,$D$12,IF(L586&lt;$E$16,$E$12,$F$13))</f>
        <v/>
      </c>
      <c r="N586" s="15">
        <f>M586-V586</f>
        <v/>
      </c>
      <c r="O586" s="15">
        <f>IF(MOD(L586,$B$11)=0,OFFSET(O586,-$B$11,0)+ $E$2*N586+$E$3*OFFSET(N586,-$B$11,0)+ $E$4*OFFSET(N586,-2* $B$11,0), O585)</f>
        <v/>
      </c>
      <c r="P586" s="15">
        <f>INT((2^$J$12-1)*O586/100)/(2^$J$12-1)*100</f>
        <v/>
      </c>
      <c r="Q586" s="15" t="n">
        <v>0</v>
      </c>
      <c r="R586" s="15">
        <f>P586+Q586</f>
        <v/>
      </c>
      <c r="S586" s="15">
        <f>$I$1*S585-$I$2*S584+$I$3*R565+$I$4*R564</f>
        <v/>
      </c>
      <c r="T586" s="15" t="n">
        <v>0</v>
      </c>
      <c r="U586" s="15">
        <f>S586+T586</f>
        <v/>
      </c>
      <c r="V586" s="15">
        <f>INT((2^$J$12-1)*U586/100)/(2^$J$12-1)*100</f>
        <v/>
      </c>
      <c r="X586" s="15">
        <f>M586 * 1.05</f>
        <v/>
      </c>
      <c r="Y586" s="15">
        <f>M586 * 0.95</f>
        <v/>
      </c>
      <c r="Z586" s="15">
        <f>IF(AND(V586 &lt;= X586, V586 &gt;= Y586), 1, 0)</f>
        <v/>
      </c>
      <c r="AC586" s="15">
        <f>N586^2</f>
        <v/>
      </c>
      <c r="AD586" s="15">
        <f>ABS(N586)</f>
        <v/>
      </c>
      <c r="AE586" s="15">
        <f>IF(M586&gt;0, ABS(N586)*(L586-$D$16),0)</f>
        <v/>
      </c>
    </row>
    <row r="587">
      <c r="L587" s="15" t="n">
        <v>585</v>
      </c>
      <c r="M587" s="15">
        <f>IF(L587&lt;$D$16,$D$12,IF(L587&lt;$E$16,$E$12,$F$13))</f>
        <v/>
      </c>
      <c r="N587" s="15">
        <f>M587-V587</f>
        <v/>
      </c>
      <c r="O587" s="15">
        <f>IF(MOD(L587,$B$11)=0,OFFSET(O587,-$B$11,0)+ $E$2*N587+$E$3*OFFSET(N587,-$B$11,0)+ $E$4*OFFSET(N587,-2* $B$11,0), O586)</f>
        <v/>
      </c>
      <c r="P587" s="15">
        <f>INT((2^$J$12-1)*O587/100)/(2^$J$12-1)*100</f>
        <v/>
      </c>
      <c r="Q587" s="15" t="n">
        <v>0</v>
      </c>
      <c r="R587" s="15">
        <f>P587+Q587</f>
        <v/>
      </c>
      <c r="S587" s="15">
        <f>$I$1*S586-$I$2*S585+$I$3*R566+$I$4*R565</f>
        <v/>
      </c>
      <c r="T587" s="15" t="n">
        <v>0</v>
      </c>
      <c r="U587" s="15">
        <f>S587+T587</f>
        <v/>
      </c>
      <c r="V587" s="15">
        <f>INT((2^$J$12-1)*U587/100)/(2^$J$12-1)*100</f>
        <v/>
      </c>
      <c r="X587" s="15">
        <f>M587 * 1.05</f>
        <v/>
      </c>
      <c r="Y587" s="15">
        <f>M587 * 0.95</f>
        <v/>
      </c>
      <c r="Z587" s="15">
        <f>IF(AND(V587 &lt;= X587, V587 &gt;= Y587), 1, 0)</f>
        <v/>
      </c>
      <c r="AC587" s="15">
        <f>N587^2</f>
        <v/>
      </c>
      <c r="AD587" s="15">
        <f>ABS(N587)</f>
        <v/>
      </c>
      <c r="AE587" s="15">
        <f>IF(M587&gt;0, ABS(N587)*(L587-$D$16),0)</f>
        <v/>
      </c>
    </row>
    <row r="588">
      <c r="L588" s="15" t="n">
        <v>586</v>
      </c>
      <c r="M588" s="15">
        <f>IF(L588&lt;$D$16,$D$12,IF(L588&lt;$E$16,$E$12,$F$13))</f>
        <v/>
      </c>
      <c r="N588" s="15">
        <f>M588-V588</f>
        <v/>
      </c>
      <c r="O588" s="15">
        <f>IF(MOD(L588,$B$11)=0,OFFSET(O588,-$B$11,0)+ $E$2*N588+$E$3*OFFSET(N588,-$B$11,0)+ $E$4*OFFSET(N588,-2* $B$11,0), O587)</f>
        <v/>
      </c>
      <c r="P588" s="15">
        <f>INT((2^$J$12-1)*O588/100)/(2^$J$12-1)*100</f>
        <v/>
      </c>
      <c r="Q588" s="15" t="n">
        <v>0</v>
      </c>
      <c r="R588" s="15">
        <f>P588+Q588</f>
        <v/>
      </c>
      <c r="S588" s="15">
        <f>$I$1*S587-$I$2*S586+$I$3*R567+$I$4*R566</f>
        <v/>
      </c>
      <c r="T588" s="15" t="n">
        <v>0</v>
      </c>
      <c r="U588" s="15">
        <f>S588+T588</f>
        <v/>
      </c>
      <c r="V588" s="15">
        <f>INT((2^$J$12-1)*U588/100)/(2^$J$12-1)*100</f>
        <v/>
      </c>
      <c r="X588" s="15">
        <f>M588 * 1.05</f>
        <v/>
      </c>
      <c r="Y588" s="15">
        <f>M588 * 0.95</f>
        <v/>
      </c>
      <c r="Z588" s="15">
        <f>IF(AND(V588 &lt;= X588, V588 &gt;= Y588), 1, 0)</f>
        <v/>
      </c>
      <c r="AC588" s="15">
        <f>N588^2</f>
        <v/>
      </c>
      <c r="AD588" s="15">
        <f>ABS(N588)</f>
        <v/>
      </c>
      <c r="AE588" s="15">
        <f>IF(M588&gt;0, ABS(N588)*(L588-$D$16),0)</f>
        <v/>
      </c>
    </row>
    <row r="589">
      <c r="L589" s="15" t="n">
        <v>587</v>
      </c>
      <c r="M589" s="15">
        <f>IF(L589&lt;$D$16,$D$12,IF(L589&lt;$E$16,$E$12,$F$13))</f>
        <v/>
      </c>
      <c r="N589" s="15">
        <f>M589-V589</f>
        <v/>
      </c>
      <c r="O589" s="15">
        <f>IF(MOD(L589,$B$11)=0,OFFSET(O589,-$B$11,0)+ $E$2*N589+$E$3*OFFSET(N589,-$B$11,0)+ $E$4*OFFSET(N589,-2* $B$11,0), O588)</f>
        <v/>
      </c>
      <c r="P589" s="15">
        <f>INT((2^$J$12-1)*O589/100)/(2^$J$12-1)*100</f>
        <v/>
      </c>
      <c r="Q589" s="15" t="n">
        <v>0</v>
      </c>
      <c r="R589" s="15">
        <f>P589+Q589</f>
        <v/>
      </c>
      <c r="S589" s="15">
        <f>$I$1*S588-$I$2*S587+$I$3*R568+$I$4*R567</f>
        <v/>
      </c>
      <c r="T589" s="15" t="n">
        <v>0</v>
      </c>
      <c r="U589" s="15">
        <f>S589+T589</f>
        <v/>
      </c>
      <c r="V589" s="15">
        <f>INT((2^$J$12-1)*U589/100)/(2^$J$12-1)*100</f>
        <v/>
      </c>
      <c r="X589" s="15">
        <f>M589 * 1.05</f>
        <v/>
      </c>
      <c r="Y589" s="15">
        <f>M589 * 0.95</f>
        <v/>
      </c>
      <c r="Z589" s="15">
        <f>IF(AND(V589 &lt;= X589, V589 &gt;= Y589), 1, 0)</f>
        <v/>
      </c>
      <c r="AC589" s="15">
        <f>N589^2</f>
        <v/>
      </c>
      <c r="AD589" s="15">
        <f>ABS(N589)</f>
        <v/>
      </c>
      <c r="AE589" s="15">
        <f>IF(M589&gt;0, ABS(N589)*(L589-$D$16),0)</f>
        <v/>
      </c>
    </row>
    <row r="590">
      <c r="L590" s="15" t="n">
        <v>588</v>
      </c>
      <c r="M590" s="15">
        <f>IF(L590&lt;$D$16,$D$12,IF(L590&lt;$E$16,$E$12,$F$13))</f>
        <v/>
      </c>
      <c r="N590" s="15">
        <f>M590-V590</f>
        <v/>
      </c>
      <c r="O590" s="15">
        <f>IF(MOD(L590,$B$11)=0,OFFSET(O590,-$B$11,0)+ $E$2*N590+$E$3*OFFSET(N590,-$B$11,0)+ $E$4*OFFSET(N590,-2* $B$11,0), O589)</f>
        <v/>
      </c>
      <c r="P590" s="15">
        <f>INT((2^$J$12-1)*O590/100)/(2^$J$12-1)*100</f>
        <v/>
      </c>
      <c r="Q590" s="15" t="n">
        <v>0</v>
      </c>
      <c r="R590" s="15">
        <f>P590+Q590</f>
        <v/>
      </c>
      <c r="S590" s="15">
        <f>$I$1*S589-$I$2*S588+$I$3*R569+$I$4*R568</f>
        <v/>
      </c>
      <c r="T590" s="15" t="n">
        <v>0</v>
      </c>
      <c r="U590" s="15">
        <f>S590+T590</f>
        <v/>
      </c>
      <c r="V590" s="15">
        <f>INT((2^$J$12-1)*U590/100)/(2^$J$12-1)*100</f>
        <v/>
      </c>
      <c r="X590" s="15">
        <f>M590 * 1.05</f>
        <v/>
      </c>
      <c r="Y590" s="15">
        <f>M590 * 0.95</f>
        <v/>
      </c>
      <c r="Z590" s="15">
        <f>IF(AND(V590 &lt;= X590, V590 &gt;= Y590), 1, 0)</f>
        <v/>
      </c>
      <c r="AC590" s="15">
        <f>N590^2</f>
        <v/>
      </c>
      <c r="AD590" s="15">
        <f>ABS(N590)</f>
        <v/>
      </c>
      <c r="AE590" s="15">
        <f>IF(M590&gt;0, ABS(N590)*(L590-$D$16),0)</f>
        <v/>
      </c>
    </row>
    <row r="591">
      <c r="L591" s="15" t="n">
        <v>589</v>
      </c>
      <c r="M591" s="15">
        <f>IF(L591&lt;$D$16,$D$12,IF(L591&lt;$E$16,$E$12,$F$13))</f>
        <v/>
      </c>
      <c r="N591" s="15">
        <f>M591-V591</f>
        <v/>
      </c>
      <c r="O591" s="15">
        <f>IF(MOD(L591,$B$11)=0,OFFSET(O591,-$B$11,0)+ $E$2*N591+$E$3*OFFSET(N591,-$B$11,0)+ $E$4*OFFSET(N591,-2* $B$11,0), O590)</f>
        <v/>
      </c>
      <c r="P591" s="15">
        <f>INT((2^$J$12-1)*O591/100)/(2^$J$12-1)*100</f>
        <v/>
      </c>
      <c r="Q591" s="15" t="n">
        <v>0</v>
      </c>
      <c r="R591" s="15">
        <f>P591+Q591</f>
        <v/>
      </c>
      <c r="S591" s="15">
        <f>$I$1*S590-$I$2*S589+$I$3*R570+$I$4*R569</f>
        <v/>
      </c>
      <c r="T591" s="15" t="n">
        <v>0</v>
      </c>
      <c r="U591" s="15">
        <f>S591+T591</f>
        <v/>
      </c>
      <c r="V591" s="15">
        <f>INT((2^$J$12-1)*U591/100)/(2^$J$12-1)*100</f>
        <v/>
      </c>
      <c r="X591" s="15">
        <f>M591 * 1.05</f>
        <v/>
      </c>
      <c r="Y591" s="15">
        <f>M591 * 0.95</f>
        <v/>
      </c>
      <c r="Z591" s="15">
        <f>IF(AND(V591 &lt;= X591, V591 &gt;= Y591), 1, 0)</f>
        <v/>
      </c>
      <c r="AC591" s="15">
        <f>N591^2</f>
        <v/>
      </c>
      <c r="AD591" s="15">
        <f>ABS(N591)</f>
        <v/>
      </c>
      <c r="AE591" s="15">
        <f>IF(M591&gt;0, ABS(N591)*(L591-$D$16),0)</f>
        <v/>
      </c>
    </row>
    <row r="592">
      <c r="L592" s="15" t="n">
        <v>590</v>
      </c>
      <c r="M592" s="15">
        <f>IF(L592&lt;$D$16,$D$12,IF(L592&lt;$E$16,$E$12,$F$13))</f>
        <v/>
      </c>
      <c r="N592" s="15">
        <f>M592-V592</f>
        <v/>
      </c>
      <c r="O592" s="15">
        <f>IF(MOD(L592,$B$11)=0,OFFSET(O592,-$B$11,0)+ $E$2*N592+$E$3*OFFSET(N592,-$B$11,0)+ $E$4*OFFSET(N592,-2* $B$11,0), O591)</f>
        <v/>
      </c>
      <c r="P592" s="15">
        <f>INT((2^$J$12-1)*O592/100)/(2^$J$12-1)*100</f>
        <v/>
      </c>
      <c r="Q592" s="15" t="n">
        <v>0</v>
      </c>
      <c r="R592" s="15">
        <f>P592+Q592</f>
        <v/>
      </c>
      <c r="S592" s="15">
        <f>$I$1*S591-$I$2*S590+$I$3*R571+$I$4*R570</f>
        <v/>
      </c>
      <c r="T592" s="15" t="n">
        <v>0</v>
      </c>
      <c r="U592" s="15">
        <f>S592+T592</f>
        <v/>
      </c>
      <c r="V592" s="15">
        <f>INT((2^$J$12-1)*U592/100)/(2^$J$12-1)*100</f>
        <v/>
      </c>
      <c r="X592" s="15">
        <f>M592 * 1.05</f>
        <v/>
      </c>
      <c r="Y592" s="15">
        <f>M592 * 0.95</f>
        <v/>
      </c>
      <c r="Z592" s="15">
        <f>IF(AND(V592 &lt;= X592, V592 &gt;= Y592), 1, 0)</f>
        <v/>
      </c>
      <c r="AC592" s="15">
        <f>N592^2</f>
        <v/>
      </c>
      <c r="AD592" s="15">
        <f>ABS(N592)</f>
        <v/>
      </c>
      <c r="AE592" s="15">
        <f>IF(M592&gt;0, ABS(N592)*(L592-$D$16),0)</f>
        <v/>
      </c>
    </row>
    <row r="593">
      <c r="L593" s="15" t="n">
        <v>591</v>
      </c>
      <c r="M593" s="15">
        <f>IF(L593&lt;$D$16,$D$12,IF(L593&lt;$E$16,$E$12,$F$13))</f>
        <v/>
      </c>
      <c r="N593" s="15">
        <f>M593-V593</f>
        <v/>
      </c>
      <c r="O593" s="15">
        <f>IF(MOD(L593,$B$11)=0,OFFSET(O593,-$B$11,0)+ $E$2*N593+$E$3*OFFSET(N593,-$B$11,0)+ $E$4*OFFSET(N593,-2* $B$11,0), O592)</f>
        <v/>
      </c>
      <c r="P593" s="15">
        <f>INT((2^$J$12-1)*O593/100)/(2^$J$12-1)*100</f>
        <v/>
      </c>
      <c r="Q593" s="15" t="n">
        <v>0</v>
      </c>
      <c r="R593" s="15">
        <f>P593+Q593</f>
        <v/>
      </c>
      <c r="S593" s="15">
        <f>$I$1*S592-$I$2*S591+$I$3*R572+$I$4*R571</f>
        <v/>
      </c>
      <c r="T593" s="15" t="n">
        <v>0</v>
      </c>
      <c r="U593" s="15">
        <f>S593+T593</f>
        <v/>
      </c>
      <c r="V593" s="15">
        <f>INT((2^$J$12-1)*U593/100)/(2^$J$12-1)*100</f>
        <v/>
      </c>
      <c r="X593" s="15">
        <f>M593 * 1.05</f>
        <v/>
      </c>
      <c r="Y593" s="15">
        <f>M593 * 0.95</f>
        <v/>
      </c>
      <c r="Z593" s="15">
        <f>IF(AND(V593 &lt;= X593, V593 &gt;= Y593), 1, 0)</f>
        <v/>
      </c>
      <c r="AC593" s="15">
        <f>N593^2</f>
        <v/>
      </c>
      <c r="AD593" s="15">
        <f>ABS(N593)</f>
        <v/>
      </c>
      <c r="AE593" s="15">
        <f>IF(M593&gt;0, ABS(N593)*(L593-$D$16),0)</f>
        <v/>
      </c>
    </row>
    <row r="594">
      <c r="L594" s="15" t="n">
        <v>592</v>
      </c>
      <c r="M594" s="15">
        <f>IF(L594&lt;$D$16,$D$12,IF(L594&lt;$E$16,$E$12,$F$13))</f>
        <v/>
      </c>
      <c r="N594" s="15">
        <f>M594-V594</f>
        <v/>
      </c>
      <c r="O594" s="15">
        <f>IF(MOD(L594,$B$11)=0,OFFSET(O594,-$B$11,0)+ $E$2*N594+$E$3*OFFSET(N594,-$B$11,0)+ $E$4*OFFSET(N594,-2* $B$11,0), O593)</f>
        <v/>
      </c>
      <c r="P594" s="15">
        <f>INT((2^$J$12-1)*O594/100)/(2^$J$12-1)*100</f>
        <v/>
      </c>
      <c r="Q594" s="15" t="n">
        <v>0</v>
      </c>
      <c r="R594" s="15">
        <f>P594+Q594</f>
        <v/>
      </c>
      <c r="S594" s="15">
        <f>$I$1*S593-$I$2*S592+$I$3*R573+$I$4*R572</f>
        <v/>
      </c>
      <c r="T594" s="15" t="n">
        <v>0</v>
      </c>
      <c r="U594" s="15">
        <f>S594+T594</f>
        <v/>
      </c>
      <c r="V594" s="15">
        <f>INT((2^$J$12-1)*U594/100)/(2^$J$12-1)*100</f>
        <v/>
      </c>
      <c r="X594" s="15">
        <f>M594 * 1.05</f>
        <v/>
      </c>
      <c r="Y594" s="15">
        <f>M594 * 0.95</f>
        <v/>
      </c>
      <c r="Z594" s="15">
        <f>IF(AND(V594 &lt;= X594, V594 &gt;= Y594), 1, 0)</f>
        <v/>
      </c>
      <c r="AC594" s="15">
        <f>N594^2</f>
        <v/>
      </c>
      <c r="AD594" s="15">
        <f>ABS(N594)</f>
        <v/>
      </c>
      <c r="AE594" s="15">
        <f>IF(M594&gt;0, ABS(N594)*(L594-$D$16),0)</f>
        <v/>
      </c>
    </row>
    <row r="595">
      <c r="L595" s="15" t="n">
        <v>593</v>
      </c>
      <c r="M595" s="15">
        <f>IF(L595&lt;$D$16,$D$12,IF(L595&lt;$E$16,$E$12,$F$13))</f>
        <v/>
      </c>
      <c r="N595" s="15">
        <f>M595-V595</f>
        <v/>
      </c>
      <c r="O595" s="15">
        <f>IF(MOD(L595,$B$11)=0,OFFSET(O595,-$B$11,0)+ $E$2*N595+$E$3*OFFSET(N595,-$B$11,0)+ $E$4*OFFSET(N595,-2* $B$11,0), O594)</f>
        <v/>
      </c>
      <c r="P595" s="15">
        <f>INT((2^$J$12-1)*O595/100)/(2^$J$12-1)*100</f>
        <v/>
      </c>
      <c r="Q595" s="15" t="n">
        <v>0</v>
      </c>
      <c r="R595" s="15">
        <f>P595+Q595</f>
        <v/>
      </c>
      <c r="S595" s="15">
        <f>$I$1*S594-$I$2*S593+$I$3*R574+$I$4*R573</f>
        <v/>
      </c>
      <c r="T595" s="15" t="n">
        <v>0</v>
      </c>
      <c r="U595" s="15">
        <f>S595+T595</f>
        <v/>
      </c>
      <c r="V595" s="15">
        <f>INT((2^$J$12-1)*U595/100)/(2^$J$12-1)*100</f>
        <v/>
      </c>
      <c r="X595" s="15">
        <f>M595 * 1.05</f>
        <v/>
      </c>
      <c r="Y595" s="15">
        <f>M595 * 0.95</f>
        <v/>
      </c>
      <c r="Z595" s="15">
        <f>IF(AND(V595 &lt;= X595, V595 &gt;= Y595), 1, 0)</f>
        <v/>
      </c>
      <c r="AC595" s="15">
        <f>N595^2</f>
        <v/>
      </c>
      <c r="AD595" s="15">
        <f>ABS(N595)</f>
        <v/>
      </c>
      <c r="AE595" s="15">
        <f>IF(M595&gt;0, ABS(N595)*(L595-$D$16),0)</f>
        <v/>
      </c>
    </row>
    <row r="596">
      <c r="L596" s="15" t="n">
        <v>594</v>
      </c>
      <c r="M596" s="15">
        <f>IF(L596&lt;$D$16,$D$12,IF(L596&lt;$E$16,$E$12,$F$13))</f>
        <v/>
      </c>
      <c r="N596" s="15">
        <f>M596-V596</f>
        <v/>
      </c>
      <c r="O596" s="15">
        <f>IF(MOD(L596,$B$11)=0,OFFSET(O596,-$B$11,0)+ $E$2*N596+$E$3*OFFSET(N596,-$B$11,0)+ $E$4*OFFSET(N596,-2* $B$11,0), O595)</f>
        <v/>
      </c>
      <c r="P596" s="15">
        <f>INT((2^$J$12-1)*O596/100)/(2^$J$12-1)*100</f>
        <v/>
      </c>
      <c r="Q596" s="15" t="n">
        <v>0</v>
      </c>
      <c r="R596" s="15">
        <f>P596+Q596</f>
        <v/>
      </c>
      <c r="S596" s="15">
        <f>$I$1*S595-$I$2*S594+$I$3*R575+$I$4*R574</f>
        <v/>
      </c>
      <c r="T596" s="15" t="n">
        <v>0</v>
      </c>
      <c r="U596" s="15">
        <f>S596+T596</f>
        <v/>
      </c>
      <c r="V596" s="15">
        <f>INT((2^$J$12-1)*U596/100)/(2^$J$12-1)*100</f>
        <v/>
      </c>
      <c r="X596" s="15">
        <f>M596 * 1.05</f>
        <v/>
      </c>
      <c r="Y596" s="15">
        <f>M596 * 0.95</f>
        <v/>
      </c>
      <c r="Z596" s="15">
        <f>IF(AND(V596 &lt;= X596, V596 &gt;= Y596), 1, 0)</f>
        <v/>
      </c>
      <c r="AC596" s="15">
        <f>N596^2</f>
        <v/>
      </c>
      <c r="AD596" s="15">
        <f>ABS(N596)</f>
        <v/>
      </c>
      <c r="AE596" s="15">
        <f>IF(M596&gt;0, ABS(N596)*(L596-$D$16),0)</f>
        <v/>
      </c>
    </row>
    <row r="597">
      <c r="L597" s="15" t="n">
        <v>595</v>
      </c>
      <c r="M597" s="15">
        <f>IF(L597&lt;$D$16,$D$12,IF(L597&lt;$E$16,$E$12,$F$13))</f>
        <v/>
      </c>
      <c r="N597" s="15">
        <f>M597-V597</f>
        <v/>
      </c>
      <c r="O597" s="15">
        <f>IF(MOD(L597,$B$11)=0,OFFSET(O597,-$B$11,0)+ $E$2*N597+$E$3*OFFSET(N597,-$B$11,0)+ $E$4*OFFSET(N597,-2* $B$11,0), O596)</f>
        <v/>
      </c>
      <c r="P597" s="15">
        <f>INT((2^$J$12-1)*O597/100)/(2^$J$12-1)*100</f>
        <v/>
      </c>
      <c r="Q597" s="15" t="n">
        <v>0</v>
      </c>
      <c r="R597" s="15">
        <f>P597+Q597</f>
        <v/>
      </c>
      <c r="S597" s="15">
        <f>$I$1*S596-$I$2*S595+$I$3*R576+$I$4*R575</f>
        <v/>
      </c>
      <c r="T597" s="15" t="n">
        <v>0</v>
      </c>
      <c r="U597" s="15">
        <f>S597+T597</f>
        <v/>
      </c>
      <c r="V597" s="15">
        <f>INT((2^$J$12-1)*U597/100)/(2^$J$12-1)*100</f>
        <v/>
      </c>
      <c r="X597" s="15">
        <f>M597 * 1.05</f>
        <v/>
      </c>
      <c r="Y597" s="15">
        <f>M597 * 0.95</f>
        <v/>
      </c>
      <c r="Z597" s="15">
        <f>IF(AND(V597 &lt;= X597, V597 &gt;= Y597), 1, 0)</f>
        <v/>
      </c>
      <c r="AC597" s="15">
        <f>N597^2</f>
        <v/>
      </c>
      <c r="AD597" s="15">
        <f>ABS(N597)</f>
        <v/>
      </c>
      <c r="AE597" s="15">
        <f>IF(M597&gt;0, ABS(N597)*(L597-$D$16),0)</f>
        <v/>
      </c>
    </row>
    <row r="598">
      <c r="L598" s="15" t="n">
        <v>596</v>
      </c>
      <c r="M598" s="15">
        <f>IF(L598&lt;$D$16,$D$12,IF(L598&lt;$E$16,$E$12,$F$13))</f>
        <v/>
      </c>
      <c r="N598" s="15">
        <f>M598-V598</f>
        <v/>
      </c>
      <c r="O598" s="15">
        <f>IF(MOD(L598,$B$11)=0,OFFSET(O598,-$B$11,0)+ $E$2*N598+$E$3*OFFSET(N598,-$B$11,0)+ $E$4*OFFSET(N598,-2* $B$11,0), O597)</f>
        <v/>
      </c>
      <c r="P598" s="15">
        <f>INT((2^$J$12-1)*O598/100)/(2^$J$12-1)*100</f>
        <v/>
      </c>
      <c r="Q598" s="15" t="n">
        <v>0</v>
      </c>
      <c r="R598" s="15">
        <f>P598+Q598</f>
        <v/>
      </c>
      <c r="S598" s="15">
        <f>$I$1*S597-$I$2*S596+$I$3*R577+$I$4*R576</f>
        <v/>
      </c>
      <c r="T598" s="15" t="n">
        <v>0</v>
      </c>
      <c r="U598" s="15">
        <f>S598+T598</f>
        <v/>
      </c>
      <c r="V598" s="15">
        <f>INT((2^$J$12-1)*U598/100)/(2^$J$12-1)*100</f>
        <v/>
      </c>
      <c r="X598" s="15">
        <f>M598 * 1.05</f>
        <v/>
      </c>
      <c r="Y598" s="15">
        <f>M598 * 0.95</f>
        <v/>
      </c>
      <c r="Z598" s="15">
        <f>IF(AND(V598 &lt;= X598, V598 &gt;= Y598), 1, 0)</f>
        <v/>
      </c>
      <c r="AC598" s="15">
        <f>N598^2</f>
        <v/>
      </c>
      <c r="AD598" s="15">
        <f>ABS(N598)</f>
        <v/>
      </c>
      <c r="AE598" s="15">
        <f>IF(M598&gt;0, ABS(N598)*(L598-$D$16),0)</f>
        <v/>
      </c>
    </row>
    <row r="599">
      <c r="L599" s="15" t="n">
        <v>597</v>
      </c>
      <c r="M599" s="15">
        <f>IF(L599&lt;$D$16,$D$12,IF(L599&lt;$E$16,$E$12,$F$13))</f>
        <v/>
      </c>
      <c r="N599" s="15">
        <f>M599-V599</f>
        <v/>
      </c>
      <c r="O599" s="15">
        <f>IF(MOD(L599,$B$11)=0,OFFSET(O599,-$B$11,0)+ $E$2*N599+$E$3*OFFSET(N599,-$B$11,0)+ $E$4*OFFSET(N599,-2* $B$11,0), O598)</f>
        <v/>
      </c>
      <c r="P599" s="15">
        <f>INT((2^$J$12-1)*O599/100)/(2^$J$12-1)*100</f>
        <v/>
      </c>
      <c r="Q599" s="15" t="n">
        <v>0</v>
      </c>
      <c r="R599" s="15">
        <f>P599+Q599</f>
        <v/>
      </c>
      <c r="S599" s="15">
        <f>$I$1*S598-$I$2*S597+$I$3*R578+$I$4*R577</f>
        <v/>
      </c>
      <c r="T599" s="15" t="n">
        <v>0</v>
      </c>
      <c r="U599" s="15">
        <f>S599+T599</f>
        <v/>
      </c>
      <c r="V599" s="15">
        <f>INT((2^$J$12-1)*U599/100)/(2^$J$12-1)*100</f>
        <v/>
      </c>
      <c r="X599" s="15">
        <f>M599 * 1.05</f>
        <v/>
      </c>
      <c r="Y599" s="15">
        <f>M599 * 0.95</f>
        <v/>
      </c>
      <c r="Z599" s="15">
        <f>IF(AND(V599 &lt;= X599, V599 &gt;= Y599), 1, 0)</f>
        <v/>
      </c>
      <c r="AC599" s="15">
        <f>N599^2</f>
        <v/>
      </c>
      <c r="AD599" s="15">
        <f>ABS(N599)</f>
        <v/>
      </c>
      <c r="AE599" s="15">
        <f>IF(M599&gt;0, ABS(N599)*(L599-$D$16),0)</f>
        <v/>
      </c>
    </row>
    <row r="600">
      <c r="L600" s="15" t="n">
        <v>598</v>
      </c>
      <c r="M600" s="15">
        <f>IF(L600&lt;$D$16,$D$12,IF(L600&lt;$E$16,$E$12,$F$13))</f>
        <v/>
      </c>
      <c r="N600" s="15">
        <f>M600-V600</f>
        <v/>
      </c>
      <c r="O600" s="15">
        <f>IF(MOD(L600,$B$11)=0,OFFSET(O600,-$B$11,0)+ $E$2*N600+$E$3*OFFSET(N600,-$B$11,0)+ $E$4*OFFSET(N600,-2* $B$11,0), O599)</f>
        <v/>
      </c>
      <c r="P600" s="15">
        <f>INT((2^$J$12-1)*O600/100)/(2^$J$12-1)*100</f>
        <v/>
      </c>
      <c r="Q600" s="15" t="n">
        <v>0</v>
      </c>
      <c r="R600" s="15">
        <f>P600+Q600</f>
        <v/>
      </c>
      <c r="S600" s="15">
        <f>$I$1*S599-$I$2*S598+$I$3*R579+$I$4*R578</f>
        <v/>
      </c>
      <c r="T600" s="15" t="n">
        <v>0</v>
      </c>
      <c r="U600" s="15">
        <f>S600+T600</f>
        <v/>
      </c>
      <c r="V600" s="15">
        <f>INT((2^$J$12-1)*U600/100)/(2^$J$12-1)*100</f>
        <v/>
      </c>
      <c r="X600" s="15">
        <f>M600 * 1.05</f>
        <v/>
      </c>
      <c r="Y600" s="15">
        <f>M600 * 0.95</f>
        <v/>
      </c>
      <c r="Z600" s="15">
        <f>IF(AND(V600 &lt;= X600, V600 &gt;= Y600), 1, 0)</f>
        <v/>
      </c>
      <c r="AC600" s="15">
        <f>N600^2</f>
        <v/>
      </c>
      <c r="AD600" s="15">
        <f>ABS(N600)</f>
        <v/>
      </c>
      <c r="AE600" s="15">
        <f>IF(M600&gt;0, ABS(N600)*(L600-$D$16),0)</f>
        <v/>
      </c>
    </row>
    <row r="601">
      <c r="L601" s="15" t="n">
        <v>599</v>
      </c>
      <c r="M601" s="15">
        <f>IF(L601&lt;$D$16,$D$12,IF(L601&lt;$E$16,$E$12,$F$13))</f>
        <v/>
      </c>
      <c r="N601" s="15">
        <f>M601-V601</f>
        <v/>
      </c>
      <c r="O601" s="15">
        <f>IF(MOD(L601,$B$11)=0,OFFSET(O601,-$B$11,0)+ $E$2*N601+$E$3*OFFSET(N601,-$B$11,0)+ $E$4*OFFSET(N601,-2* $B$11,0), O600)</f>
        <v/>
      </c>
      <c r="P601" s="15">
        <f>INT((2^$J$12-1)*O601/100)/(2^$J$12-1)*100</f>
        <v/>
      </c>
      <c r="Q601" s="15" t="n">
        <v>0</v>
      </c>
      <c r="R601" s="15">
        <f>P601+Q601</f>
        <v/>
      </c>
      <c r="S601" s="15">
        <f>$I$1*S600-$I$2*S599+$I$3*R580+$I$4*R579</f>
        <v/>
      </c>
      <c r="T601" s="15" t="n">
        <v>0</v>
      </c>
      <c r="U601" s="15">
        <f>S601+T601</f>
        <v/>
      </c>
      <c r="V601" s="15">
        <f>INT((2^$J$12-1)*U601/100)/(2^$J$12-1)*100</f>
        <v/>
      </c>
      <c r="X601" s="15">
        <f>M601 * 1.05</f>
        <v/>
      </c>
      <c r="Y601" s="15">
        <f>M601 * 0.95</f>
        <v/>
      </c>
      <c r="Z601" s="15">
        <f>IF(AND(V601 &lt;= X601, V601 &gt;= Y601), 1, 0)</f>
        <v/>
      </c>
      <c r="AC601" s="15">
        <f>N601^2</f>
        <v/>
      </c>
      <c r="AD601" s="15">
        <f>ABS(N601)</f>
        <v/>
      </c>
      <c r="AE601" s="15">
        <f>IF(M601&gt;0, ABS(N601)*(L601-$D$16),0)</f>
        <v/>
      </c>
    </row>
    <row r="602">
      <c r="L602" s="15" t="n">
        <v>600</v>
      </c>
      <c r="M602" s="15">
        <f>IF(L602&lt;$D$16,$D$12,IF(L602&lt;$E$16,$E$12,$F$13))</f>
        <v/>
      </c>
      <c r="N602" s="15">
        <f>M602-V602</f>
        <v/>
      </c>
      <c r="O602" s="15">
        <f>IF(MOD(L602,$B$11)=0,OFFSET(O602,-$B$11,0)+ $E$2*N602+$E$3*OFFSET(N602,-$B$11,0)+ $E$4*OFFSET(N602,-2* $B$11,0), O601)</f>
        <v/>
      </c>
      <c r="P602" s="15">
        <f>INT((2^$J$12-1)*O602/100)/(2^$J$12-1)*100</f>
        <v/>
      </c>
      <c r="Q602" s="15" t="n">
        <v>0</v>
      </c>
      <c r="R602" s="15">
        <f>P602+Q602</f>
        <v/>
      </c>
      <c r="S602" s="15">
        <f>$I$1*S601-$I$2*S600+$I$3*R581+$I$4*R580</f>
        <v/>
      </c>
      <c r="T602" s="15" t="n">
        <v>0</v>
      </c>
      <c r="U602" s="15">
        <f>S602+T602</f>
        <v/>
      </c>
      <c r="V602" s="15">
        <f>INT((2^$J$12-1)*U602/100)/(2^$J$12-1)*100</f>
        <v/>
      </c>
      <c r="X602" s="15">
        <f>M602 * 1.05</f>
        <v/>
      </c>
      <c r="Y602" s="15">
        <f>M602 * 0.95</f>
        <v/>
      </c>
      <c r="Z602" s="15">
        <f>IF(AND(V602 &lt;= X602, V602 &gt;= Y602), 1, 0)</f>
        <v/>
      </c>
      <c r="AC602" s="15">
        <f>N602^2</f>
        <v/>
      </c>
      <c r="AD602" s="15">
        <f>ABS(N602)</f>
        <v/>
      </c>
      <c r="AE602" s="15">
        <f>IF(M602&gt;0, ABS(N602)*(L602-$D$16),0)</f>
        <v/>
      </c>
    </row>
    <row r="603">
      <c r="L603" s="15" t="n">
        <v>601</v>
      </c>
      <c r="M603" s="15">
        <f>IF(L603&lt;$D$16,$D$12,IF(L603&lt;$E$16,$E$12,$F$13))</f>
        <v/>
      </c>
      <c r="N603" s="15">
        <f>M603-V603</f>
        <v/>
      </c>
      <c r="O603" s="15">
        <f>IF(MOD(L603,$B$11)=0,OFFSET(O603,-$B$11,0)+ $E$2*N603+$E$3*OFFSET(N603,-$B$11,0)+ $E$4*OFFSET(N603,-2* $B$11,0), O602)</f>
        <v/>
      </c>
      <c r="P603" s="15">
        <f>INT((2^$J$12-1)*O603/100)/(2^$J$12-1)*100</f>
        <v/>
      </c>
      <c r="Q603" s="15" t="n">
        <v>0</v>
      </c>
      <c r="R603" s="15">
        <f>P603+Q603</f>
        <v/>
      </c>
      <c r="S603" s="15">
        <f>$I$1*S602-$I$2*S601+$I$3*R582+$I$4*R581</f>
        <v/>
      </c>
      <c r="T603" s="15" t="n">
        <v>0</v>
      </c>
      <c r="U603" s="15">
        <f>S603+T603</f>
        <v/>
      </c>
      <c r="V603" s="15">
        <f>INT((2^$J$12-1)*U603/100)/(2^$J$12-1)*100</f>
        <v/>
      </c>
      <c r="X603" s="15">
        <f>M603 * 1.05</f>
        <v/>
      </c>
      <c r="Y603" s="15">
        <f>M603 * 0.95</f>
        <v/>
      </c>
      <c r="Z603" s="15">
        <f>IF(AND(V603 &lt;= X603, V603 &gt;= Y603), 1, 0)</f>
        <v/>
      </c>
      <c r="AC603" s="15">
        <f>N603^2</f>
        <v/>
      </c>
      <c r="AD603" s="15">
        <f>ABS(N603)</f>
        <v/>
      </c>
      <c r="AE603" s="15">
        <f>IF(M603&gt;0, ABS(N603)*(L603-$D$16),0)</f>
        <v/>
      </c>
    </row>
    <row r="604">
      <c r="L604" s="15" t="n">
        <v>602</v>
      </c>
      <c r="M604" s="15">
        <f>IF(L604&lt;$D$16,$D$12,IF(L604&lt;$E$16,$E$12,$F$13))</f>
        <v/>
      </c>
      <c r="N604" s="15">
        <f>M604-V604</f>
        <v/>
      </c>
      <c r="O604" s="15">
        <f>IF(MOD(L604,$B$11)=0,OFFSET(O604,-$B$11,0)+ $E$2*N604+$E$3*OFFSET(N604,-$B$11,0)+ $E$4*OFFSET(N604,-2* $B$11,0), O603)</f>
        <v/>
      </c>
      <c r="P604" s="15">
        <f>INT((2^$J$12-1)*O604/100)/(2^$J$12-1)*100</f>
        <v/>
      </c>
      <c r="Q604" s="15" t="n">
        <v>0</v>
      </c>
      <c r="R604" s="15">
        <f>P604+Q604</f>
        <v/>
      </c>
      <c r="S604" s="15">
        <f>$I$1*S603-$I$2*S602+$I$3*R583+$I$4*R582</f>
        <v/>
      </c>
      <c r="T604" s="15" t="n">
        <v>0</v>
      </c>
      <c r="U604" s="15">
        <f>S604+T604</f>
        <v/>
      </c>
      <c r="V604" s="15">
        <f>INT((2^$J$12-1)*U604/100)/(2^$J$12-1)*100</f>
        <v/>
      </c>
      <c r="X604" s="15">
        <f>M604 * 1.05</f>
        <v/>
      </c>
      <c r="Y604" s="15">
        <f>M604 * 0.95</f>
        <v/>
      </c>
      <c r="Z604" s="15">
        <f>IF(AND(V604 &lt;= X604, V604 &gt;= Y604), 1, 0)</f>
        <v/>
      </c>
      <c r="AC604" s="15">
        <f>N604^2</f>
        <v/>
      </c>
      <c r="AD604" s="15">
        <f>ABS(N604)</f>
        <v/>
      </c>
      <c r="AE604" s="15">
        <f>IF(M604&gt;0, ABS(N604)*(L604-$D$16),0)</f>
        <v/>
      </c>
    </row>
    <row r="605">
      <c r="L605" s="15" t="n">
        <v>603</v>
      </c>
      <c r="M605" s="15">
        <f>IF(L605&lt;$D$16,$D$12,IF(L605&lt;$E$16,$E$12,$F$13))</f>
        <v/>
      </c>
      <c r="N605" s="15">
        <f>M605-V605</f>
        <v/>
      </c>
      <c r="O605" s="15">
        <f>IF(MOD(L605,$B$11)=0,OFFSET(O605,-$B$11,0)+ $E$2*N605+$E$3*OFFSET(N605,-$B$11,0)+ $E$4*OFFSET(N605,-2* $B$11,0), O604)</f>
        <v/>
      </c>
      <c r="P605" s="15">
        <f>INT((2^$J$12-1)*O605/100)/(2^$J$12-1)*100</f>
        <v/>
      </c>
      <c r="Q605" s="15" t="n">
        <v>0</v>
      </c>
      <c r="R605" s="15">
        <f>P605+Q605</f>
        <v/>
      </c>
      <c r="S605" s="15">
        <f>$I$1*S604-$I$2*S603+$I$3*R584+$I$4*R583</f>
        <v/>
      </c>
      <c r="T605" s="15" t="n">
        <v>0</v>
      </c>
      <c r="U605" s="15">
        <f>S605+T605</f>
        <v/>
      </c>
      <c r="V605" s="15">
        <f>INT((2^$J$12-1)*U605/100)/(2^$J$12-1)*100</f>
        <v/>
      </c>
      <c r="X605" s="15">
        <f>M605 * 1.05</f>
        <v/>
      </c>
      <c r="Y605" s="15">
        <f>M605 * 0.95</f>
        <v/>
      </c>
      <c r="Z605" s="15">
        <f>IF(AND(V605 &lt;= X605, V605 &gt;= Y605), 1, 0)</f>
        <v/>
      </c>
      <c r="AC605" s="15">
        <f>N605^2</f>
        <v/>
      </c>
      <c r="AD605" s="15">
        <f>ABS(N605)</f>
        <v/>
      </c>
      <c r="AE605" s="15">
        <f>IF(M605&gt;0, ABS(N605)*(L605-$D$16),0)</f>
        <v/>
      </c>
    </row>
    <row r="606">
      <c r="L606" s="15" t="n">
        <v>604</v>
      </c>
      <c r="M606" s="15">
        <f>IF(L606&lt;$D$16,$D$12,IF(L606&lt;$E$16,$E$12,$F$13))</f>
        <v/>
      </c>
      <c r="N606" s="15">
        <f>M606-V606</f>
        <v/>
      </c>
      <c r="O606" s="15">
        <f>IF(MOD(L606,$B$11)=0,OFFSET(O606,-$B$11,0)+ $E$2*N606+$E$3*OFFSET(N606,-$B$11,0)+ $E$4*OFFSET(N606,-2* $B$11,0), O605)</f>
        <v/>
      </c>
      <c r="P606" s="15">
        <f>INT((2^$J$12-1)*O606/100)/(2^$J$12-1)*100</f>
        <v/>
      </c>
      <c r="Q606" s="15" t="n">
        <v>0</v>
      </c>
      <c r="R606" s="15">
        <f>P606+Q606</f>
        <v/>
      </c>
      <c r="S606" s="15">
        <f>$I$1*S605-$I$2*S604+$I$3*R585+$I$4*R584</f>
        <v/>
      </c>
      <c r="T606" s="15" t="n">
        <v>0</v>
      </c>
      <c r="U606" s="15">
        <f>S606+T606</f>
        <v/>
      </c>
      <c r="V606" s="15">
        <f>INT((2^$J$12-1)*U606/100)/(2^$J$12-1)*100</f>
        <v/>
      </c>
      <c r="X606" s="15">
        <f>M606 * 1.05</f>
        <v/>
      </c>
      <c r="Y606" s="15">
        <f>M606 * 0.95</f>
        <v/>
      </c>
      <c r="Z606" s="15">
        <f>IF(AND(V606 &lt;= X606, V606 &gt;= Y606), 1, 0)</f>
        <v/>
      </c>
      <c r="AC606" s="15">
        <f>N606^2</f>
        <v/>
      </c>
      <c r="AD606" s="15">
        <f>ABS(N606)</f>
        <v/>
      </c>
      <c r="AE606" s="15">
        <f>IF(M606&gt;0, ABS(N606)*(L606-$D$16),0)</f>
        <v/>
      </c>
    </row>
    <row r="607">
      <c r="L607" s="15" t="n">
        <v>605</v>
      </c>
      <c r="M607" s="15">
        <f>IF(L607&lt;$D$16,$D$12,IF(L607&lt;$E$16,$E$12,$F$13))</f>
        <v/>
      </c>
      <c r="N607" s="15">
        <f>M607-V607</f>
        <v/>
      </c>
      <c r="O607" s="15">
        <f>IF(MOD(L607,$B$11)=0,OFFSET(O607,-$B$11,0)+ $E$2*N607+$E$3*OFFSET(N607,-$B$11,0)+ $E$4*OFFSET(N607,-2* $B$11,0), O606)</f>
        <v/>
      </c>
      <c r="P607" s="15">
        <f>INT((2^$J$12-1)*O607/100)/(2^$J$12-1)*100</f>
        <v/>
      </c>
      <c r="Q607" s="15" t="n">
        <v>0</v>
      </c>
      <c r="R607" s="15">
        <f>P607+Q607</f>
        <v/>
      </c>
      <c r="S607" s="15">
        <f>$I$1*S606-$I$2*S605+$I$3*R586+$I$4*R585</f>
        <v/>
      </c>
      <c r="T607" s="15" t="n">
        <v>0</v>
      </c>
      <c r="U607" s="15">
        <f>S607+T607</f>
        <v/>
      </c>
      <c r="V607" s="15">
        <f>INT((2^$J$12-1)*U607/100)/(2^$J$12-1)*100</f>
        <v/>
      </c>
      <c r="X607" s="15">
        <f>M607 * 1.05</f>
        <v/>
      </c>
      <c r="Y607" s="15">
        <f>M607 * 0.95</f>
        <v/>
      </c>
      <c r="Z607" s="15">
        <f>IF(AND(V607 &lt;= X607, V607 &gt;= Y607), 1, 0)</f>
        <v/>
      </c>
      <c r="AC607" s="15">
        <f>N607^2</f>
        <v/>
      </c>
      <c r="AD607" s="15">
        <f>ABS(N607)</f>
        <v/>
      </c>
      <c r="AE607" s="15">
        <f>IF(M607&gt;0, ABS(N607)*(L607-$D$16),0)</f>
        <v/>
      </c>
    </row>
    <row r="608">
      <c r="L608" s="15" t="n">
        <v>606</v>
      </c>
      <c r="M608" s="15">
        <f>IF(L608&lt;$D$16,$D$12,IF(L608&lt;$E$16,$E$12,$F$13))</f>
        <v/>
      </c>
      <c r="N608" s="15">
        <f>M608-V608</f>
        <v/>
      </c>
      <c r="O608" s="15">
        <f>IF(MOD(L608,$B$11)=0,OFFSET(O608,-$B$11,0)+ $E$2*N608+$E$3*OFFSET(N608,-$B$11,0)+ $E$4*OFFSET(N608,-2* $B$11,0), O607)</f>
        <v/>
      </c>
      <c r="P608" s="15">
        <f>INT((2^$J$12-1)*O608/100)/(2^$J$12-1)*100</f>
        <v/>
      </c>
      <c r="Q608" s="15" t="n">
        <v>0</v>
      </c>
      <c r="R608" s="15">
        <f>P608+Q608</f>
        <v/>
      </c>
      <c r="S608" s="15">
        <f>$I$1*S607-$I$2*S606+$I$3*R587+$I$4*R586</f>
        <v/>
      </c>
      <c r="T608" s="15" t="n">
        <v>0</v>
      </c>
      <c r="U608" s="15">
        <f>S608+T608</f>
        <v/>
      </c>
      <c r="V608" s="15">
        <f>INT((2^$J$12-1)*U608/100)/(2^$J$12-1)*100</f>
        <v/>
      </c>
      <c r="X608" s="15">
        <f>M608 * 1.05</f>
        <v/>
      </c>
      <c r="Y608" s="15">
        <f>M608 * 0.95</f>
        <v/>
      </c>
      <c r="Z608" s="15">
        <f>IF(AND(V608 &lt;= X608, V608 &gt;= Y608), 1, 0)</f>
        <v/>
      </c>
      <c r="AC608" s="15">
        <f>N608^2</f>
        <v/>
      </c>
      <c r="AD608" s="15">
        <f>ABS(N608)</f>
        <v/>
      </c>
      <c r="AE608" s="15">
        <f>IF(M608&gt;0, ABS(N608)*(L608-$D$16),0)</f>
        <v/>
      </c>
    </row>
    <row r="609">
      <c r="L609" s="15" t="n">
        <v>607</v>
      </c>
      <c r="M609" s="15">
        <f>IF(L609&lt;$D$16,$D$12,IF(L609&lt;$E$16,$E$12,$F$13))</f>
        <v/>
      </c>
      <c r="N609" s="15">
        <f>M609-V609</f>
        <v/>
      </c>
      <c r="O609" s="15">
        <f>IF(MOD(L609,$B$11)=0,OFFSET(O609,-$B$11,0)+ $E$2*N609+$E$3*OFFSET(N609,-$B$11,0)+ $E$4*OFFSET(N609,-2* $B$11,0), O608)</f>
        <v/>
      </c>
      <c r="P609" s="15">
        <f>INT((2^$J$12-1)*O609/100)/(2^$J$12-1)*100</f>
        <v/>
      </c>
      <c r="Q609" s="15" t="n">
        <v>0</v>
      </c>
      <c r="R609" s="15">
        <f>P609+Q609</f>
        <v/>
      </c>
      <c r="S609" s="15">
        <f>$I$1*S608-$I$2*S607+$I$3*R588+$I$4*R587</f>
        <v/>
      </c>
      <c r="T609" s="15" t="n">
        <v>0</v>
      </c>
      <c r="U609" s="15">
        <f>S609+T609</f>
        <v/>
      </c>
      <c r="V609" s="15">
        <f>INT((2^$J$12-1)*U609/100)/(2^$J$12-1)*100</f>
        <v/>
      </c>
      <c r="X609" s="15">
        <f>M609 * 1.05</f>
        <v/>
      </c>
      <c r="Y609" s="15">
        <f>M609 * 0.95</f>
        <v/>
      </c>
      <c r="Z609" s="15">
        <f>IF(AND(V609 &lt;= X609, V609 &gt;= Y609), 1, 0)</f>
        <v/>
      </c>
      <c r="AC609" s="15">
        <f>N609^2</f>
        <v/>
      </c>
      <c r="AD609" s="15">
        <f>ABS(N609)</f>
        <v/>
      </c>
      <c r="AE609" s="15">
        <f>IF(M609&gt;0, ABS(N609)*(L609-$D$16),0)</f>
        <v/>
      </c>
    </row>
    <row r="610">
      <c r="L610" s="15" t="n">
        <v>608</v>
      </c>
      <c r="M610" s="15">
        <f>IF(L610&lt;$D$16,$D$12,IF(L610&lt;$E$16,$E$12,$F$13))</f>
        <v/>
      </c>
      <c r="N610" s="15">
        <f>M610-V610</f>
        <v/>
      </c>
      <c r="O610" s="15">
        <f>IF(MOD(L610,$B$11)=0,OFFSET(O610,-$B$11,0)+ $E$2*N610+$E$3*OFFSET(N610,-$B$11,0)+ $E$4*OFFSET(N610,-2* $B$11,0), O609)</f>
        <v/>
      </c>
      <c r="P610" s="15">
        <f>INT((2^$J$12-1)*O610/100)/(2^$J$12-1)*100</f>
        <v/>
      </c>
      <c r="Q610" s="15" t="n">
        <v>0</v>
      </c>
      <c r="R610" s="15">
        <f>P610+Q610</f>
        <v/>
      </c>
      <c r="S610" s="15">
        <f>$I$1*S609-$I$2*S608+$I$3*R589+$I$4*R588</f>
        <v/>
      </c>
      <c r="T610" s="15" t="n">
        <v>0</v>
      </c>
      <c r="U610" s="15">
        <f>S610+T610</f>
        <v/>
      </c>
      <c r="V610" s="15">
        <f>INT((2^$J$12-1)*U610/100)/(2^$J$12-1)*100</f>
        <v/>
      </c>
      <c r="X610" s="15">
        <f>M610 * 1.05</f>
        <v/>
      </c>
      <c r="Y610" s="15">
        <f>M610 * 0.95</f>
        <v/>
      </c>
      <c r="Z610" s="15">
        <f>IF(AND(V610 &lt;= X610, V610 &gt;= Y610), 1, 0)</f>
        <v/>
      </c>
      <c r="AC610" s="15">
        <f>N610^2</f>
        <v/>
      </c>
      <c r="AD610" s="15">
        <f>ABS(N610)</f>
        <v/>
      </c>
      <c r="AE610" s="15">
        <f>IF(M610&gt;0, ABS(N610)*(L610-$D$16),0)</f>
        <v/>
      </c>
    </row>
    <row r="611">
      <c r="L611" s="15" t="n">
        <v>609</v>
      </c>
      <c r="M611" s="15">
        <f>IF(L611&lt;$D$16,$D$12,IF(L611&lt;$E$16,$E$12,$F$13))</f>
        <v/>
      </c>
      <c r="N611" s="15">
        <f>M611-V611</f>
        <v/>
      </c>
      <c r="O611" s="15">
        <f>IF(MOD(L611,$B$11)=0,OFFSET(O611,-$B$11,0)+ $E$2*N611+$E$3*OFFSET(N611,-$B$11,0)+ $E$4*OFFSET(N611,-2* $B$11,0), O610)</f>
        <v/>
      </c>
      <c r="P611" s="15">
        <f>INT((2^$J$12-1)*O611/100)/(2^$J$12-1)*100</f>
        <v/>
      </c>
      <c r="Q611" s="15" t="n">
        <v>0</v>
      </c>
      <c r="R611" s="15">
        <f>P611+Q611</f>
        <v/>
      </c>
      <c r="S611" s="15">
        <f>$I$1*S610-$I$2*S609+$I$3*R590+$I$4*R589</f>
        <v/>
      </c>
      <c r="T611" s="15" t="n">
        <v>0</v>
      </c>
      <c r="U611" s="15">
        <f>S611+T611</f>
        <v/>
      </c>
      <c r="V611" s="15">
        <f>INT((2^$J$12-1)*U611/100)/(2^$J$12-1)*100</f>
        <v/>
      </c>
      <c r="X611" s="15">
        <f>M611 * 1.05</f>
        <v/>
      </c>
      <c r="Y611" s="15">
        <f>M611 * 0.95</f>
        <v/>
      </c>
      <c r="Z611" s="15">
        <f>IF(AND(V611 &lt;= X611, V611 &gt;= Y611), 1, 0)</f>
        <v/>
      </c>
      <c r="AC611" s="15">
        <f>N611^2</f>
        <v/>
      </c>
      <c r="AD611" s="15">
        <f>ABS(N611)</f>
        <v/>
      </c>
      <c r="AE611" s="15">
        <f>IF(M611&gt;0, ABS(N611)*(L611-$D$16),0)</f>
        <v/>
      </c>
    </row>
    <row r="612">
      <c r="L612" s="15" t="n">
        <v>610</v>
      </c>
      <c r="M612" s="15">
        <f>IF(L612&lt;$D$16,$D$12,IF(L612&lt;$E$16,$E$12,$F$13))</f>
        <v/>
      </c>
      <c r="N612" s="15">
        <f>M612-V612</f>
        <v/>
      </c>
      <c r="O612" s="15">
        <f>IF(MOD(L612,$B$11)=0,OFFSET(O612,-$B$11,0)+ $E$2*N612+$E$3*OFFSET(N612,-$B$11,0)+ $E$4*OFFSET(N612,-2* $B$11,0), O611)</f>
        <v/>
      </c>
      <c r="P612" s="15">
        <f>INT((2^$J$12-1)*O612/100)/(2^$J$12-1)*100</f>
        <v/>
      </c>
      <c r="Q612" s="15" t="n">
        <v>0</v>
      </c>
      <c r="R612" s="15">
        <f>P612+Q612</f>
        <v/>
      </c>
      <c r="S612" s="15">
        <f>$I$1*S611-$I$2*S610+$I$3*R591+$I$4*R590</f>
        <v/>
      </c>
      <c r="T612" s="15" t="n">
        <v>0</v>
      </c>
      <c r="U612" s="15">
        <f>S612+T612</f>
        <v/>
      </c>
      <c r="V612" s="15">
        <f>INT((2^$J$12-1)*U612/100)/(2^$J$12-1)*100</f>
        <v/>
      </c>
      <c r="X612" s="15">
        <f>M612 * 1.05</f>
        <v/>
      </c>
      <c r="Y612" s="15">
        <f>M612 * 0.95</f>
        <v/>
      </c>
      <c r="Z612" s="15">
        <f>IF(AND(V612 &lt;= X612, V612 &gt;= Y612), 1, 0)</f>
        <v/>
      </c>
      <c r="AC612" s="15">
        <f>N612^2</f>
        <v/>
      </c>
      <c r="AD612" s="15">
        <f>ABS(N612)</f>
        <v/>
      </c>
      <c r="AE612" s="15">
        <f>IF(M612&gt;0, ABS(N612)*(L612-$D$16),0)</f>
        <v/>
      </c>
    </row>
    <row r="613">
      <c r="L613" s="15" t="n">
        <v>611</v>
      </c>
      <c r="M613" s="15">
        <f>IF(L613&lt;$D$16,$D$12,IF(L613&lt;$E$16,$E$12,$F$13))</f>
        <v/>
      </c>
      <c r="N613" s="15">
        <f>M613-V613</f>
        <v/>
      </c>
      <c r="O613" s="15">
        <f>IF(MOD(L613,$B$11)=0,OFFSET(O613,-$B$11,0)+ $E$2*N613+$E$3*OFFSET(N613,-$B$11,0)+ $E$4*OFFSET(N613,-2* $B$11,0), O612)</f>
        <v/>
      </c>
      <c r="P613" s="15">
        <f>INT((2^$J$12-1)*O613/100)/(2^$J$12-1)*100</f>
        <v/>
      </c>
      <c r="Q613" s="15" t="n">
        <v>0</v>
      </c>
      <c r="R613" s="15">
        <f>P613+Q613</f>
        <v/>
      </c>
      <c r="S613" s="15">
        <f>$I$1*S612-$I$2*S611+$I$3*R592+$I$4*R591</f>
        <v/>
      </c>
      <c r="T613" s="15" t="n">
        <v>0</v>
      </c>
      <c r="U613" s="15">
        <f>S613+T613</f>
        <v/>
      </c>
      <c r="V613" s="15">
        <f>INT((2^$J$12-1)*U613/100)/(2^$J$12-1)*100</f>
        <v/>
      </c>
      <c r="X613" s="15">
        <f>M613 * 1.05</f>
        <v/>
      </c>
      <c r="Y613" s="15">
        <f>M613 * 0.95</f>
        <v/>
      </c>
      <c r="Z613" s="15">
        <f>IF(AND(V613 &lt;= X613, V613 &gt;= Y613), 1, 0)</f>
        <v/>
      </c>
      <c r="AC613" s="15">
        <f>N613^2</f>
        <v/>
      </c>
      <c r="AD613" s="15">
        <f>ABS(N613)</f>
        <v/>
      </c>
      <c r="AE613" s="15">
        <f>IF(M613&gt;0, ABS(N613)*(L613-$D$16),0)</f>
        <v/>
      </c>
    </row>
    <row r="614">
      <c r="L614" s="15" t="n">
        <v>612</v>
      </c>
      <c r="M614" s="15">
        <f>IF(L614&lt;$D$16,$D$12,IF(L614&lt;$E$16,$E$12,$F$13))</f>
        <v/>
      </c>
      <c r="N614" s="15">
        <f>M614-V614</f>
        <v/>
      </c>
      <c r="O614" s="15">
        <f>IF(MOD(L614,$B$11)=0,OFFSET(O614,-$B$11,0)+ $E$2*N614+$E$3*OFFSET(N614,-$B$11,0)+ $E$4*OFFSET(N614,-2* $B$11,0), O613)</f>
        <v/>
      </c>
      <c r="P614" s="15">
        <f>INT((2^$J$12-1)*O614/100)/(2^$J$12-1)*100</f>
        <v/>
      </c>
      <c r="Q614" s="15" t="n">
        <v>0</v>
      </c>
      <c r="R614" s="15">
        <f>P614+Q614</f>
        <v/>
      </c>
      <c r="S614" s="15">
        <f>$I$1*S613-$I$2*S612+$I$3*R593+$I$4*R592</f>
        <v/>
      </c>
      <c r="T614" s="15" t="n">
        <v>0</v>
      </c>
      <c r="U614" s="15">
        <f>S614+T614</f>
        <v/>
      </c>
      <c r="V614" s="15">
        <f>INT((2^$J$12-1)*U614/100)/(2^$J$12-1)*100</f>
        <v/>
      </c>
      <c r="X614" s="15">
        <f>M614 * 1.05</f>
        <v/>
      </c>
      <c r="Y614" s="15">
        <f>M614 * 0.95</f>
        <v/>
      </c>
      <c r="Z614" s="15">
        <f>IF(AND(V614 &lt;= X614, V614 &gt;= Y614), 1, 0)</f>
        <v/>
      </c>
      <c r="AC614" s="15">
        <f>N614^2</f>
        <v/>
      </c>
      <c r="AD614" s="15">
        <f>ABS(N614)</f>
        <v/>
      </c>
      <c r="AE614" s="15">
        <f>IF(M614&gt;0, ABS(N614)*(L614-$D$16),0)</f>
        <v/>
      </c>
    </row>
    <row r="615">
      <c r="L615" s="15" t="n">
        <v>613</v>
      </c>
      <c r="M615" s="15">
        <f>IF(L615&lt;$D$16,$D$12,IF(L615&lt;$E$16,$E$12,$F$13))</f>
        <v/>
      </c>
      <c r="N615" s="15">
        <f>M615-V615</f>
        <v/>
      </c>
      <c r="O615" s="15">
        <f>IF(MOD(L615,$B$11)=0,OFFSET(O615,-$B$11,0)+ $E$2*N615+$E$3*OFFSET(N615,-$B$11,0)+ $E$4*OFFSET(N615,-2* $B$11,0), O614)</f>
        <v/>
      </c>
      <c r="P615" s="15">
        <f>INT((2^$J$12-1)*O615/100)/(2^$J$12-1)*100</f>
        <v/>
      </c>
      <c r="Q615" s="15" t="n">
        <v>0</v>
      </c>
      <c r="R615" s="15">
        <f>P615+Q615</f>
        <v/>
      </c>
      <c r="S615" s="15">
        <f>$I$1*S614-$I$2*S613+$I$3*R594+$I$4*R593</f>
        <v/>
      </c>
      <c r="T615" s="15" t="n">
        <v>0</v>
      </c>
      <c r="U615" s="15">
        <f>S615+T615</f>
        <v/>
      </c>
      <c r="V615" s="15">
        <f>INT((2^$J$12-1)*U615/100)/(2^$J$12-1)*100</f>
        <v/>
      </c>
      <c r="X615" s="15">
        <f>M615 * 1.05</f>
        <v/>
      </c>
      <c r="Y615" s="15">
        <f>M615 * 0.95</f>
        <v/>
      </c>
      <c r="Z615" s="15">
        <f>IF(AND(V615 &lt;= X615, V615 &gt;= Y615), 1, 0)</f>
        <v/>
      </c>
      <c r="AC615" s="15">
        <f>N615^2</f>
        <v/>
      </c>
      <c r="AD615" s="15">
        <f>ABS(N615)</f>
        <v/>
      </c>
      <c r="AE615" s="15">
        <f>IF(M615&gt;0, ABS(N615)*(L615-$D$16),0)</f>
        <v/>
      </c>
    </row>
    <row r="616">
      <c r="L616" s="15" t="n">
        <v>614</v>
      </c>
      <c r="M616" s="15">
        <f>IF(L616&lt;$D$16,$D$12,IF(L616&lt;$E$16,$E$12,$F$13))</f>
        <v/>
      </c>
      <c r="N616" s="15">
        <f>M616-V616</f>
        <v/>
      </c>
      <c r="O616" s="15">
        <f>IF(MOD(L616,$B$11)=0,OFFSET(O616,-$B$11,0)+ $E$2*N616+$E$3*OFFSET(N616,-$B$11,0)+ $E$4*OFFSET(N616,-2* $B$11,0), O615)</f>
        <v/>
      </c>
      <c r="P616" s="15">
        <f>INT((2^$J$12-1)*O616/100)/(2^$J$12-1)*100</f>
        <v/>
      </c>
      <c r="Q616" s="15" t="n">
        <v>0</v>
      </c>
      <c r="R616" s="15">
        <f>P616+Q616</f>
        <v/>
      </c>
      <c r="S616" s="15">
        <f>$I$1*S615-$I$2*S614+$I$3*R595+$I$4*R594</f>
        <v/>
      </c>
      <c r="T616" s="15" t="n">
        <v>0</v>
      </c>
      <c r="U616" s="15">
        <f>S616+T616</f>
        <v/>
      </c>
      <c r="V616" s="15">
        <f>INT((2^$J$12-1)*U616/100)/(2^$J$12-1)*100</f>
        <v/>
      </c>
      <c r="X616" s="15">
        <f>M616 * 1.05</f>
        <v/>
      </c>
      <c r="Y616" s="15">
        <f>M616 * 0.95</f>
        <v/>
      </c>
      <c r="Z616" s="15">
        <f>IF(AND(V616 &lt;= X616, V616 &gt;= Y616), 1, 0)</f>
        <v/>
      </c>
      <c r="AC616" s="15">
        <f>N616^2</f>
        <v/>
      </c>
      <c r="AD616" s="15">
        <f>ABS(N616)</f>
        <v/>
      </c>
      <c r="AE616" s="15">
        <f>IF(M616&gt;0, ABS(N616)*(L616-$D$16),0)</f>
        <v/>
      </c>
    </row>
    <row r="617">
      <c r="L617" s="15" t="n">
        <v>615</v>
      </c>
      <c r="M617" s="15">
        <f>IF(L617&lt;$D$16,$D$12,IF(L617&lt;$E$16,$E$12,$F$13))</f>
        <v/>
      </c>
      <c r="N617" s="15">
        <f>M617-V617</f>
        <v/>
      </c>
      <c r="O617" s="15">
        <f>IF(MOD(L617,$B$11)=0,OFFSET(O617,-$B$11,0)+ $E$2*N617+$E$3*OFFSET(N617,-$B$11,0)+ $E$4*OFFSET(N617,-2* $B$11,0), O616)</f>
        <v/>
      </c>
      <c r="P617" s="15">
        <f>INT((2^$J$12-1)*O617/100)/(2^$J$12-1)*100</f>
        <v/>
      </c>
      <c r="Q617" s="15" t="n">
        <v>0</v>
      </c>
      <c r="R617" s="15">
        <f>P617+Q617</f>
        <v/>
      </c>
      <c r="S617" s="15">
        <f>$I$1*S616-$I$2*S615+$I$3*R596+$I$4*R595</f>
        <v/>
      </c>
      <c r="T617" s="15" t="n">
        <v>0</v>
      </c>
      <c r="U617" s="15">
        <f>S617+T617</f>
        <v/>
      </c>
      <c r="V617" s="15">
        <f>INT((2^$J$12-1)*U617/100)/(2^$J$12-1)*100</f>
        <v/>
      </c>
      <c r="X617" s="15">
        <f>M617 * 1.05</f>
        <v/>
      </c>
      <c r="Y617" s="15">
        <f>M617 * 0.95</f>
        <v/>
      </c>
      <c r="Z617" s="15">
        <f>IF(AND(V617 &lt;= X617, V617 &gt;= Y617), 1, 0)</f>
        <v/>
      </c>
      <c r="AC617" s="15">
        <f>N617^2</f>
        <v/>
      </c>
      <c r="AD617" s="15">
        <f>ABS(N617)</f>
        <v/>
      </c>
      <c r="AE617" s="15">
        <f>IF(M617&gt;0, ABS(N617)*(L617-$D$16),0)</f>
        <v/>
      </c>
    </row>
    <row r="618">
      <c r="L618" s="15" t="n">
        <v>616</v>
      </c>
      <c r="M618" s="15">
        <f>IF(L618&lt;$D$16,$D$12,IF(L618&lt;$E$16,$E$12,$F$13))</f>
        <v/>
      </c>
      <c r="N618" s="15">
        <f>M618-V618</f>
        <v/>
      </c>
      <c r="O618" s="15">
        <f>IF(MOD(L618,$B$11)=0,OFFSET(O618,-$B$11,0)+ $E$2*N618+$E$3*OFFSET(N618,-$B$11,0)+ $E$4*OFFSET(N618,-2* $B$11,0), O617)</f>
        <v/>
      </c>
      <c r="P618" s="15">
        <f>INT((2^$J$12-1)*O618/100)/(2^$J$12-1)*100</f>
        <v/>
      </c>
      <c r="Q618" s="15" t="n">
        <v>0</v>
      </c>
      <c r="R618" s="15">
        <f>P618+Q618</f>
        <v/>
      </c>
      <c r="S618" s="15">
        <f>$I$1*S617-$I$2*S616+$I$3*R597+$I$4*R596</f>
        <v/>
      </c>
      <c r="T618" s="15" t="n">
        <v>0</v>
      </c>
      <c r="U618" s="15">
        <f>S618+T618</f>
        <v/>
      </c>
      <c r="V618" s="15">
        <f>INT((2^$J$12-1)*U618/100)/(2^$J$12-1)*100</f>
        <v/>
      </c>
      <c r="X618" s="15">
        <f>M618 * 1.05</f>
        <v/>
      </c>
      <c r="Y618" s="15">
        <f>M618 * 0.95</f>
        <v/>
      </c>
      <c r="Z618" s="15">
        <f>IF(AND(V618 &lt;= X618, V618 &gt;= Y618), 1, 0)</f>
        <v/>
      </c>
      <c r="AC618" s="15">
        <f>N618^2</f>
        <v/>
      </c>
      <c r="AD618" s="15">
        <f>ABS(N618)</f>
        <v/>
      </c>
      <c r="AE618" s="15">
        <f>IF(M618&gt;0, ABS(N618)*(L618-$D$16),0)</f>
        <v/>
      </c>
    </row>
    <row r="619">
      <c r="L619" s="15" t="n">
        <v>617</v>
      </c>
      <c r="M619" s="15">
        <f>IF(L619&lt;$D$16,$D$12,IF(L619&lt;$E$16,$E$12,$F$13))</f>
        <v/>
      </c>
      <c r="N619" s="15">
        <f>M619-V619</f>
        <v/>
      </c>
      <c r="O619" s="15">
        <f>IF(MOD(L619,$B$11)=0,OFFSET(O619,-$B$11,0)+ $E$2*N619+$E$3*OFFSET(N619,-$B$11,0)+ $E$4*OFFSET(N619,-2* $B$11,0), O618)</f>
        <v/>
      </c>
      <c r="P619" s="15">
        <f>INT((2^$J$12-1)*O619/100)/(2^$J$12-1)*100</f>
        <v/>
      </c>
      <c r="Q619" s="15" t="n">
        <v>0</v>
      </c>
      <c r="R619" s="15">
        <f>P619+Q619</f>
        <v/>
      </c>
      <c r="S619" s="15">
        <f>$I$1*S618-$I$2*S617+$I$3*R598+$I$4*R597</f>
        <v/>
      </c>
      <c r="T619" s="15" t="n">
        <v>0</v>
      </c>
      <c r="U619" s="15">
        <f>S619+T619</f>
        <v/>
      </c>
      <c r="V619" s="15">
        <f>INT((2^$J$12-1)*U619/100)/(2^$J$12-1)*100</f>
        <v/>
      </c>
      <c r="X619" s="15">
        <f>M619 * 1.05</f>
        <v/>
      </c>
      <c r="Y619" s="15">
        <f>M619 * 0.95</f>
        <v/>
      </c>
      <c r="Z619" s="15">
        <f>IF(AND(V619 &lt;= X619, V619 &gt;= Y619), 1, 0)</f>
        <v/>
      </c>
      <c r="AC619" s="15">
        <f>N619^2</f>
        <v/>
      </c>
      <c r="AD619" s="15">
        <f>ABS(N619)</f>
        <v/>
      </c>
      <c r="AE619" s="15">
        <f>IF(M619&gt;0, ABS(N619)*(L619-$D$16),0)</f>
        <v/>
      </c>
    </row>
    <row r="620">
      <c r="L620" s="15" t="n">
        <v>618</v>
      </c>
      <c r="M620" s="15">
        <f>IF(L620&lt;$D$16,$D$12,IF(L620&lt;$E$16,$E$12,$F$13))</f>
        <v/>
      </c>
      <c r="N620" s="15">
        <f>M620-V620</f>
        <v/>
      </c>
      <c r="O620" s="15">
        <f>IF(MOD(L620,$B$11)=0,OFFSET(O620,-$B$11,0)+ $E$2*N620+$E$3*OFFSET(N620,-$B$11,0)+ $E$4*OFFSET(N620,-2* $B$11,0), O619)</f>
        <v/>
      </c>
      <c r="P620" s="15">
        <f>INT((2^$J$12-1)*O620/100)/(2^$J$12-1)*100</f>
        <v/>
      </c>
      <c r="Q620" s="15" t="n">
        <v>0</v>
      </c>
      <c r="R620" s="15">
        <f>P620+Q620</f>
        <v/>
      </c>
      <c r="S620" s="15">
        <f>$I$1*S619-$I$2*S618+$I$3*R599+$I$4*R598</f>
        <v/>
      </c>
      <c r="T620" s="15" t="n">
        <v>0</v>
      </c>
      <c r="U620" s="15">
        <f>S620+T620</f>
        <v/>
      </c>
      <c r="V620" s="15">
        <f>INT((2^$J$12-1)*U620/100)/(2^$J$12-1)*100</f>
        <v/>
      </c>
      <c r="X620" s="15">
        <f>M620 * 1.05</f>
        <v/>
      </c>
      <c r="Y620" s="15">
        <f>M620 * 0.95</f>
        <v/>
      </c>
      <c r="Z620" s="15">
        <f>IF(AND(V620 &lt;= X620, V620 &gt;= Y620), 1, 0)</f>
        <v/>
      </c>
      <c r="AC620" s="15">
        <f>N620^2</f>
        <v/>
      </c>
      <c r="AD620" s="15">
        <f>ABS(N620)</f>
        <v/>
      </c>
      <c r="AE620" s="15">
        <f>IF(M620&gt;0, ABS(N620)*(L620-$D$16),0)</f>
        <v/>
      </c>
    </row>
    <row r="621">
      <c r="L621" s="15" t="n">
        <v>619</v>
      </c>
      <c r="M621" s="15">
        <f>IF(L621&lt;$D$16,$D$12,IF(L621&lt;$E$16,$E$12,$F$13))</f>
        <v/>
      </c>
      <c r="N621" s="15">
        <f>M621-V621</f>
        <v/>
      </c>
      <c r="O621" s="15">
        <f>IF(MOD(L621,$B$11)=0,OFFSET(O621,-$B$11,0)+ $E$2*N621+$E$3*OFFSET(N621,-$B$11,0)+ $E$4*OFFSET(N621,-2* $B$11,0), O620)</f>
        <v/>
      </c>
      <c r="P621" s="15">
        <f>INT((2^$J$12-1)*O621/100)/(2^$J$12-1)*100</f>
        <v/>
      </c>
      <c r="Q621" s="15" t="n">
        <v>0</v>
      </c>
      <c r="R621" s="15">
        <f>P621+Q621</f>
        <v/>
      </c>
      <c r="S621" s="15">
        <f>$I$1*S620-$I$2*S619+$I$3*R600+$I$4*R599</f>
        <v/>
      </c>
      <c r="T621" s="15" t="n">
        <v>0</v>
      </c>
      <c r="U621" s="15">
        <f>S621+T621</f>
        <v/>
      </c>
      <c r="V621" s="15">
        <f>INT((2^$J$12-1)*U621/100)/(2^$J$12-1)*100</f>
        <v/>
      </c>
      <c r="X621" s="15">
        <f>M621 * 1.05</f>
        <v/>
      </c>
      <c r="Y621" s="15">
        <f>M621 * 0.95</f>
        <v/>
      </c>
      <c r="Z621" s="15">
        <f>IF(AND(V621 &lt;= X621, V621 &gt;= Y621), 1, 0)</f>
        <v/>
      </c>
      <c r="AC621" s="15">
        <f>N621^2</f>
        <v/>
      </c>
      <c r="AD621" s="15">
        <f>ABS(N621)</f>
        <v/>
      </c>
      <c r="AE621" s="15">
        <f>IF(M621&gt;0, ABS(N621)*(L621-$D$16),0)</f>
        <v/>
      </c>
    </row>
    <row r="622">
      <c r="L622" s="15" t="n">
        <v>620</v>
      </c>
      <c r="M622" s="15">
        <f>IF(L622&lt;$D$16,$D$12,IF(L622&lt;$E$16,$E$12,$F$13))</f>
        <v/>
      </c>
      <c r="N622" s="15">
        <f>M622-V622</f>
        <v/>
      </c>
      <c r="O622" s="15">
        <f>IF(MOD(L622,$B$11)=0,OFFSET(O622,-$B$11,0)+ $E$2*N622+$E$3*OFFSET(N622,-$B$11,0)+ $E$4*OFFSET(N622,-2* $B$11,0), O621)</f>
        <v/>
      </c>
      <c r="P622" s="15">
        <f>INT((2^$J$12-1)*O622/100)/(2^$J$12-1)*100</f>
        <v/>
      </c>
      <c r="Q622" s="15" t="n">
        <v>0</v>
      </c>
      <c r="R622" s="15">
        <f>P622+Q622</f>
        <v/>
      </c>
      <c r="S622" s="15">
        <f>$I$1*S621-$I$2*S620+$I$3*R601+$I$4*R600</f>
        <v/>
      </c>
      <c r="T622" s="15" t="n">
        <v>0</v>
      </c>
      <c r="U622" s="15">
        <f>S622+T622</f>
        <v/>
      </c>
      <c r="V622" s="15">
        <f>INT((2^$J$12-1)*U622/100)/(2^$J$12-1)*100</f>
        <v/>
      </c>
      <c r="X622" s="15">
        <f>M622 * 1.05</f>
        <v/>
      </c>
      <c r="Y622" s="15">
        <f>M622 * 0.95</f>
        <v/>
      </c>
      <c r="Z622" s="15">
        <f>IF(AND(V622 &lt;= X622, V622 &gt;= Y622), 1, 0)</f>
        <v/>
      </c>
      <c r="AC622" s="15">
        <f>N622^2</f>
        <v/>
      </c>
      <c r="AD622" s="15">
        <f>ABS(N622)</f>
        <v/>
      </c>
      <c r="AE622" s="15">
        <f>IF(M622&gt;0, ABS(N622)*(L622-$D$16),0)</f>
        <v/>
      </c>
    </row>
    <row r="623">
      <c r="L623" s="15" t="n">
        <v>621</v>
      </c>
      <c r="M623" s="15">
        <f>IF(L623&lt;$D$16,$D$12,IF(L623&lt;$E$16,$E$12,$F$13))</f>
        <v/>
      </c>
      <c r="N623" s="15">
        <f>M623-V623</f>
        <v/>
      </c>
      <c r="O623" s="15">
        <f>IF(MOD(L623,$B$11)=0,OFFSET(O623,-$B$11,0)+ $E$2*N623+$E$3*OFFSET(N623,-$B$11,0)+ $E$4*OFFSET(N623,-2* $B$11,0), O622)</f>
        <v/>
      </c>
      <c r="P623" s="15">
        <f>INT((2^$J$12-1)*O623/100)/(2^$J$12-1)*100</f>
        <v/>
      </c>
      <c r="Q623" s="15" t="n">
        <v>0</v>
      </c>
      <c r="R623" s="15">
        <f>P623+Q623</f>
        <v/>
      </c>
      <c r="S623" s="15">
        <f>$I$1*S622-$I$2*S621+$I$3*R602+$I$4*R601</f>
        <v/>
      </c>
      <c r="T623" s="15" t="n">
        <v>0</v>
      </c>
      <c r="U623" s="15">
        <f>S623+T623</f>
        <v/>
      </c>
      <c r="V623" s="15">
        <f>INT((2^$J$12-1)*U623/100)/(2^$J$12-1)*100</f>
        <v/>
      </c>
      <c r="X623" s="15">
        <f>M623 * 1.05</f>
        <v/>
      </c>
      <c r="Y623" s="15">
        <f>M623 * 0.95</f>
        <v/>
      </c>
      <c r="Z623" s="15">
        <f>IF(AND(V623 &lt;= X623, V623 &gt;= Y623), 1, 0)</f>
        <v/>
      </c>
      <c r="AC623" s="15">
        <f>N623^2</f>
        <v/>
      </c>
      <c r="AD623" s="15">
        <f>ABS(N623)</f>
        <v/>
      </c>
      <c r="AE623" s="15">
        <f>IF(M623&gt;0, ABS(N623)*(L623-$D$16),0)</f>
        <v/>
      </c>
    </row>
    <row r="624">
      <c r="L624" s="15" t="n">
        <v>622</v>
      </c>
      <c r="M624" s="15">
        <f>IF(L624&lt;$D$16,$D$12,IF(L624&lt;$E$16,$E$12,$F$13))</f>
        <v/>
      </c>
      <c r="N624" s="15">
        <f>M624-V624</f>
        <v/>
      </c>
      <c r="O624" s="15">
        <f>IF(MOD(L624,$B$11)=0,OFFSET(O624,-$B$11,0)+ $E$2*N624+$E$3*OFFSET(N624,-$B$11,0)+ $E$4*OFFSET(N624,-2* $B$11,0), O623)</f>
        <v/>
      </c>
      <c r="P624" s="15">
        <f>INT((2^$J$12-1)*O624/100)/(2^$J$12-1)*100</f>
        <v/>
      </c>
      <c r="Q624" s="15" t="n">
        <v>0</v>
      </c>
      <c r="R624" s="15">
        <f>P624+Q624</f>
        <v/>
      </c>
      <c r="S624" s="15">
        <f>$I$1*S623-$I$2*S622+$I$3*R603+$I$4*R602</f>
        <v/>
      </c>
      <c r="T624" s="15" t="n">
        <v>0</v>
      </c>
      <c r="U624" s="15">
        <f>S624+T624</f>
        <v/>
      </c>
      <c r="V624" s="15">
        <f>INT((2^$J$12-1)*U624/100)/(2^$J$12-1)*100</f>
        <v/>
      </c>
      <c r="X624" s="15">
        <f>M624 * 1.05</f>
        <v/>
      </c>
      <c r="Y624" s="15">
        <f>M624 * 0.95</f>
        <v/>
      </c>
      <c r="Z624" s="15">
        <f>IF(AND(V624 &lt;= X624, V624 &gt;= Y624), 1, 0)</f>
        <v/>
      </c>
      <c r="AC624" s="15">
        <f>N624^2</f>
        <v/>
      </c>
      <c r="AD624" s="15">
        <f>ABS(N624)</f>
        <v/>
      </c>
      <c r="AE624" s="15">
        <f>IF(M624&gt;0, ABS(N624)*(L624-$D$16),0)</f>
        <v/>
      </c>
    </row>
    <row r="625">
      <c r="L625" s="15" t="n">
        <v>623</v>
      </c>
      <c r="M625" s="15">
        <f>IF(L625&lt;$D$16,$D$12,IF(L625&lt;$E$16,$E$12,$F$13))</f>
        <v/>
      </c>
      <c r="N625" s="15">
        <f>M625-V625</f>
        <v/>
      </c>
      <c r="O625" s="15">
        <f>IF(MOD(L625,$B$11)=0,OFFSET(O625,-$B$11,0)+ $E$2*N625+$E$3*OFFSET(N625,-$B$11,0)+ $E$4*OFFSET(N625,-2* $B$11,0), O624)</f>
        <v/>
      </c>
      <c r="P625" s="15">
        <f>INT((2^$J$12-1)*O625/100)/(2^$J$12-1)*100</f>
        <v/>
      </c>
      <c r="Q625" s="15" t="n">
        <v>0</v>
      </c>
      <c r="R625" s="15">
        <f>P625+Q625</f>
        <v/>
      </c>
      <c r="S625" s="15">
        <f>$I$1*S624-$I$2*S623+$I$3*R604+$I$4*R603</f>
        <v/>
      </c>
      <c r="T625" s="15" t="n">
        <v>0</v>
      </c>
      <c r="U625" s="15">
        <f>S625+T625</f>
        <v/>
      </c>
      <c r="V625" s="15">
        <f>INT((2^$J$12-1)*U625/100)/(2^$J$12-1)*100</f>
        <v/>
      </c>
      <c r="X625" s="15">
        <f>M625 * 1.05</f>
        <v/>
      </c>
      <c r="Y625" s="15">
        <f>M625 * 0.95</f>
        <v/>
      </c>
      <c r="Z625" s="15">
        <f>IF(AND(V625 &lt;= X625, V625 &gt;= Y625), 1, 0)</f>
        <v/>
      </c>
      <c r="AC625" s="15">
        <f>N625^2</f>
        <v/>
      </c>
      <c r="AD625" s="15">
        <f>ABS(N625)</f>
        <v/>
      </c>
      <c r="AE625" s="15">
        <f>IF(M625&gt;0, ABS(N625)*(L625-$D$16),0)</f>
        <v/>
      </c>
    </row>
    <row r="626">
      <c r="L626" s="15" t="n">
        <v>624</v>
      </c>
      <c r="M626" s="15">
        <f>IF(L626&lt;$D$16,$D$12,IF(L626&lt;$E$16,$E$12,$F$13))</f>
        <v/>
      </c>
      <c r="N626" s="15">
        <f>M626-V626</f>
        <v/>
      </c>
      <c r="O626" s="15">
        <f>IF(MOD(L626,$B$11)=0,OFFSET(O626,-$B$11,0)+ $E$2*N626+$E$3*OFFSET(N626,-$B$11,0)+ $E$4*OFFSET(N626,-2* $B$11,0), O625)</f>
        <v/>
      </c>
      <c r="P626" s="15">
        <f>INT((2^$J$12-1)*O626/100)/(2^$J$12-1)*100</f>
        <v/>
      </c>
      <c r="Q626" s="15" t="n">
        <v>0</v>
      </c>
      <c r="R626" s="15">
        <f>P626+Q626</f>
        <v/>
      </c>
      <c r="S626" s="15">
        <f>$I$1*S625-$I$2*S624+$I$3*R605+$I$4*R604</f>
        <v/>
      </c>
      <c r="T626" s="15" t="n">
        <v>0</v>
      </c>
      <c r="U626" s="15">
        <f>S626+T626</f>
        <v/>
      </c>
      <c r="V626" s="15">
        <f>INT((2^$J$12-1)*U626/100)/(2^$J$12-1)*100</f>
        <v/>
      </c>
      <c r="X626" s="15">
        <f>M626 * 1.05</f>
        <v/>
      </c>
      <c r="Y626" s="15">
        <f>M626 * 0.95</f>
        <v/>
      </c>
      <c r="Z626" s="15">
        <f>IF(AND(V626 &lt;= X626, V626 &gt;= Y626), 1, 0)</f>
        <v/>
      </c>
      <c r="AC626" s="15">
        <f>N626^2</f>
        <v/>
      </c>
      <c r="AD626" s="15">
        <f>ABS(N626)</f>
        <v/>
      </c>
      <c r="AE626" s="15">
        <f>IF(M626&gt;0, ABS(N626)*(L626-$D$16),0)</f>
        <v/>
      </c>
    </row>
    <row r="627">
      <c r="L627" s="15" t="n">
        <v>625</v>
      </c>
      <c r="M627" s="15">
        <f>IF(L627&lt;$D$16,$D$12,IF(L627&lt;$E$16,$E$12,$F$13))</f>
        <v/>
      </c>
      <c r="N627" s="15">
        <f>M627-V627</f>
        <v/>
      </c>
      <c r="O627" s="15">
        <f>IF(MOD(L627,$B$11)=0,OFFSET(O627,-$B$11,0)+ $E$2*N627+$E$3*OFFSET(N627,-$B$11,0)+ $E$4*OFFSET(N627,-2* $B$11,0), O626)</f>
        <v/>
      </c>
      <c r="P627" s="15">
        <f>INT((2^$J$12-1)*O627/100)/(2^$J$12-1)*100</f>
        <v/>
      </c>
      <c r="Q627" s="15" t="n">
        <v>0</v>
      </c>
      <c r="R627" s="15">
        <f>P627+Q627</f>
        <v/>
      </c>
      <c r="S627" s="15">
        <f>$I$1*S626-$I$2*S625+$I$3*R606+$I$4*R605</f>
        <v/>
      </c>
      <c r="T627" s="15" t="n">
        <v>0</v>
      </c>
      <c r="U627" s="15">
        <f>S627+T627</f>
        <v/>
      </c>
      <c r="V627" s="15">
        <f>INT((2^$J$12-1)*U627/100)/(2^$J$12-1)*100</f>
        <v/>
      </c>
      <c r="X627" s="15">
        <f>M627 * 1.05</f>
        <v/>
      </c>
      <c r="Y627" s="15">
        <f>M627 * 0.95</f>
        <v/>
      </c>
      <c r="Z627" s="15">
        <f>IF(AND(V627 &lt;= X627, V627 &gt;= Y627), 1, 0)</f>
        <v/>
      </c>
      <c r="AC627" s="15">
        <f>N627^2</f>
        <v/>
      </c>
      <c r="AD627" s="15">
        <f>ABS(N627)</f>
        <v/>
      </c>
      <c r="AE627" s="15">
        <f>IF(M627&gt;0, ABS(N627)*(L627-$D$16),0)</f>
        <v/>
      </c>
    </row>
    <row r="628">
      <c r="L628" s="15" t="n">
        <v>626</v>
      </c>
      <c r="M628" s="15">
        <f>IF(L628&lt;$D$16,$D$12,IF(L628&lt;$E$16,$E$12,$F$13))</f>
        <v/>
      </c>
      <c r="N628" s="15">
        <f>M628-V628</f>
        <v/>
      </c>
      <c r="O628" s="15">
        <f>IF(MOD(L628,$B$11)=0,OFFSET(O628,-$B$11,0)+ $E$2*N628+$E$3*OFFSET(N628,-$B$11,0)+ $E$4*OFFSET(N628,-2* $B$11,0), O627)</f>
        <v/>
      </c>
      <c r="P628" s="15">
        <f>INT((2^$J$12-1)*O628/100)/(2^$J$12-1)*100</f>
        <v/>
      </c>
      <c r="Q628" s="15" t="n">
        <v>0</v>
      </c>
      <c r="R628" s="15">
        <f>P628+Q628</f>
        <v/>
      </c>
      <c r="S628" s="15">
        <f>$I$1*S627-$I$2*S626+$I$3*R607+$I$4*R606</f>
        <v/>
      </c>
      <c r="T628" s="15" t="n">
        <v>0</v>
      </c>
      <c r="U628" s="15">
        <f>S628+T628</f>
        <v/>
      </c>
      <c r="V628" s="15">
        <f>INT((2^$J$12-1)*U628/100)/(2^$J$12-1)*100</f>
        <v/>
      </c>
      <c r="X628" s="15">
        <f>M628 * 1.05</f>
        <v/>
      </c>
      <c r="Y628" s="15">
        <f>M628 * 0.95</f>
        <v/>
      </c>
      <c r="Z628" s="15">
        <f>IF(AND(V628 &lt;= X628, V628 &gt;= Y628), 1, 0)</f>
        <v/>
      </c>
      <c r="AC628" s="15">
        <f>N628^2</f>
        <v/>
      </c>
      <c r="AD628" s="15">
        <f>ABS(N628)</f>
        <v/>
      </c>
      <c r="AE628" s="15">
        <f>IF(M628&gt;0, ABS(N628)*(L628-$D$16),0)</f>
        <v/>
      </c>
    </row>
    <row r="629">
      <c r="L629" s="15" t="n">
        <v>627</v>
      </c>
      <c r="M629" s="15">
        <f>IF(L629&lt;$D$16,$D$12,IF(L629&lt;$E$16,$E$12,$F$13))</f>
        <v/>
      </c>
      <c r="N629" s="15">
        <f>M629-V629</f>
        <v/>
      </c>
      <c r="O629" s="15">
        <f>IF(MOD(L629,$B$11)=0,OFFSET(O629,-$B$11,0)+ $E$2*N629+$E$3*OFFSET(N629,-$B$11,0)+ $E$4*OFFSET(N629,-2* $B$11,0), O628)</f>
        <v/>
      </c>
      <c r="P629" s="15">
        <f>INT((2^$J$12-1)*O629/100)/(2^$J$12-1)*100</f>
        <v/>
      </c>
      <c r="Q629" s="15" t="n">
        <v>0</v>
      </c>
      <c r="R629" s="15">
        <f>P629+Q629</f>
        <v/>
      </c>
      <c r="S629" s="15">
        <f>$I$1*S628-$I$2*S627+$I$3*R608+$I$4*R607</f>
        <v/>
      </c>
      <c r="T629" s="15" t="n">
        <v>0</v>
      </c>
      <c r="U629" s="15">
        <f>S629+T629</f>
        <v/>
      </c>
      <c r="V629" s="15">
        <f>INT((2^$J$12-1)*U629/100)/(2^$J$12-1)*100</f>
        <v/>
      </c>
      <c r="X629" s="15">
        <f>M629 * 1.05</f>
        <v/>
      </c>
      <c r="Y629" s="15">
        <f>M629 * 0.95</f>
        <v/>
      </c>
      <c r="Z629" s="15">
        <f>IF(AND(V629 &lt;= X629, V629 &gt;= Y629), 1, 0)</f>
        <v/>
      </c>
      <c r="AC629" s="15">
        <f>N629^2</f>
        <v/>
      </c>
      <c r="AD629" s="15">
        <f>ABS(N629)</f>
        <v/>
      </c>
      <c r="AE629" s="15">
        <f>IF(M629&gt;0, ABS(N629)*(L629-$D$16),0)</f>
        <v/>
      </c>
    </row>
    <row r="630">
      <c r="L630" s="15" t="n">
        <v>628</v>
      </c>
      <c r="M630" s="15">
        <f>IF(L630&lt;$D$16,$D$12,IF(L630&lt;$E$16,$E$12,$F$13))</f>
        <v/>
      </c>
      <c r="N630" s="15">
        <f>M630-V630</f>
        <v/>
      </c>
      <c r="O630" s="15">
        <f>IF(MOD(L630,$B$11)=0,OFFSET(O630,-$B$11,0)+ $E$2*N630+$E$3*OFFSET(N630,-$B$11,0)+ $E$4*OFFSET(N630,-2* $B$11,0), O629)</f>
        <v/>
      </c>
      <c r="P630" s="15">
        <f>INT((2^$J$12-1)*O630/100)/(2^$J$12-1)*100</f>
        <v/>
      </c>
      <c r="Q630" s="15" t="n">
        <v>0</v>
      </c>
      <c r="R630" s="15">
        <f>P630+Q630</f>
        <v/>
      </c>
      <c r="S630" s="15">
        <f>$I$1*S629-$I$2*S628+$I$3*R609+$I$4*R608</f>
        <v/>
      </c>
      <c r="T630" s="15" t="n">
        <v>0</v>
      </c>
      <c r="U630" s="15">
        <f>S630+T630</f>
        <v/>
      </c>
      <c r="V630" s="15">
        <f>INT((2^$J$12-1)*U630/100)/(2^$J$12-1)*100</f>
        <v/>
      </c>
      <c r="X630" s="15">
        <f>M630 * 1.05</f>
        <v/>
      </c>
      <c r="Y630" s="15">
        <f>M630 * 0.95</f>
        <v/>
      </c>
      <c r="Z630" s="15">
        <f>IF(AND(V630 &lt;= X630, V630 &gt;= Y630), 1, 0)</f>
        <v/>
      </c>
      <c r="AC630" s="15">
        <f>N630^2</f>
        <v/>
      </c>
      <c r="AD630" s="15">
        <f>ABS(N630)</f>
        <v/>
      </c>
      <c r="AE630" s="15">
        <f>IF(M630&gt;0, ABS(N630)*(L630-$D$16),0)</f>
        <v/>
      </c>
    </row>
    <row r="631">
      <c r="L631" s="15" t="n">
        <v>629</v>
      </c>
      <c r="M631" s="15">
        <f>IF(L631&lt;$D$16,$D$12,IF(L631&lt;$E$16,$E$12,$F$13))</f>
        <v/>
      </c>
      <c r="N631" s="15">
        <f>M631-V631</f>
        <v/>
      </c>
      <c r="O631" s="15">
        <f>IF(MOD(L631,$B$11)=0,OFFSET(O631,-$B$11,0)+ $E$2*N631+$E$3*OFFSET(N631,-$B$11,0)+ $E$4*OFFSET(N631,-2* $B$11,0), O630)</f>
        <v/>
      </c>
      <c r="P631" s="15">
        <f>INT((2^$J$12-1)*O631/100)/(2^$J$12-1)*100</f>
        <v/>
      </c>
      <c r="Q631" s="15" t="n">
        <v>0</v>
      </c>
      <c r="R631" s="15">
        <f>P631+Q631</f>
        <v/>
      </c>
      <c r="S631" s="15">
        <f>$I$1*S630-$I$2*S629+$I$3*R610+$I$4*R609</f>
        <v/>
      </c>
      <c r="T631" s="15" t="n">
        <v>0</v>
      </c>
      <c r="U631" s="15">
        <f>S631+T631</f>
        <v/>
      </c>
      <c r="V631" s="15">
        <f>INT((2^$J$12-1)*U631/100)/(2^$J$12-1)*100</f>
        <v/>
      </c>
      <c r="X631" s="15">
        <f>M631 * 1.05</f>
        <v/>
      </c>
      <c r="Y631" s="15">
        <f>M631 * 0.95</f>
        <v/>
      </c>
      <c r="Z631" s="15">
        <f>IF(AND(V631 &lt;= X631, V631 &gt;= Y631), 1, 0)</f>
        <v/>
      </c>
      <c r="AC631" s="15">
        <f>N631^2</f>
        <v/>
      </c>
      <c r="AD631" s="15">
        <f>ABS(N631)</f>
        <v/>
      </c>
      <c r="AE631" s="15">
        <f>IF(M631&gt;0, ABS(N631)*(L631-$D$16),0)</f>
        <v/>
      </c>
    </row>
    <row r="632">
      <c r="L632" s="15" t="n">
        <v>630</v>
      </c>
      <c r="M632" s="15">
        <f>IF(L632&lt;$D$16,$D$12,IF(L632&lt;$E$16,$E$12,$F$13))</f>
        <v/>
      </c>
      <c r="N632" s="15">
        <f>M632-V632</f>
        <v/>
      </c>
      <c r="O632" s="15">
        <f>IF(MOD(L632,$B$11)=0,OFFSET(O632,-$B$11,0)+ $E$2*N632+$E$3*OFFSET(N632,-$B$11,0)+ $E$4*OFFSET(N632,-2* $B$11,0), O631)</f>
        <v/>
      </c>
      <c r="P632" s="15">
        <f>INT((2^$J$12-1)*O632/100)/(2^$J$12-1)*100</f>
        <v/>
      </c>
      <c r="Q632" s="15" t="n">
        <v>0</v>
      </c>
      <c r="R632" s="15">
        <f>P632+Q632</f>
        <v/>
      </c>
      <c r="S632" s="15">
        <f>$I$1*S631-$I$2*S630+$I$3*R611+$I$4*R610</f>
        <v/>
      </c>
      <c r="T632" s="15" t="n">
        <v>0</v>
      </c>
      <c r="U632" s="15">
        <f>S632+T632</f>
        <v/>
      </c>
      <c r="V632" s="15">
        <f>INT((2^$J$12-1)*U632/100)/(2^$J$12-1)*100</f>
        <v/>
      </c>
      <c r="X632" s="15">
        <f>M632 * 1.05</f>
        <v/>
      </c>
      <c r="Y632" s="15">
        <f>M632 * 0.95</f>
        <v/>
      </c>
      <c r="Z632" s="15">
        <f>IF(AND(V632 &lt;= X632, V632 &gt;= Y632), 1, 0)</f>
        <v/>
      </c>
      <c r="AC632" s="15">
        <f>N632^2</f>
        <v/>
      </c>
      <c r="AD632" s="15">
        <f>ABS(N632)</f>
        <v/>
      </c>
      <c r="AE632" s="15">
        <f>IF(M632&gt;0, ABS(N632)*(L632-$D$16),0)</f>
        <v/>
      </c>
    </row>
    <row r="633">
      <c r="L633" s="15" t="n">
        <v>631</v>
      </c>
      <c r="M633" s="15">
        <f>IF(L633&lt;$D$16,$D$12,IF(L633&lt;$E$16,$E$12,$F$13))</f>
        <v/>
      </c>
      <c r="N633" s="15">
        <f>M633-V633</f>
        <v/>
      </c>
      <c r="O633" s="15">
        <f>IF(MOD(L633,$B$11)=0,OFFSET(O633,-$B$11,0)+ $E$2*N633+$E$3*OFFSET(N633,-$B$11,0)+ $E$4*OFFSET(N633,-2* $B$11,0), O632)</f>
        <v/>
      </c>
      <c r="P633" s="15">
        <f>INT((2^$J$12-1)*O633/100)/(2^$J$12-1)*100</f>
        <v/>
      </c>
      <c r="Q633" s="15" t="n">
        <v>0</v>
      </c>
      <c r="R633" s="15">
        <f>P633+Q633</f>
        <v/>
      </c>
      <c r="S633" s="15">
        <f>$I$1*S632-$I$2*S631+$I$3*R612+$I$4*R611</f>
        <v/>
      </c>
      <c r="T633" s="15" t="n">
        <v>0</v>
      </c>
      <c r="U633" s="15">
        <f>S633+T633</f>
        <v/>
      </c>
      <c r="V633" s="15">
        <f>INT((2^$J$12-1)*U633/100)/(2^$J$12-1)*100</f>
        <v/>
      </c>
      <c r="X633" s="15">
        <f>M633 * 1.05</f>
        <v/>
      </c>
      <c r="Y633" s="15">
        <f>M633 * 0.95</f>
        <v/>
      </c>
      <c r="Z633" s="15">
        <f>IF(AND(V633 &lt;= X633, V633 &gt;= Y633), 1, 0)</f>
        <v/>
      </c>
      <c r="AC633" s="15">
        <f>N633^2</f>
        <v/>
      </c>
      <c r="AD633" s="15">
        <f>ABS(N633)</f>
        <v/>
      </c>
      <c r="AE633" s="15">
        <f>IF(M633&gt;0, ABS(N633)*(L633-$D$16),0)</f>
        <v/>
      </c>
    </row>
    <row r="634">
      <c r="L634" s="15" t="n">
        <v>632</v>
      </c>
      <c r="M634" s="15">
        <f>IF(L634&lt;$D$16,$D$12,IF(L634&lt;$E$16,$E$12,$F$13))</f>
        <v/>
      </c>
      <c r="N634" s="15">
        <f>M634-V634</f>
        <v/>
      </c>
      <c r="O634" s="15">
        <f>IF(MOD(L634,$B$11)=0,OFFSET(O634,-$B$11,0)+ $E$2*N634+$E$3*OFFSET(N634,-$B$11,0)+ $E$4*OFFSET(N634,-2* $B$11,0), O633)</f>
        <v/>
      </c>
      <c r="P634" s="15">
        <f>INT((2^$J$12-1)*O634/100)/(2^$J$12-1)*100</f>
        <v/>
      </c>
      <c r="Q634" s="15" t="n">
        <v>0</v>
      </c>
      <c r="R634" s="15">
        <f>P634+Q634</f>
        <v/>
      </c>
      <c r="S634" s="15">
        <f>$I$1*S633-$I$2*S632+$I$3*R613+$I$4*R612</f>
        <v/>
      </c>
      <c r="T634" s="15" t="n">
        <v>0</v>
      </c>
      <c r="U634" s="15">
        <f>S634+T634</f>
        <v/>
      </c>
      <c r="V634" s="15">
        <f>INT((2^$J$12-1)*U634/100)/(2^$J$12-1)*100</f>
        <v/>
      </c>
      <c r="X634" s="15">
        <f>M634 * 1.05</f>
        <v/>
      </c>
      <c r="Y634" s="15">
        <f>M634 * 0.95</f>
        <v/>
      </c>
      <c r="Z634" s="15">
        <f>IF(AND(V634 &lt;= X634, V634 &gt;= Y634), 1, 0)</f>
        <v/>
      </c>
      <c r="AC634" s="15">
        <f>N634^2</f>
        <v/>
      </c>
      <c r="AD634" s="15">
        <f>ABS(N634)</f>
        <v/>
      </c>
      <c r="AE634" s="15">
        <f>IF(M634&gt;0, ABS(N634)*(L634-$D$16),0)</f>
        <v/>
      </c>
    </row>
    <row r="635">
      <c r="L635" s="15" t="n">
        <v>633</v>
      </c>
      <c r="M635" s="15">
        <f>IF(L635&lt;$D$16,$D$12,IF(L635&lt;$E$16,$E$12,$F$13))</f>
        <v/>
      </c>
      <c r="N635" s="15">
        <f>M635-V635</f>
        <v/>
      </c>
      <c r="O635" s="15">
        <f>IF(MOD(L635,$B$11)=0,OFFSET(O635,-$B$11,0)+ $E$2*N635+$E$3*OFFSET(N635,-$B$11,0)+ $E$4*OFFSET(N635,-2* $B$11,0), O634)</f>
        <v/>
      </c>
      <c r="P635" s="15">
        <f>INT((2^$J$12-1)*O635/100)/(2^$J$12-1)*100</f>
        <v/>
      </c>
      <c r="Q635" s="15" t="n">
        <v>0</v>
      </c>
      <c r="R635" s="15">
        <f>P635+Q635</f>
        <v/>
      </c>
      <c r="S635" s="15">
        <f>$I$1*S634-$I$2*S633+$I$3*R614+$I$4*R613</f>
        <v/>
      </c>
      <c r="T635" s="15" t="n">
        <v>0</v>
      </c>
      <c r="U635" s="15">
        <f>S635+T635</f>
        <v/>
      </c>
      <c r="V635" s="15">
        <f>INT((2^$J$12-1)*U635/100)/(2^$J$12-1)*100</f>
        <v/>
      </c>
      <c r="X635" s="15">
        <f>M635 * 1.05</f>
        <v/>
      </c>
      <c r="Y635" s="15">
        <f>M635 * 0.95</f>
        <v/>
      </c>
      <c r="Z635" s="15">
        <f>IF(AND(V635 &lt;= X635, V635 &gt;= Y635), 1, 0)</f>
        <v/>
      </c>
      <c r="AC635" s="15">
        <f>N635^2</f>
        <v/>
      </c>
      <c r="AD635" s="15">
        <f>ABS(N635)</f>
        <v/>
      </c>
      <c r="AE635" s="15">
        <f>IF(M635&gt;0, ABS(N635)*(L635-$D$16),0)</f>
        <v/>
      </c>
    </row>
    <row r="636">
      <c r="L636" s="15" t="n">
        <v>634</v>
      </c>
      <c r="M636" s="15">
        <f>IF(L636&lt;$D$16,$D$12,IF(L636&lt;$E$16,$E$12,$F$13))</f>
        <v/>
      </c>
      <c r="N636" s="15">
        <f>M636-V636</f>
        <v/>
      </c>
      <c r="O636" s="15">
        <f>IF(MOD(L636,$B$11)=0,OFFSET(O636,-$B$11,0)+ $E$2*N636+$E$3*OFFSET(N636,-$B$11,0)+ $E$4*OFFSET(N636,-2* $B$11,0), O635)</f>
        <v/>
      </c>
      <c r="P636" s="15">
        <f>INT((2^$J$12-1)*O636/100)/(2^$J$12-1)*100</f>
        <v/>
      </c>
      <c r="Q636" s="15" t="n">
        <v>0</v>
      </c>
      <c r="R636" s="15">
        <f>P636+Q636</f>
        <v/>
      </c>
      <c r="S636" s="15">
        <f>$I$1*S635-$I$2*S634+$I$3*R615+$I$4*R614</f>
        <v/>
      </c>
      <c r="T636" s="15" t="n">
        <v>0</v>
      </c>
      <c r="U636" s="15">
        <f>S636+T636</f>
        <v/>
      </c>
      <c r="V636" s="15">
        <f>INT((2^$J$12-1)*U636/100)/(2^$J$12-1)*100</f>
        <v/>
      </c>
      <c r="X636" s="15">
        <f>M636 * 1.05</f>
        <v/>
      </c>
      <c r="Y636" s="15">
        <f>M636 * 0.95</f>
        <v/>
      </c>
      <c r="Z636" s="15">
        <f>IF(AND(V636 &lt;= X636, V636 &gt;= Y636), 1, 0)</f>
        <v/>
      </c>
      <c r="AC636" s="15">
        <f>N636^2</f>
        <v/>
      </c>
      <c r="AD636" s="15">
        <f>ABS(N636)</f>
        <v/>
      </c>
      <c r="AE636" s="15">
        <f>IF(M636&gt;0, ABS(N636)*(L636-$D$16),0)</f>
        <v/>
      </c>
    </row>
    <row r="637">
      <c r="L637" s="15" t="n">
        <v>635</v>
      </c>
      <c r="M637" s="15">
        <f>IF(L637&lt;$D$16,$D$12,IF(L637&lt;$E$16,$E$12,$F$13))</f>
        <v/>
      </c>
      <c r="N637" s="15">
        <f>M637-V637</f>
        <v/>
      </c>
      <c r="O637" s="15">
        <f>IF(MOD(L637,$B$11)=0,OFFSET(O637,-$B$11,0)+ $E$2*N637+$E$3*OFFSET(N637,-$B$11,0)+ $E$4*OFFSET(N637,-2* $B$11,0), O636)</f>
        <v/>
      </c>
      <c r="P637" s="15">
        <f>INT((2^$J$12-1)*O637/100)/(2^$J$12-1)*100</f>
        <v/>
      </c>
      <c r="Q637" s="15" t="n">
        <v>0</v>
      </c>
      <c r="R637" s="15">
        <f>P637+Q637</f>
        <v/>
      </c>
      <c r="S637" s="15">
        <f>$I$1*S636-$I$2*S635+$I$3*R616+$I$4*R615</f>
        <v/>
      </c>
      <c r="T637" s="15" t="n">
        <v>0</v>
      </c>
      <c r="U637" s="15">
        <f>S637+T637</f>
        <v/>
      </c>
      <c r="V637" s="15">
        <f>INT((2^$J$12-1)*U637/100)/(2^$J$12-1)*100</f>
        <v/>
      </c>
      <c r="X637" s="15">
        <f>M637 * 1.05</f>
        <v/>
      </c>
      <c r="Y637" s="15">
        <f>M637 * 0.95</f>
        <v/>
      </c>
      <c r="Z637" s="15">
        <f>IF(AND(V637 &lt;= X637, V637 &gt;= Y637), 1, 0)</f>
        <v/>
      </c>
      <c r="AC637" s="15">
        <f>N637^2</f>
        <v/>
      </c>
      <c r="AD637" s="15">
        <f>ABS(N637)</f>
        <v/>
      </c>
      <c r="AE637" s="15">
        <f>IF(M637&gt;0, ABS(N637)*(L637-$D$16),0)</f>
        <v/>
      </c>
    </row>
    <row r="638">
      <c r="L638" s="15" t="n">
        <v>636</v>
      </c>
      <c r="M638" s="15">
        <f>IF(L638&lt;$D$16,$D$12,IF(L638&lt;$E$16,$E$12,$F$13))</f>
        <v/>
      </c>
      <c r="N638" s="15">
        <f>M638-V638</f>
        <v/>
      </c>
      <c r="O638" s="15">
        <f>IF(MOD(L638,$B$11)=0,OFFSET(O638,-$B$11,0)+ $E$2*N638+$E$3*OFFSET(N638,-$B$11,0)+ $E$4*OFFSET(N638,-2* $B$11,0), O637)</f>
        <v/>
      </c>
      <c r="P638" s="15">
        <f>INT((2^$J$12-1)*O638/100)/(2^$J$12-1)*100</f>
        <v/>
      </c>
      <c r="Q638" s="15" t="n">
        <v>0</v>
      </c>
      <c r="R638" s="15">
        <f>P638+Q638</f>
        <v/>
      </c>
      <c r="S638" s="15">
        <f>$I$1*S637-$I$2*S636+$I$3*R617+$I$4*R616</f>
        <v/>
      </c>
      <c r="T638" s="15" t="n">
        <v>0</v>
      </c>
      <c r="U638" s="15">
        <f>S638+T638</f>
        <v/>
      </c>
      <c r="V638" s="15">
        <f>INT((2^$J$12-1)*U638/100)/(2^$J$12-1)*100</f>
        <v/>
      </c>
      <c r="X638" s="15">
        <f>M638 * 1.05</f>
        <v/>
      </c>
      <c r="Y638" s="15">
        <f>M638 * 0.95</f>
        <v/>
      </c>
      <c r="Z638" s="15">
        <f>IF(AND(V638 &lt;= X638, V638 &gt;= Y638), 1, 0)</f>
        <v/>
      </c>
      <c r="AC638" s="15">
        <f>N638^2</f>
        <v/>
      </c>
      <c r="AD638" s="15">
        <f>ABS(N638)</f>
        <v/>
      </c>
      <c r="AE638" s="15">
        <f>IF(M638&gt;0, ABS(N638)*(L638-$D$16),0)</f>
        <v/>
      </c>
    </row>
    <row r="639">
      <c r="L639" s="15" t="n">
        <v>637</v>
      </c>
      <c r="M639" s="15">
        <f>IF(L639&lt;$D$16,$D$12,IF(L639&lt;$E$16,$E$12,$F$13))</f>
        <v/>
      </c>
      <c r="N639" s="15">
        <f>M639-V639</f>
        <v/>
      </c>
      <c r="O639" s="15">
        <f>IF(MOD(L639,$B$11)=0,OFFSET(O639,-$B$11,0)+ $E$2*N639+$E$3*OFFSET(N639,-$B$11,0)+ $E$4*OFFSET(N639,-2* $B$11,0), O638)</f>
        <v/>
      </c>
      <c r="P639" s="15">
        <f>INT((2^$J$12-1)*O639/100)/(2^$J$12-1)*100</f>
        <v/>
      </c>
      <c r="Q639" s="15" t="n">
        <v>0</v>
      </c>
      <c r="R639" s="15">
        <f>P639+Q639</f>
        <v/>
      </c>
      <c r="S639" s="15">
        <f>$I$1*S638-$I$2*S637+$I$3*R618+$I$4*R617</f>
        <v/>
      </c>
      <c r="T639" s="15" t="n">
        <v>0</v>
      </c>
      <c r="U639" s="15">
        <f>S639+T639</f>
        <v/>
      </c>
      <c r="V639" s="15">
        <f>INT((2^$J$12-1)*U639/100)/(2^$J$12-1)*100</f>
        <v/>
      </c>
      <c r="X639" s="15">
        <f>M639 * 1.05</f>
        <v/>
      </c>
      <c r="Y639" s="15">
        <f>M639 * 0.95</f>
        <v/>
      </c>
      <c r="Z639" s="15">
        <f>IF(AND(V639 &lt;= X639, V639 &gt;= Y639), 1, 0)</f>
        <v/>
      </c>
      <c r="AC639" s="15">
        <f>N639^2</f>
        <v/>
      </c>
      <c r="AD639" s="15">
        <f>ABS(N639)</f>
        <v/>
      </c>
      <c r="AE639" s="15">
        <f>IF(M639&gt;0, ABS(N639)*(L639-$D$16),0)</f>
        <v/>
      </c>
    </row>
    <row r="640">
      <c r="L640" s="15" t="n">
        <v>638</v>
      </c>
      <c r="M640" s="15">
        <f>IF(L640&lt;$D$16,$D$12,IF(L640&lt;$E$16,$E$12,$F$13))</f>
        <v/>
      </c>
      <c r="N640" s="15">
        <f>M640-V640</f>
        <v/>
      </c>
      <c r="O640" s="15">
        <f>IF(MOD(L640,$B$11)=0,OFFSET(O640,-$B$11,0)+ $E$2*N640+$E$3*OFFSET(N640,-$B$11,0)+ $E$4*OFFSET(N640,-2* $B$11,0), O639)</f>
        <v/>
      </c>
      <c r="P640" s="15">
        <f>INT((2^$J$12-1)*O640/100)/(2^$J$12-1)*100</f>
        <v/>
      </c>
      <c r="Q640" s="15" t="n">
        <v>0</v>
      </c>
      <c r="R640" s="15">
        <f>P640+Q640</f>
        <v/>
      </c>
      <c r="S640" s="15">
        <f>$I$1*S639-$I$2*S638+$I$3*R619+$I$4*R618</f>
        <v/>
      </c>
      <c r="T640" s="15" t="n">
        <v>0</v>
      </c>
      <c r="U640" s="15">
        <f>S640+T640</f>
        <v/>
      </c>
      <c r="V640" s="15">
        <f>INT((2^$J$12-1)*U640/100)/(2^$J$12-1)*100</f>
        <v/>
      </c>
      <c r="X640" s="15">
        <f>M640 * 1.05</f>
        <v/>
      </c>
      <c r="Y640" s="15">
        <f>M640 * 0.95</f>
        <v/>
      </c>
      <c r="Z640" s="15">
        <f>IF(AND(V640 &lt;= X640, V640 &gt;= Y640), 1, 0)</f>
        <v/>
      </c>
      <c r="AC640" s="15">
        <f>N640^2</f>
        <v/>
      </c>
      <c r="AD640" s="15">
        <f>ABS(N640)</f>
        <v/>
      </c>
      <c r="AE640" s="15">
        <f>IF(M640&gt;0, ABS(N640)*(L640-$D$16),0)</f>
        <v/>
      </c>
    </row>
    <row r="641">
      <c r="L641" s="15" t="n">
        <v>639</v>
      </c>
      <c r="M641" s="15">
        <f>IF(L641&lt;$D$16,$D$12,IF(L641&lt;$E$16,$E$12,$F$13))</f>
        <v/>
      </c>
      <c r="N641" s="15">
        <f>M641-V641</f>
        <v/>
      </c>
      <c r="O641" s="15">
        <f>IF(MOD(L641,$B$11)=0,OFFSET(O641,-$B$11,0)+ $E$2*N641+$E$3*OFFSET(N641,-$B$11,0)+ $E$4*OFFSET(N641,-2* $B$11,0), O640)</f>
        <v/>
      </c>
      <c r="P641" s="15">
        <f>INT((2^$J$12-1)*O641/100)/(2^$J$12-1)*100</f>
        <v/>
      </c>
      <c r="Q641" s="15" t="n">
        <v>0</v>
      </c>
      <c r="R641" s="15">
        <f>P641+Q641</f>
        <v/>
      </c>
      <c r="S641" s="15">
        <f>$I$1*S640-$I$2*S639+$I$3*R620+$I$4*R619</f>
        <v/>
      </c>
      <c r="T641" s="15" t="n">
        <v>0</v>
      </c>
      <c r="U641" s="15">
        <f>S641+T641</f>
        <v/>
      </c>
      <c r="V641" s="15">
        <f>INT((2^$J$12-1)*U641/100)/(2^$J$12-1)*100</f>
        <v/>
      </c>
      <c r="X641" s="15">
        <f>M641 * 1.05</f>
        <v/>
      </c>
      <c r="Y641" s="15">
        <f>M641 * 0.95</f>
        <v/>
      </c>
      <c r="Z641" s="15">
        <f>IF(AND(V641 &lt;= X641, V641 &gt;= Y641), 1, 0)</f>
        <v/>
      </c>
      <c r="AC641" s="15">
        <f>N641^2</f>
        <v/>
      </c>
      <c r="AD641" s="15">
        <f>ABS(N641)</f>
        <v/>
      </c>
      <c r="AE641" s="15">
        <f>IF(M641&gt;0, ABS(N641)*(L641-$D$16),0)</f>
        <v/>
      </c>
    </row>
    <row r="642">
      <c r="L642" s="15" t="n">
        <v>640</v>
      </c>
      <c r="M642" s="15">
        <f>IF(L642&lt;$D$16,$D$12,IF(L642&lt;$E$16,$E$12,$F$13))</f>
        <v/>
      </c>
      <c r="N642" s="15">
        <f>M642-V642</f>
        <v/>
      </c>
      <c r="O642" s="15">
        <f>IF(MOD(L642,$B$11)=0,OFFSET(O642,-$B$11,0)+ $E$2*N642+$E$3*OFFSET(N642,-$B$11,0)+ $E$4*OFFSET(N642,-2* $B$11,0), O641)</f>
        <v/>
      </c>
      <c r="P642" s="15">
        <f>INT((2^$J$12-1)*O642/100)/(2^$J$12-1)*100</f>
        <v/>
      </c>
      <c r="Q642" s="15" t="n">
        <v>0</v>
      </c>
      <c r="R642" s="15">
        <f>P642+Q642</f>
        <v/>
      </c>
      <c r="S642" s="15">
        <f>$I$1*S641-$I$2*S640+$I$3*R621+$I$4*R620</f>
        <v/>
      </c>
      <c r="T642" s="15" t="n">
        <v>0</v>
      </c>
      <c r="U642" s="15">
        <f>S642+T642</f>
        <v/>
      </c>
      <c r="V642" s="15">
        <f>INT((2^$J$12-1)*U642/100)/(2^$J$12-1)*100</f>
        <v/>
      </c>
      <c r="X642" s="15">
        <f>M642 * 1.05</f>
        <v/>
      </c>
      <c r="Y642" s="15">
        <f>M642 * 0.95</f>
        <v/>
      </c>
      <c r="Z642" s="15">
        <f>IF(AND(V642 &lt;= X642, V642 &gt;= Y642), 1, 0)</f>
        <v/>
      </c>
      <c r="AC642" s="15">
        <f>N642^2</f>
        <v/>
      </c>
      <c r="AD642" s="15">
        <f>ABS(N642)</f>
        <v/>
      </c>
      <c r="AE642" s="15">
        <f>IF(M642&gt;0, ABS(N642)*(L642-$D$16),0)</f>
        <v/>
      </c>
    </row>
    <row r="643">
      <c r="L643" s="15" t="n">
        <v>641</v>
      </c>
      <c r="M643" s="15">
        <f>IF(L643&lt;$D$16,$D$12,IF(L643&lt;$E$16,$E$12,$F$13))</f>
        <v/>
      </c>
      <c r="N643" s="15">
        <f>M643-V643</f>
        <v/>
      </c>
      <c r="O643" s="15">
        <f>IF(MOD(L643,$B$11)=0,OFFSET(O643,-$B$11,0)+ $E$2*N643+$E$3*OFFSET(N643,-$B$11,0)+ $E$4*OFFSET(N643,-2* $B$11,0), O642)</f>
        <v/>
      </c>
      <c r="P643" s="15">
        <f>INT((2^$J$12-1)*O643/100)/(2^$J$12-1)*100</f>
        <v/>
      </c>
      <c r="Q643" s="15" t="n">
        <v>0</v>
      </c>
      <c r="R643" s="15">
        <f>P643+Q643</f>
        <v/>
      </c>
      <c r="S643" s="15">
        <f>$I$1*S642-$I$2*S641+$I$3*R622+$I$4*R621</f>
        <v/>
      </c>
      <c r="T643" s="15" t="n">
        <v>0</v>
      </c>
      <c r="U643" s="15">
        <f>S643+T643</f>
        <v/>
      </c>
      <c r="V643" s="15">
        <f>INT((2^$J$12-1)*U643/100)/(2^$J$12-1)*100</f>
        <v/>
      </c>
      <c r="X643" s="15">
        <f>M643 * 1.05</f>
        <v/>
      </c>
      <c r="Y643" s="15">
        <f>M643 * 0.95</f>
        <v/>
      </c>
      <c r="Z643" s="15">
        <f>IF(AND(V643 &lt;= X643, V643 &gt;= Y643), 1, 0)</f>
        <v/>
      </c>
      <c r="AC643" s="15">
        <f>N643^2</f>
        <v/>
      </c>
      <c r="AD643" s="15">
        <f>ABS(N643)</f>
        <v/>
      </c>
      <c r="AE643" s="15">
        <f>IF(M643&gt;0, ABS(N643)*(L643-$D$16),0)</f>
        <v/>
      </c>
    </row>
    <row r="644">
      <c r="L644" s="15" t="n">
        <v>642</v>
      </c>
      <c r="M644" s="15">
        <f>IF(L644&lt;$D$16,$D$12,IF(L644&lt;$E$16,$E$12,$F$13))</f>
        <v/>
      </c>
      <c r="N644" s="15">
        <f>M644-V644</f>
        <v/>
      </c>
      <c r="O644" s="15">
        <f>IF(MOD(L644,$B$11)=0,OFFSET(O644,-$B$11,0)+ $E$2*N644+$E$3*OFFSET(N644,-$B$11,0)+ $E$4*OFFSET(N644,-2* $B$11,0), O643)</f>
        <v/>
      </c>
      <c r="P644" s="15">
        <f>INT((2^$J$12-1)*O644/100)/(2^$J$12-1)*100</f>
        <v/>
      </c>
      <c r="Q644" s="15" t="n">
        <v>0</v>
      </c>
      <c r="R644" s="15">
        <f>P644+Q644</f>
        <v/>
      </c>
      <c r="S644" s="15">
        <f>$I$1*S643-$I$2*S642+$I$3*R623+$I$4*R622</f>
        <v/>
      </c>
      <c r="T644" s="15" t="n">
        <v>0</v>
      </c>
      <c r="U644" s="15">
        <f>S644+T644</f>
        <v/>
      </c>
      <c r="V644" s="15">
        <f>INT((2^$J$12-1)*U644/100)/(2^$J$12-1)*100</f>
        <v/>
      </c>
      <c r="X644" s="15">
        <f>M644 * 1.05</f>
        <v/>
      </c>
      <c r="Y644" s="15">
        <f>M644 * 0.95</f>
        <v/>
      </c>
      <c r="Z644" s="15">
        <f>IF(AND(V644 &lt;= X644, V644 &gt;= Y644), 1, 0)</f>
        <v/>
      </c>
      <c r="AC644" s="15">
        <f>N644^2</f>
        <v/>
      </c>
      <c r="AD644" s="15">
        <f>ABS(N644)</f>
        <v/>
      </c>
      <c r="AE644" s="15">
        <f>IF(M644&gt;0, ABS(N644)*(L644-$D$16),0)</f>
        <v/>
      </c>
    </row>
    <row r="645">
      <c r="L645" s="15" t="n">
        <v>643</v>
      </c>
      <c r="M645" s="15">
        <f>IF(L645&lt;$D$16,$D$12,IF(L645&lt;$E$16,$E$12,$F$13))</f>
        <v/>
      </c>
      <c r="N645" s="15">
        <f>M645-V645</f>
        <v/>
      </c>
      <c r="O645" s="15">
        <f>IF(MOD(L645,$B$11)=0,OFFSET(O645,-$B$11,0)+ $E$2*N645+$E$3*OFFSET(N645,-$B$11,0)+ $E$4*OFFSET(N645,-2* $B$11,0), O644)</f>
        <v/>
      </c>
      <c r="P645" s="15">
        <f>INT((2^$J$12-1)*O645/100)/(2^$J$12-1)*100</f>
        <v/>
      </c>
      <c r="Q645" s="15" t="n">
        <v>0</v>
      </c>
      <c r="R645" s="15">
        <f>P645+Q645</f>
        <v/>
      </c>
      <c r="S645" s="15">
        <f>$I$1*S644-$I$2*S643+$I$3*R624+$I$4*R623</f>
        <v/>
      </c>
      <c r="T645" s="15" t="n">
        <v>0</v>
      </c>
      <c r="U645" s="15">
        <f>S645+T645</f>
        <v/>
      </c>
      <c r="V645" s="15">
        <f>INT((2^$J$12-1)*U645/100)/(2^$J$12-1)*100</f>
        <v/>
      </c>
      <c r="X645" s="15">
        <f>M645 * 1.05</f>
        <v/>
      </c>
      <c r="Y645" s="15">
        <f>M645 * 0.95</f>
        <v/>
      </c>
      <c r="Z645" s="15">
        <f>IF(AND(V645 &lt;= X645, V645 &gt;= Y645), 1, 0)</f>
        <v/>
      </c>
      <c r="AC645" s="15">
        <f>N645^2</f>
        <v/>
      </c>
      <c r="AD645" s="15">
        <f>ABS(N645)</f>
        <v/>
      </c>
      <c r="AE645" s="15">
        <f>IF(M645&gt;0, ABS(N645)*(L645-$D$16),0)</f>
        <v/>
      </c>
    </row>
    <row r="646">
      <c r="L646" s="15" t="n">
        <v>644</v>
      </c>
      <c r="M646" s="15">
        <f>IF(L646&lt;$D$16,$D$12,IF(L646&lt;$E$16,$E$12,$F$13))</f>
        <v/>
      </c>
      <c r="N646" s="15">
        <f>M646-V646</f>
        <v/>
      </c>
      <c r="O646" s="15">
        <f>IF(MOD(L646,$B$11)=0,OFFSET(O646,-$B$11,0)+ $E$2*N646+$E$3*OFFSET(N646,-$B$11,0)+ $E$4*OFFSET(N646,-2* $B$11,0), O645)</f>
        <v/>
      </c>
      <c r="P646" s="15">
        <f>INT((2^$J$12-1)*O646/100)/(2^$J$12-1)*100</f>
        <v/>
      </c>
      <c r="Q646" s="15" t="n">
        <v>0</v>
      </c>
      <c r="R646" s="15">
        <f>P646+Q646</f>
        <v/>
      </c>
      <c r="S646" s="15">
        <f>$I$1*S645-$I$2*S644+$I$3*R625+$I$4*R624</f>
        <v/>
      </c>
      <c r="T646" s="15" t="n">
        <v>0</v>
      </c>
      <c r="U646" s="15">
        <f>S646+T646</f>
        <v/>
      </c>
      <c r="V646" s="15">
        <f>INT((2^$J$12-1)*U646/100)/(2^$J$12-1)*100</f>
        <v/>
      </c>
      <c r="X646" s="15">
        <f>M646 * 1.05</f>
        <v/>
      </c>
      <c r="Y646" s="15">
        <f>M646 * 0.95</f>
        <v/>
      </c>
      <c r="Z646" s="15">
        <f>IF(AND(V646 &lt;= X646, V646 &gt;= Y646), 1, 0)</f>
        <v/>
      </c>
      <c r="AC646" s="15">
        <f>N646^2</f>
        <v/>
      </c>
      <c r="AD646" s="15">
        <f>ABS(N646)</f>
        <v/>
      </c>
      <c r="AE646" s="15">
        <f>IF(M646&gt;0, ABS(N646)*(L646-$D$16),0)</f>
        <v/>
      </c>
    </row>
    <row r="647">
      <c r="L647" s="15" t="n">
        <v>645</v>
      </c>
      <c r="M647" s="15">
        <f>IF(L647&lt;$D$16,$D$12,IF(L647&lt;$E$16,$E$12,$F$13))</f>
        <v/>
      </c>
      <c r="N647" s="15">
        <f>M647-V647</f>
        <v/>
      </c>
      <c r="O647" s="15">
        <f>IF(MOD(L647,$B$11)=0,OFFSET(O647,-$B$11,0)+ $E$2*N647+$E$3*OFFSET(N647,-$B$11,0)+ $E$4*OFFSET(N647,-2* $B$11,0), O646)</f>
        <v/>
      </c>
      <c r="P647" s="15">
        <f>INT((2^$J$12-1)*O647/100)/(2^$J$12-1)*100</f>
        <v/>
      </c>
      <c r="Q647" s="15" t="n">
        <v>0</v>
      </c>
      <c r="R647" s="15">
        <f>P647+Q647</f>
        <v/>
      </c>
      <c r="S647" s="15">
        <f>$I$1*S646-$I$2*S645+$I$3*R626+$I$4*R625</f>
        <v/>
      </c>
      <c r="T647" s="15" t="n">
        <v>0</v>
      </c>
      <c r="U647" s="15">
        <f>S647+T647</f>
        <v/>
      </c>
      <c r="V647" s="15">
        <f>INT((2^$J$12-1)*U647/100)/(2^$J$12-1)*100</f>
        <v/>
      </c>
      <c r="X647" s="15">
        <f>M647 * 1.05</f>
        <v/>
      </c>
      <c r="Y647" s="15">
        <f>M647 * 0.95</f>
        <v/>
      </c>
      <c r="Z647" s="15">
        <f>IF(AND(V647 &lt;= X647, V647 &gt;= Y647), 1, 0)</f>
        <v/>
      </c>
      <c r="AC647" s="15">
        <f>N647^2</f>
        <v/>
      </c>
      <c r="AD647" s="15">
        <f>ABS(N647)</f>
        <v/>
      </c>
      <c r="AE647" s="15">
        <f>IF(M647&gt;0, ABS(N647)*(L647-$D$16),0)</f>
        <v/>
      </c>
    </row>
    <row r="648">
      <c r="L648" s="15" t="n">
        <v>646</v>
      </c>
      <c r="M648" s="15">
        <f>IF(L648&lt;$D$16,$D$12,IF(L648&lt;$E$16,$E$12,$F$13))</f>
        <v/>
      </c>
      <c r="N648" s="15">
        <f>M648-V648</f>
        <v/>
      </c>
      <c r="O648" s="15">
        <f>IF(MOD(L648,$B$11)=0,OFFSET(O648,-$B$11,0)+ $E$2*N648+$E$3*OFFSET(N648,-$B$11,0)+ $E$4*OFFSET(N648,-2* $B$11,0), O647)</f>
        <v/>
      </c>
      <c r="P648" s="15">
        <f>INT((2^$J$12-1)*O648/100)/(2^$J$12-1)*100</f>
        <v/>
      </c>
      <c r="Q648" s="15" t="n">
        <v>0</v>
      </c>
      <c r="R648" s="15">
        <f>P648+Q648</f>
        <v/>
      </c>
      <c r="S648" s="15">
        <f>$I$1*S647-$I$2*S646+$I$3*R627+$I$4*R626</f>
        <v/>
      </c>
      <c r="T648" s="15" t="n">
        <v>0</v>
      </c>
      <c r="U648" s="15">
        <f>S648+T648</f>
        <v/>
      </c>
      <c r="V648" s="15">
        <f>INT((2^$J$12-1)*U648/100)/(2^$J$12-1)*100</f>
        <v/>
      </c>
      <c r="X648" s="15">
        <f>M648 * 1.05</f>
        <v/>
      </c>
      <c r="Y648" s="15">
        <f>M648 * 0.95</f>
        <v/>
      </c>
      <c r="Z648" s="15">
        <f>IF(AND(V648 &lt;= X648, V648 &gt;= Y648), 1, 0)</f>
        <v/>
      </c>
      <c r="AC648" s="15">
        <f>N648^2</f>
        <v/>
      </c>
      <c r="AD648" s="15">
        <f>ABS(N648)</f>
        <v/>
      </c>
      <c r="AE648" s="15">
        <f>IF(M648&gt;0, ABS(N648)*(L648-$D$16),0)</f>
        <v/>
      </c>
    </row>
    <row r="649">
      <c r="L649" s="15" t="n">
        <v>647</v>
      </c>
      <c r="M649" s="15">
        <f>IF(L649&lt;$D$16,$D$12,IF(L649&lt;$E$16,$E$12,$F$13))</f>
        <v/>
      </c>
      <c r="N649" s="15">
        <f>M649-V649</f>
        <v/>
      </c>
      <c r="O649" s="15">
        <f>IF(MOD(L649,$B$11)=0,OFFSET(O649,-$B$11,0)+ $E$2*N649+$E$3*OFFSET(N649,-$B$11,0)+ $E$4*OFFSET(N649,-2* $B$11,0), O648)</f>
        <v/>
      </c>
      <c r="P649" s="15">
        <f>INT((2^$J$12-1)*O649/100)/(2^$J$12-1)*100</f>
        <v/>
      </c>
      <c r="Q649" s="15" t="n">
        <v>0</v>
      </c>
      <c r="R649" s="15">
        <f>P649+Q649</f>
        <v/>
      </c>
      <c r="S649" s="15">
        <f>$I$1*S648-$I$2*S647+$I$3*R628+$I$4*R627</f>
        <v/>
      </c>
      <c r="T649" s="15" t="n">
        <v>0</v>
      </c>
      <c r="U649" s="15">
        <f>S649+T649</f>
        <v/>
      </c>
      <c r="V649" s="15">
        <f>INT((2^$J$12-1)*U649/100)/(2^$J$12-1)*100</f>
        <v/>
      </c>
      <c r="X649" s="15">
        <f>M649 * 1.05</f>
        <v/>
      </c>
      <c r="Y649" s="15">
        <f>M649 * 0.95</f>
        <v/>
      </c>
      <c r="Z649" s="15">
        <f>IF(AND(V649 &lt;= X649, V649 &gt;= Y649), 1, 0)</f>
        <v/>
      </c>
      <c r="AC649" s="15">
        <f>N649^2</f>
        <v/>
      </c>
      <c r="AD649" s="15">
        <f>ABS(N649)</f>
        <v/>
      </c>
      <c r="AE649" s="15">
        <f>IF(M649&gt;0, ABS(N649)*(L649-$D$16),0)</f>
        <v/>
      </c>
    </row>
    <row r="650">
      <c r="L650" s="15" t="n">
        <v>648</v>
      </c>
      <c r="M650" s="15">
        <f>IF(L650&lt;$D$16,$D$12,IF(L650&lt;$E$16,$E$12,$F$13))</f>
        <v/>
      </c>
      <c r="N650" s="15">
        <f>M650-V650</f>
        <v/>
      </c>
      <c r="O650" s="15">
        <f>IF(MOD(L650,$B$11)=0,OFFSET(O650,-$B$11,0)+ $E$2*N650+$E$3*OFFSET(N650,-$B$11,0)+ $E$4*OFFSET(N650,-2* $B$11,0), O649)</f>
        <v/>
      </c>
      <c r="P650" s="15">
        <f>INT((2^$J$12-1)*O650/100)/(2^$J$12-1)*100</f>
        <v/>
      </c>
      <c r="Q650" s="15" t="n">
        <v>0</v>
      </c>
      <c r="R650" s="15">
        <f>P650+Q650</f>
        <v/>
      </c>
      <c r="S650" s="15">
        <f>$I$1*S649-$I$2*S648+$I$3*R629+$I$4*R628</f>
        <v/>
      </c>
      <c r="T650" s="15" t="n">
        <v>0</v>
      </c>
      <c r="U650" s="15">
        <f>S650+T650</f>
        <v/>
      </c>
      <c r="V650" s="15">
        <f>INT((2^$J$12-1)*U650/100)/(2^$J$12-1)*100</f>
        <v/>
      </c>
      <c r="X650" s="15">
        <f>M650 * 1.05</f>
        <v/>
      </c>
      <c r="Y650" s="15">
        <f>M650 * 0.95</f>
        <v/>
      </c>
      <c r="Z650" s="15">
        <f>IF(AND(V650 &lt;= X650, V650 &gt;= Y650), 1, 0)</f>
        <v/>
      </c>
      <c r="AC650" s="15">
        <f>N650^2</f>
        <v/>
      </c>
      <c r="AD650" s="15">
        <f>ABS(N650)</f>
        <v/>
      </c>
      <c r="AE650" s="15">
        <f>IF(M650&gt;0, ABS(N650)*(L650-$D$16),0)</f>
        <v/>
      </c>
    </row>
    <row r="651">
      <c r="L651" s="15" t="n">
        <v>649</v>
      </c>
      <c r="M651" s="15">
        <f>IF(L651&lt;$D$16,$D$12,IF(L651&lt;$E$16,$E$12,$F$13))</f>
        <v/>
      </c>
      <c r="N651" s="15">
        <f>M651-V651</f>
        <v/>
      </c>
      <c r="O651" s="15">
        <f>IF(MOD(L651,$B$11)=0,OFFSET(O651,-$B$11,0)+ $E$2*N651+$E$3*OFFSET(N651,-$B$11,0)+ $E$4*OFFSET(N651,-2* $B$11,0), O650)</f>
        <v/>
      </c>
      <c r="P651" s="15">
        <f>INT((2^$J$12-1)*O651/100)/(2^$J$12-1)*100</f>
        <v/>
      </c>
      <c r="Q651" s="15" t="n">
        <v>0</v>
      </c>
      <c r="R651" s="15">
        <f>P651+Q651</f>
        <v/>
      </c>
      <c r="S651" s="15">
        <f>$I$1*S650-$I$2*S649+$I$3*R630+$I$4*R629</f>
        <v/>
      </c>
      <c r="T651" s="15" t="n">
        <v>0</v>
      </c>
      <c r="U651" s="15">
        <f>S651+T651</f>
        <v/>
      </c>
      <c r="V651" s="15">
        <f>INT((2^$J$12-1)*U651/100)/(2^$J$12-1)*100</f>
        <v/>
      </c>
      <c r="X651" s="15">
        <f>M651 * 1.05</f>
        <v/>
      </c>
      <c r="Y651" s="15">
        <f>M651 * 0.95</f>
        <v/>
      </c>
      <c r="Z651" s="15">
        <f>IF(AND(V651 &lt;= X651, V651 &gt;= Y651), 1, 0)</f>
        <v/>
      </c>
      <c r="AC651" s="15">
        <f>N651^2</f>
        <v/>
      </c>
      <c r="AD651" s="15">
        <f>ABS(N651)</f>
        <v/>
      </c>
      <c r="AE651" s="15">
        <f>IF(M651&gt;0, ABS(N651)*(L651-$D$16),0)</f>
        <v/>
      </c>
    </row>
    <row r="652">
      <c r="L652" s="15" t="n">
        <v>650</v>
      </c>
      <c r="M652" s="15">
        <f>IF(L652&lt;$D$16,$D$12,IF(L652&lt;$E$16,$E$12,$F$13))</f>
        <v/>
      </c>
      <c r="N652" s="15">
        <f>M652-V652</f>
        <v/>
      </c>
      <c r="O652" s="15">
        <f>IF(MOD(L652,$B$11)=0,OFFSET(O652,-$B$11,0)+ $E$2*N652+$E$3*OFFSET(N652,-$B$11,0)+ $E$4*OFFSET(N652,-2* $B$11,0), O651)</f>
        <v/>
      </c>
      <c r="P652" s="15">
        <f>INT((2^$J$12-1)*O652/100)/(2^$J$12-1)*100</f>
        <v/>
      </c>
      <c r="Q652" s="15" t="n">
        <v>0</v>
      </c>
      <c r="R652" s="15">
        <f>P652+Q652</f>
        <v/>
      </c>
      <c r="S652" s="15">
        <f>$I$1*S651-$I$2*S650+$I$3*R631+$I$4*R630</f>
        <v/>
      </c>
      <c r="T652" s="15" t="n">
        <v>0</v>
      </c>
      <c r="U652" s="15">
        <f>S652+T652</f>
        <v/>
      </c>
      <c r="V652" s="15">
        <f>INT((2^$J$12-1)*U652/100)/(2^$J$12-1)*100</f>
        <v/>
      </c>
      <c r="X652" s="15">
        <f>M652 * 1.05</f>
        <v/>
      </c>
      <c r="Y652" s="15">
        <f>M652 * 0.95</f>
        <v/>
      </c>
      <c r="Z652" s="15">
        <f>IF(AND(V652 &lt;= X652, V652 &gt;= Y652), 1, 0)</f>
        <v/>
      </c>
      <c r="AC652" s="15">
        <f>N652^2</f>
        <v/>
      </c>
      <c r="AD652" s="15">
        <f>ABS(N652)</f>
        <v/>
      </c>
      <c r="AE652" s="15">
        <f>IF(M652&gt;0, ABS(N652)*(L652-$D$16),0)</f>
        <v/>
      </c>
    </row>
    <row r="653">
      <c r="L653" s="15" t="n">
        <v>651</v>
      </c>
      <c r="M653" s="15">
        <f>IF(L653&lt;$D$16,$D$12,IF(L653&lt;$E$16,$E$12,$F$13))</f>
        <v/>
      </c>
      <c r="N653" s="15">
        <f>M653-V653</f>
        <v/>
      </c>
      <c r="O653" s="15">
        <f>IF(MOD(L653,$B$11)=0,OFFSET(O653,-$B$11,0)+ $E$2*N653+$E$3*OFFSET(N653,-$B$11,0)+ $E$4*OFFSET(N653,-2* $B$11,0), O652)</f>
        <v/>
      </c>
      <c r="P653" s="15">
        <f>INT((2^$J$12-1)*O653/100)/(2^$J$12-1)*100</f>
        <v/>
      </c>
      <c r="Q653" s="15" t="n">
        <v>0</v>
      </c>
      <c r="R653" s="15">
        <f>P653+Q653</f>
        <v/>
      </c>
      <c r="S653" s="15">
        <f>$I$1*S652-$I$2*S651+$I$3*R632+$I$4*R631</f>
        <v/>
      </c>
      <c r="T653" s="15" t="n">
        <v>0</v>
      </c>
      <c r="U653" s="15">
        <f>S653+T653</f>
        <v/>
      </c>
      <c r="V653" s="15">
        <f>INT((2^$J$12-1)*U653/100)/(2^$J$12-1)*100</f>
        <v/>
      </c>
      <c r="X653" s="15">
        <f>M653 * 1.05</f>
        <v/>
      </c>
      <c r="Y653" s="15">
        <f>M653 * 0.95</f>
        <v/>
      </c>
      <c r="Z653" s="15">
        <f>IF(AND(V653 &lt;= X653, V653 &gt;= Y653), 1, 0)</f>
        <v/>
      </c>
      <c r="AC653" s="15">
        <f>N653^2</f>
        <v/>
      </c>
      <c r="AD653" s="15">
        <f>ABS(N653)</f>
        <v/>
      </c>
      <c r="AE653" s="15">
        <f>IF(M653&gt;0, ABS(N653)*(L653-$D$16),0)</f>
        <v/>
      </c>
    </row>
    <row r="654">
      <c r="L654" s="15" t="n">
        <v>652</v>
      </c>
      <c r="M654" s="15">
        <f>IF(L654&lt;$D$16,$D$12,IF(L654&lt;$E$16,$E$12,$F$13))</f>
        <v/>
      </c>
      <c r="N654" s="15">
        <f>M654-V654</f>
        <v/>
      </c>
      <c r="O654" s="15">
        <f>IF(MOD(L654,$B$11)=0,OFFSET(O654,-$B$11,0)+ $E$2*N654+$E$3*OFFSET(N654,-$B$11,0)+ $E$4*OFFSET(N654,-2* $B$11,0), O653)</f>
        <v/>
      </c>
      <c r="P654" s="15">
        <f>INT((2^$J$12-1)*O654/100)/(2^$J$12-1)*100</f>
        <v/>
      </c>
      <c r="Q654" s="15" t="n">
        <v>0</v>
      </c>
      <c r="R654" s="15">
        <f>P654+Q654</f>
        <v/>
      </c>
      <c r="S654" s="15">
        <f>$I$1*S653-$I$2*S652+$I$3*R633+$I$4*R632</f>
        <v/>
      </c>
      <c r="T654" s="15" t="n">
        <v>0</v>
      </c>
      <c r="U654" s="15">
        <f>S654+T654</f>
        <v/>
      </c>
      <c r="V654" s="15">
        <f>INT((2^$J$12-1)*U654/100)/(2^$J$12-1)*100</f>
        <v/>
      </c>
      <c r="X654" s="15">
        <f>M654 * 1.05</f>
        <v/>
      </c>
      <c r="Y654" s="15">
        <f>M654 * 0.95</f>
        <v/>
      </c>
      <c r="Z654" s="15">
        <f>IF(AND(V654 &lt;= X654, V654 &gt;= Y654), 1, 0)</f>
        <v/>
      </c>
      <c r="AC654" s="15">
        <f>N654^2</f>
        <v/>
      </c>
      <c r="AD654" s="15">
        <f>ABS(N654)</f>
        <v/>
      </c>
      <c r="AE654" s="15">
        <f>IF(M654&gt;0, ABS(N654)*(L654-$D$16),0)</f>
        <v/>
      </c>
    </row>
    <row r="655">
      <c r="L655" s="15" t="n">
        <v>653</v>
      </c>
      <c r="M655" s="15">
        <f>IF(L655&lt;$D$16,$D$12,IF(L655&lt;$E$16,$E$12,$F$13))</f>
        <v/>
      </c>
      <c r="N655" s="15">
        <f>M655-V655</f>
        <v/>
      </c>
      <c r="O655" s="15">
        <f>IF(MOD(L655,$B$11)=0,OFFSET(O655,-$B$11,0)+ $E$2*N655+$E$3*OFFSET(N655,-$B$11,0)+ $E$4*OFFSET(N655,-2* $B$11,0), O654)</f>
        <v/>
      </c>
      <c r="P655" s="15">
        <f>INT((2^$J$12-1)*O655/100)/(2^$J$12-1)*100</f>
        <v/>
      </c>
      <c r="Q655" s="15" t="n">
        <v>0</v>
      </c>
      <c r="R655" s="15">
        <f>P655+Q655</f>
        <v/>
      </c>
      <c r="S655" s="15">
        <f>$I$1*S654-$I$2*S653+$I$3*R634+$I$4*R633</f>
        <v/>
      </c>
      <c r="T655" s="15" t="n">
        <v>0</v>
      </c>
      <c r="U655" s="15">
        <f>S655+T655</f>
        <v/>
      </c>
      <c r="V655" s="15">
        <f>INT((2^$J$12-1)*U655/100)/(2^$J$12-1)*100</f>
        <v/>
      </c>
      <c r="X655" s="15">
        <f>M655 * 1.05</f>
        <v/>
      </c>
      <c r="Y655" s="15">
        <f>M655 * 0.95</f>
        <v/>
      </c>
      <c r="Z655" s="15">
        <f>IF(AND(V655 &lt;= X655, V655 &gt;= Y655), 1, 0)</f>
        <v/>
      </c>
      <c r="AC655" s="15">
        <f>N655^2</f>
        <v/>
      </c>
      <c r="AD655" s="15">
        <f>ABS(N655)</f>
        <v/>
      </c>
      <c r="AE655" s="15">
        <f>IF(M655&gt;0, ABS(N655)*(L655-$D$16),0)</f>
        <v/>
      </c>
    </row>
    <row r="656">
      <c r="L656" s="15" t="n">
        <v>654</v>
      </c>
      <c r="M656" s="15">
        <f>IF(L656&lt;$D$16,$D$12,IF(L656&lt;$E$16,$E$12,$F$13))</f>
        <v/>
      </c>
      <c r="N656" s="15">
        <f>M656-V656</f>
        <v/>
      </c>
      <c r="O656" s="15">
        <f>IF(MOD(L656,$B$11)=0,OFFSET(O656,-$B$11,0)+ $E$2*N656+$E$3*OFFSET(N656,-$B$11,0)+ $E$4*OFFSET(N656,-2* $B$11,0), O655)</f>
        <v/>
      </c>
      <c r="P656" s="15">
        <f>INT((2^$J$12-1)*O656/100)/(2^$J$12-1)*100</f>
        <v/>
      </c>
      <c r="Q656" s="15" t="n">
        <v>0</v>
      </c>
      <c r="R656" s="15">
        <f>P656+Q656</f>
        <v/>
      </c>
      <c r="S656" s="15">
        <f>$I$1*S655-$I$2*S654+$I$3*R635+$I$4*R634</f>
        <v/>
      </c>
      <c r="T656" s="15" t="n">
        <v>0</v>
      </c>
      <c r="U656" s="15">
        <f>S656+T656</f>
        <v/>
      </c>
      <c r="V656" s="15">
        <f>INT((2^$J$12-1)*U656/100)/(2^$J$12-1)*100</f>
        <v/>
      </c>
      <c r="X656" s="15">
        <f>M656 * 1.05</f>
        <v/>
      </c>
      <c r="Y656" s="15">
        <f>M656 * 0.95</f>
        <v/>
      </c>
      <c r="Z656" s="15">
        <f>IF(AND(V656 &lt;= X656, V656 &gt;= Y656), 1, 0)</f>
        <v/>
      </c>
      <c r="AC656" s="15">
        <f>N656^2</f>
        <v/>
      </c>
      <c r="AD656" s="15">
        <f>ABS(N656)</f>
        <v/>
      </c>
      <c r="AE656" s="15">
        <f>IF(M656&gt;0, ABS(N656)*(L656-$D$16),0)</f>
        <v/>
      </c>
    </row>
    <row r="657">
      <c r="L657" s="15" t="n">
        <v>655</v>
      </c>
      <c r="M657" s="15">
        <f>IF(L657&lt;$D$16,$D$12,IF(L657&lt;$E$16,$E$12,$F$13))</f>
        <v/>
      </c>
      <c r="N657" s="15">
        <f>M657-V657</f>
        <v/>
      </c>
      <c r="O657" s="15">
        <f>IF(MOD(L657,$B$11)=0,OFFSET(O657,-$B$11,0)+ $E$2*N657+$E$3*OFFSET(N657,-$B$11,0)+ $E$4*OFFSET(N657,-2* $B$11,0), O656)</f>
        <v/>
      </c>
      <c r="P657" s="15">
        <f>INT((2^$J$12-1)*O657/100)/(2^$J$12-1)*100</f>
        <v/>
      </c>
      <c r="Q657" s="15" t="n">
        <v>0</v>
      </c>
      <c r="R657" s="15">
        <f>P657+Q657</f>
        <v/>
      </c>
      <c r="S657" s="15">
        <f>$I$1*S656-$I$2*S655+$I$3*R636+$I$4*R635</f>
        <v/>
      </c>
      <c r="T657" s="15" t="n">
        <v>0</v>
      </c>
      <c r="U657" s="15">
        <f>S657+T657</f>
        <v/>
      </c>
      <c r="V657" s="15">
        <f>INT((2^$J$12-1)*U657/100)/(2^$J$12-1)*100</f>
        <v/>
      </c>
      <c r="X657" s="15">
        <f>M657 * 1.05</f>
        <v/>
      </c>
      <c r="Y657" s="15">
        <f>M657 * 0.95</f>
        <v/>
      </c>
      <c r="Z657" s="15">
        <f>IF(AND(V657 &lt;= X657, V657 &gt;= Y657), 1, 0)</f>
        <v/>
      </c>
      <c r="AC657" s="15">
        <f>N657^2</f>
        <v/>
      </c>
      <c r="AD657" s="15">
        <f>ABS(N657)</f>
        <v/>
      </c>
      <c r="AE657" s="15">
        <f>IF(M657&gt;0, ABS(N657)*(L657-$D$16),0)</f>
        <v/>
      </c>
    </row>
    <row r="658">
      <c r="L658" s="15" t="n">
        <v>656</v>
      </c>
      <c r="M658" s="15">
        <f>IF(L658&lt;$D$16,$D$12,IF(L658&lt;$E$16,$E$12,$F$13))</f>
        <v/>
      </c>
      <c r="N658" s="15">
        <f>M658-V658</f>
        <v/>
      </c>
      <c r="O658" s="15">
        <f>IF(MOD(L658,$B$11)=0,OFFSET(O658,-$B$11,0)+ $E$2*N658+$E$3*OFFSET(N658,-$B$11,0)+ $E$4*OFFSET(N658,-2* $B$11,0), O657)</f>
        <v/>
      </c>
      <c r="P658" s="15">
        <f>INT((2^$J$12-1)*O658/100)/(2^$J$12-1)*100</f>
        <v/>
      </c>
      <c r="Q658" s="15" t="n">
        <v>0</v>
      </c>
      <c r="R658" s="15">
        <f>P658+Q658</f>
        <v/>
      </c>
      <c r="S658" s="15">
        <f>$I$1*S657-$I$2*S656+$I$3*R637+$I$4*R636</f>
        <v/>
      </c>
      <c r="T658" s="15" t="n">
        <v>0</v>
      </c>
      <c r="U658" s="15">
        <f>S658+T658</f>
        <v/>
      </c>
      <c r="V658" s="15">
        <f>INT((2^$J$12-1)*U658/100)/(2^$J$12-1)*100</f>
        <v/>
      </c>
      <c r="X658" s="15">
        <f>M658 * 1.05</f>
        <v/>
      </c>
      <c r="Y658" s="15">
        <f>M658 * 0.95</f>
        <v/>
      </c>
      <c r="Z658" s="15">
        <f>IF(AND(V658 &lt;= X658, V658 &gt;= Y658), 1, 0)</f>
        <v/>
      </c>
      <c r="AC658" s="15">
        <f>N658^2</f>
        <v/>
      </c>
      <c r="AD658" s="15">
        <f>ABS(N658)</f>
        <v/>
      </c>
      <c r="AE658" s="15">
        <f>IF(M658&gt;0, ABS(N658)*(L658-$D$16),0)</f>
        <v/>
      </c>
    </row>
    <row r="659">
      <c r="L659" s="15" t="n">
        <v>657</v>
      </c>
      <c r="M659" s="15">
        <f>IF(L659&lt;$D$16,$D$12,IF(L659&lt;$E$16,$E$12,$F$13))</f>
        <v/>
      </c>
      <c r="N659" s="15">
        <f>M659-V659</f>
        <v/>
      </c>
      <c r="O659" s="15">
        <f>IF(MOD(L659,$B$11)=0,OFFSET(O659,-$B$11,0)+ $E$2*N659+$E$3*OFFSET(N659,-$B$11,0)+ $E$4*OFFSET(N659,-2* $B$11,0), O658)</f>
        <v/>
      </c>
      <c r="P659" s="15">
        <f>INT((2^$J$12-1)*O659/100)/(2^$J$12-1)*100</f>
        <v/>
      </c>
      <c r="Q659" s="15" t="n">
        <v>0</v>
      </c>
      <c r="R659" s="15">
        <f>P659+Q659</f>
        <v/>
      </c>
      <c r="S659" s="15">
        <f>$I$1*S658-$I$2*S657+$I$3*R638+$I$4*R637</f>
        <v/>
      </c>
      <c r="T659" s="15" t="n">
        <v>0</v>
      </c>
      <c r="U659" s="15">
        <f>S659+T659</f>
        <v/>
      </c>
      <c r="V659" s="15">
        <f>INT((2^$J$12-1)*U659/100)/(2^$J$12-1)*100</f>
        <v/>
      </c>
      <c r="X659" s="15">
        <f>M659 * 1.05</f>
        <v/>
      </c>
      <c r="Y659" s="15">
        <f>M659 * 0.95</f>
        <v/>
      </c>
      <c r="Z659" s="15">
        <f>IF(AND(V659 &lt;= X659, V659 &gt;= Y659), 1, 0)</f>
        <v/>
      </c>
      <c r="AC659" s="15">
        <f>N659^2</f>
        <v/>
      </c>
      <c r="AD659" s="15">
        <f>ABS(N659)</f>
        <v/>
      </c>
      <c r="AE659" s="15">
        <f>IF(M659&gt;0, ABS(N659)*(L659-$D$16),0)</f>
        <v/>
      </c>
    </row>
    <row r="660">
      <c r="L660" s="15" t="n">
        <v>658</v>
      </c>
      <c r="M660" s="15">
        <f>IF(L660&lt;$D$16,$D$12,IF(L660&lt;$E$16,$E$12,$F$13))</f>
        <v/>
      </c>
      <c r="N660" s="15">
        <f>M660-V660</f>
        <v/>
      </c>
      <c r="O660" s="15">
        <f>IF(MOD(L660,$B$11)=0,OFFSET(O660,-$B$11,0)+ $E$2*N660+$E$3*OFFSET(N660,-$B$11,0)+ $E$4*OFFSET(N660,-2* $B$11,0), O659)</f>
        <v/>
      </c>
      <c r="P660" s="15">
        <f>INT((2^$J$12-1)*O660/100)/(2^$J$12-1)*100</f>
        <v/>
      </c>
      <c r="Q660" s="15" t="n">
        <v>0</v>
      </c>
      <c r="R660" s="15">
        <f>P660+Q660</f>
        <v/>
      </c>
      <c r="S660" s="15">
        <f>$I$1*S659-$I$2*S658+$I$3*R639+$I$4*R638</f>
        <v/>
      </c>
      <c r="T660" s="15" t="n">
        <v>0</v>
      </c>
      <c r="U660" s="15">
        <f>S660+T660</f>
        <v/>
      </c>
      <c r="V660" s="15">
        <f>INT((2^$J$12-1)*U660/100)/(2^$J$12-1)*100</f>
        <v/>
      </c>
      <c r="X660" s="15">
        <f>M660 * 1.05</f>
        <v/>
      </c>
      <c r="Y660" s="15">
        <f>M660 * 0.95</f>
        <v/>
      </c>
      <c r="Z660" s="15">
        <f>IF(AND(V660 &lt;= X660, V660 &gt;= Y660), 1, 0)</f>
        <v/>
      </c>
      <c r="AC660" s="15">
        <f>N660^2</f>
        <v/>
      </c>
      <c r="AD660" s="15">
        <f>ABS(N660)</f>
        <v/>
      </c>
      <c r="AE660" s="15">
        <f>IF(M660&gt;0, ABS(N660)*(L660-$D$16),0)</f>
        <v/>
      </c>
    </row>
    <row r="661">
      <c r="L661" s="15" t="n">
        <v>659</v>
      </c>
      <c r="M661" s="15">
        <f>IF(L661&lt;$D$16,$D$12,IF(L661&lt;$E$16,$E$12,$F$13))</f>
        <v/>
      </c>
      <c r="N661" s="15">
        <f>M661-V661</f>
        <v/>
      </c>
      <c r="O661" s="15">
        <f>IF(MOD(L661,$B$11)=0,OFFSET(O661,-$B$11,0)+ $E$2*N661+$E$3*OFFSET(N661,-$B$11,0)+ $E$4*OFFSET(N661,-2* $B$11,0), O660)</f>
        <v/>
      </c>
      <c r="P661" s="15">
        <f>INT((2^$J$12-1)*O661/100)/(2^$J$12-1)*100</f>
        <v/>
      </c>
      <c r="Q661" s="15" t="n">
        <v>0</v>
      </c>
      <c r="R661" s="15">
        <f>P661+Q661</f>
        <v/>
      </c>
      <c r="S661" s="15">
        <f>$I$1*S660-$I$2*S659+$I$3*R640+$I$4*R639</f>
        <v/>
      </c>
      <c r="T661" s="15" t="n">
        <v>0</v>
      </c>
      <c r="U661" s="15">
        <f>S661+T661</f>
        <v/>
      </c>
      <c r="V661" s="15">
        <f>INT((2^$J$12-1)*U661/100)/(2^$J$12-1)*100</f>
        <v/>
      </c>
      <c r="X661" s="15">
        <f>M661 * 1.05</f>
        <v/>
      </c>
      <c r="Y661" s="15">
        <f>M661 * 0.95</f>
        <v/>
      </c>
      <c r="Z661" s="15">
        <f>IF(AND(V661 &lt;= X661, V661 &gt;= Y661), 1, 0)</f>
        <v/>
      </c>
      <c r="AC661" s="15">
        <f>N661^2</f>
        <v/>
      </c>
      <c r="AD661" s="15">
        <f>ABS(N661)</f>
        <v/>
      </c>
      <c r="AE661" s="15">
        <f>IF(M661&gt;0, ABS(N661)*(L661-$D$16),0)</f>
        <v/>
      </c>
    </row>
    <row r="662">
      <c r="L662" s="15" t="n">
        <v>660</v>
      </c>
      <c r="M662" s="15">
        <f>IF(L662&lt;$D$16,$D$12,IF(L662&lt;$E$16,$E$12,$F$13))</f>
        <v/>
      </c>
      <c r="N662" s="15">
        <f>M662-V662</f>
        <v/>
      </c>
      <c r="O662" s="15">
        <f>IF(MOD(L662,$B$11)=0,OFFSET(O662,-$B$11,0)+ $E$2*N662+$E$3*OFFSET(N662,-$B$11,0)+ $E$4*OFFSET(N662,-2* $B$11,0), O661)</f>
        <v/>
      </c>
      <c r="P662" s="15">
        <f>INT((2^$J$12-1)*O662/100)/(2^$J$12-1)*100</f>
        <v/>
      </c>
      <c r="Q662" s="15" t="n">
        <v>0</v>
      </c>
      <c r="R662" s="15">
        <f>P662+Q662</f>
        <v/>
      </c>
      <c r="S662" s="15">
        <f>$I$1*S661-$I$2*S660+$I$3*R641+$I$4*R640</f>
        <v/>
      </c>
      <c r="T662" s="15" t="n">
        <v>0</v>
      </c>
      <c r="U662" s="15">
        <f>S662+T662</f>
        <v/>
      </c>
      <c r="V662" s="15">
        <f>INT((2^$J$12-1)*U662/100)/(2^$J$12-1)*100</f>
        <v/>
      </c>
      <c r="X662" s="15">
        <f>M662 * 1.05</f>
        <v/>
      </c>
      <c r="Y662" s="15">
        <f>M662 * 0.95</f>
        <v/>
      </c>
      <c r="Z662" s="15">
        <f>IF(AND(V662 &lt;= X662, V662 &gt;= Y662), 1, 0)</f>
        <v/>
      </c>
      <c r="AC662" s="15">
        <f>N662^2</f>
        <v/>
      </c>
      <c r="AD662" s="15">
        <f>ABS(N662)</f>
        <v/>
      </c>
      <c r="AE662" s="15">
        <f>IF(M662&gt;0, ABS(N662)*(L662-$D$16),0)</f>
        <v/>
      </c>
    </row>
    <row r="663">
      <c r="L663" s="15" t="n">
        <v>661</v>
      </c>
      <c r="M663" s="15">
        <f>IF(L663&lt;$D$16,$D$12,IF(L663&lt;$E$16,$E$12,$F$13))</f>
        <v/>
      </c>
      <c r="N663" s="15">
        <f>M663-V663</f>
        <v/>
      </c>
      <c r="O663" s="15">
        <f>IF(MOD(L663,$B$11)=0,OFFSET(O663,-$B$11,0)+ $E$2*N663+$E$3*OFFSET(N663,-$B$11,0)+ $E$4*OFFSET(N663,-2* $B$11,0), O662)</f>
        <v/>
      </c>
      <c r="P663" s="15">
        <f>INT((2^$J$12-1)*O663/100)/(2^$J$12-1)*100</f>
        <v/>
      </c>
      <c r="Q663" s="15" t="n">
        <v>0</v>
      </c>
      <c r="R663" s="15">
        <f>P663+Q663</f>
        <v/>
      </c>
      <c r="S663" s="15">
        <f>$I$1*S662-$I$2*S661+$I$3*R642+$I$4*R641</f>
        <v/>
      </c>
      <c r="T663" s="15" t="n">
        <v>0</v>
      </c>
      <c r="U663" s="15">
        <f>S663+T663</f>
        <v/>
      </c>
      <c r="V663" s="15">
        <f>INT((2^$J$12-1)*U663/100)/(2^$J$12-1)*100</f>
        <v/>
      </c>
      <c r="X663" s="15">
        <f>M663 * 1.05</f>
        <v/>
      </c>
      <c r="Y663" s="15">
        <f>M663 * 0.95</f>
        <v/>
      </c>
      <c r="Z663" s="15">
        <f>IF(AND(V663 &lt;= X663, V663 &gt;= Y663), 1, 0)</f>
        <v/>
      </c>
      <c r="AC663" s="15">
        <f>N663^2</f>
        <v/>
      </c>
      <c r="AD663" s="15">
        <f>ABS(N663)</f>
        <v/>
      </c>
      <c r="AE663" s="15">
        <f>IF(M663&gt;0, ABS(N663)*(L663-$D$16),0)</f>
        <v/>
      </c>
    </row>
    <row r="664">
      <c r="L664" s="15" t="n">
        <v>662</v>
      </c>
      <c r="M664" s="15">
        <f>IF(L664&lt;$D$16,$D$12,IF(L664&lt;$E$16,$E$12,$F$13))</f>
        <v/>
      </c>
      <c r="N664" s="15">
        <f>M664-V664</f>
        <v/>
      </c>
      <c r="O664" s="15">
        <f>IF(MOD(L664,$B$11)=0,OFFSET(O664,-$B$11,0)+ $E$2*N664+$E$3*OFFSET(N664,-$B$11,0)+ $E$4*OFFSET(N664,-2* $B$11,0), O663)</f>
        <v/>
      </c>
      <c r="P664" s="15">
        <f>INT((2^$J$12-1)*O664/100)/(2^$J$12-1)*100</f>
        <v/>
      </c>
      <c r="Q664" s="15" t="n">
        <v>0</v>
      </c>
      <c r="R664" s="15">
        <f>P664+Q664</f>
        <v/>
      </c>
      <c r="S664" s="15">
        <f>$I$1*S663-$I$2*S662+$I$3*R643+$I$4*R642</f>
        <v/>
      </c>
      <c r="T664" s="15" t="n">
        <v>0</v>
      </c>
      <c r="U664" s="15">
        <f>S664+T664</f>
        <v/>
      </c>
      <c r="V664" s="15">
        <f>INT((2^$J$12-1)*U664/100)/(2^$J$12-1)*100</f>
        <v/>
      </c>
      <c r="X664" s="15">
        <f>M664 * 1.05</f>
        <v/>
      </c>
      <c r="Y664" s="15">
        <f>M664 * 0.95</f>
        <v/>
      </c>
      <c r="Z664" s="15">
        <f>IF(AND(V664 &lt;= X664, V664 &gt;= Y664), 1, 0)</f>
        <v/>
      </c>
      <c r="AC664" s="15">
        <f>N664^2</f>
        <v/>
      </c>
      <c r="AD664" s="15">
        <f>ABS(N664)</f>
        <v/>
      </c>
      <c r="AE664" s="15">
        <f>IF(M664&gt;0, ABS(N664)*(L664-$D$16),0)</f>
        <v/>
      </c>
    </row>
    <row r="665">
      <c r="L665" s="15" t="n">
        <v>663</v>
      </c>
      <c r="M665" s="15">
        <f>IF(L665&lt;$D$16,$D$12,IF(L665&lt;$E$16,$E$12,$F$13))</f>
        <v/>
      </c>
      <c r="N665" s="15">
        <f>M665-V665</f>
        <v/>
      </c>
      <c r="O665" s="15">
        <f>IF(MOD(L665,$B$11)=0,OFFSET(O665,-$B$11,0)+ $E$2*N665+$E$3*OFFSET(N665,-$B$11,0)+ $E$4*OFFSET(N665,-2* $B$11,0), O664)</f>
        <v/>
      </c>
      <c r="P665" s="15">
        <f>INT((2^$J$12-1)*O665/100)/(2^$J$12-1)*100</f>
        <v/>
      </c>
      <c r="Q665" s="15" t="n">
        <v>0</v>
      </c>
      <c r="R665" s="15">
        <f>P665+Q665</f>
        <v/>
      </c>
      <c r="S665" s="15">
        <f>$I$1*S664-$I$2*S663+$I$3*R644+$I$4*R643</f>
        <v/>
      </c>
      <c r="T665" s="15" t="n">
        <v>0</v>
      </c>
      <c r="U665" s="15">
        <f>S665+T665</f>
        <v/>
      </c>
      <c r="V665" s="15">
        <f>INT((2^$J$12-1)*U665/100)/(2^$J$12-1)*100</f>
        <v/>
      </c>
      <c r="X665" s="15">
        <f>M665 * 1.05</f>
        <v/>
      </c>
      <c r="Y665" s="15">
        <f>M665 * 0.95</f>
        <v/>
      </c>
      <c r="Z665" s="15">
        <f>IF(AND(V665 &lt;= X665, V665 &gt;= Y665), 1, 0)</f>
        <v/>
      </c>
      <c r="AC665" s="15">
        <f>N665^2</f>
        <v/>
      </c>
      <c r="AD665" s="15">
        <f>ABS(N665)</f>
        <v/>
      </c>
      <c r="AE665" s="15">
        <f>IF(M665&gt;0, ABS(N665)*(L665-$D$16),0)</f>
        <v/>
      </c>
    </row>
    <row r="666">
      <c r="L666" s="15" t="n">
        <v>664</v>
      </c>
      <c r="M666" s="15">
        <f>IF(L666&lt;$D$16,$D$12,IF(L666&lt;$E$16,$E$12,$F$13))</f>
        <v/>
      </c>
      <c r="N666" s="15">
        <f>M666-V666</f>
        <v/>
      </c>
      <c r="O666" s="15">
        <f>IF(MOD(L666,$B$11)=0,OFFSET(O666,-$B$11,0)+ $E$2*N666+$E$3*OFFSET(N666,-$B$11,0)+ $E$4*OFFSET(N666,-2* $B$11,0), O665)</f>
        <v/>
      </c>
      <c r="P666" s="15">
        <f>INT((2^$J$12-1)*O666/100)/(2^$J$12-1)*100</f>
        <v/>
      </c>
      <c r="Q666" s="15" t="n">
        <v>0</v>
      </c>
      <c r="R666" s="15">
        <f>P666+Q666</f>
        <v/>
      </c>
      <c r="S666" s="15">
        <f>$I$1*S665-$I$2*S664+$I$3*R645+$I$4*R644</f>
        <v/>
      </c>
      <c r="T666" s="15" t="n">
        <v>0</v>
      </c>
      <c r="U666" s="15">
        <f>S666+T666</f>
        <v/>
      </c>
      <c r="V666" s="15">
        <f>INT((2^$J$12-1)*U666/100)/(2^$J$12-1)*100</f>
        <v/>
      </c>
      <c r="X666" s="15">
        <f>M666 * 1.05</f>
        <v/>
      </c>
      <c r="Y666" s="15">
        <f>M666 * 0.95</f>
        <v/>
      </c>
      <c r="Z666" s="15">
        <f>IF(AND(V666 &lt;= X666, V666 &gt;= Y666), 1, 0)</f>
        <v/>
      </c>
      <c r="AC666" s="15">
        <f>N666^2</f>
        <v/>
      </c>
      <c r="AD666" s="15">
        <f>ABS(N666)</f>
        <v/>
      </c>
      <c r="AE666" s="15">
        <f>IF(M666&gt;0, ABS(N666)*(L666-$D$16),0)</f>
        <v/>
      </c>
    </row>
    <row r="667">
      <c r="L667" s="15" t="n">
        <v>665</v>
      </c>
      <c r="M667" s="15">
        <f>IF(L667&lt;$D$16,$D$12,IF(L667&lt;$E$16,$E$12,$F$13))</f>
        <v/>
      </c>
      <c r="N667" s="15">
        <f>M667-V667</f>
        <v/>
      </c>
      <c r="O667" s="15">
        <f>IF(MOD(L667,$B$11)=0,OFFSET(O667,-$B$11,0)+ $E$2*N667+$E$3*OFFSET(N667,-$B$11,0)+ $E$4*OFFSET(N667,-2* $B$11,0), O666)</f>
        <v/>
      </c>
      <c r="P667" s="15">
        <f>INT((2^$J$12-1)*O667/100)/(2^$J$12-1)*100</f>
        <v/>
      </c>
      <c r="Q667" s="15" t="n">
        <v>0</v>
      </c>
      <c r="R667" s="15">
        <f>P667+Q667</f>
        <v/>
      </c>
      <c r="S667" s="15">
        <f>$I$1*S666-$I$2*S665+$I$3*R646+$I$4*R645</f>
        <v/>
      </c>
      <c r="T667" s="15" t="n">
        <v>0</v>
      </c>
      <c r="U667" s="15">
        <f>S667+T667</f>
        <v/>
      </c>
      <c r="V667" s="15">
        <f>INT((2^$J$12-1)*U667/100)/(2^$J$12-1)*100</f>
        <v/>
      </c>
      <c r="X667" s="15">
        <f>M667 * 1.05</f>
        <v/>
      </c>
      <c r="Y667" s="15">
        <f>M667 * 0.95</f>
        <v/>
      </c>
      <c r="Z667" s="15">
        <f>IF(AND(V667 &lt;= X667, V667 &gt;= Y667), 1, 0)</f>
        <v/>
      </c>
      <c r="AC667" s="15">
        <f>N667^2</f>
        <v/>
      </c>
      <c r="AD667" s="15">
        <f>ABS(N667)</f>
        <v/>
      </c>
      <c r="AE667" s="15">
        <f>IF(M667&gt;0, ABS(N667)*(L667-$D$16),0)</f>
        <v/>
      </c>
    </row>
    <row r="668">
      <c r="L668" s="15" t="n">
        <v>666</v>
      </c>
      <c r="M668" s="15">
        <f>IF(L668&lt;$D$16,$D$12,IF(L668&lt;$E$16,$E$12,$F$13))</f>
        <v/>
      </c>
      <c r="N668" s="15">
        <f>M668-V668</f>
        <v/>
      </c>
      <c r="O668" s="15">
        <f>IF(MOD(L668,$B$11)=0,OFFSET(O668,-$B$11,0)+ $E$2*N668+$E$3*OFFSET(N668,-$B$11,0)+ $E$4*OFFSET(N668,-2* $B$11,0), O667)</f>
        <v/>
      </c>
      <c r="P668" s="15">
        <f>INT((2^$J$12-1)*O668/100)/(2^$J$12-1)*100</f>
        <v/>
      </c>
      <c r="Q668" s="15" t="n">
        <v>0</v>
      </c>
      <c r="R668" s="15">
        <f>P668+Q668</f>
        <v/>
      </c>
      <c r="S668" s="15">
        <f>$I$1*S667-$I$2*S666+$I$3*R647+$I$4*R646</f>
        <v/>
      </c>
      <c r="T668" s="15" t="n">
        <v>0</v>
      </c>
      <c r="U668" s="15">
        <f>S668+T668</f>
        <v/>
      </c>
      <c r="V668" s="15">
        <f>INT((2^$J$12-1)*U668/100)/(2^$J$12-1)*100</f>
        <v/>
      </c>
      <c r="X668" s="15">
        <f>M668 * 1.05</f>
        <v/>
      </c>
      <c r="Y668" s="15">
        <f>M668 * 0.95</f>
        <v/>
      </c>
      <c r="Z668" s="15">
        <f>IF(AND(V668 &lt;= X668, V668 &gt;= Y668), 1, 0)</f>
        <v/>
      </c>
      <c r="AC668" s="15">
        <f>N668^2</f>
        <v/>
      </c>
      <c r="AD668" s="15">
        <f>ABS(N668)</f>
        <v/>
      </c>
      <c r="AE668" s="15">
        <f>IF(M668&gt;0, ABS(N668)*(L668-$D$16),0)</f>
        <v/>
      </c>
    </row>
    <row r="669">
      <c r="L669" s="15" t="n">
        <v>667</v>
      </c>
      <c r="M669" s="15">
        <f>IF(L669&lt;$D$16,$D$12,IF(L669&lt;$E$16,$E$12,$F$13))</f>
        <v/>
      </c>
      <c r="N669" s="15">
        <f>M669-V669</f>
        <v/>
      </c>
      <c r="O669" s="15">
        <f>IF(MOD(L669,$B$11)=0,OFFSET(O669,-$B$11,0)+ $E$2*N669+$E$3*OFFSET(N669,-$B$11,0)+ $E$4*OFFSET(N669,-2* $B$11,0), O668)</f>
        <v/>
      </c>
      <c r="P669" s="15">
        <f>INT((2^$J$12-1)*O669/100)/(2^$J$12-1)*100</f>
        <v/>
      </c>
      <c r="Q669" s="15" t="n">
        <v>0</v>
      </c>
      <c r="R669" s="15">
        <f>P669+Q669</f>
        <v/>
      </c>
      <c r="S669" s="15">
        <f>$I$1*S668-$I$2*S667+$I$3*R648+$I$4*R647</f>
        <v/>
      </c>
      <c r="T669" s="15" t="n">
        <v>0</v>
      </c>
      <c r="U669" s="15">
        <f>S669+T669</f>
        <v/>
      </c>
      <c r="V669" s="15">
        <f>INT((2^$J$12-1)*U669/100)/(2^$J$12-1)*100</f>
        <v/>
      </c>
      <c r="X669" s="15">
        <f>M669 * 1.05</f>
        <v/>
      </c>
      <c r="Y669" s="15">
        <f>M669 * 0.95</f>
        <v/>
      </c>
      <c r="Z669" s="15">
        <f>IF(AND(V669 &lt;= X669, V669 &gt;= Y669), 1, 0)</f>
        <v/>
      </c>
      <c r="AC669" s="15">
        <f>N669^2</f>
        <v/>
      </c>
      <c r="AD669" s="15">
        <f>ABS(N669)</f>
        <v/>
      </c>
      <c r="AE669" s="15">
        <f>IF(M669&gt;0, ABS(N669)*(L669-$D$16),0)</f>
        <v/>
      </c>
    </row>
    <row r="670">
      <c r="L670" s="15" t="n">
        <v>668</v>
      </c>
      <c r="M670" s="15">
        <f>IF(L670&lt;$D$16,$D$12,IF(L670&lt;$E$16,$E$12,$F$13))</f>
        <v/>
      </c>
      <c r="N670" s="15">
        <f>M670-V670</f>
        <v/>
      </c>
      <c r="O670" s="15">
        <f>IF(MOD(L670,$B$11)=0,OFFSET(O670,-$B$11,0)+ $E$2*N670+$E$3*OFFSET(N670,-$B$11,0)+ $E$4*OFFSET(N670,-2* $B$11,0), O669)</f>
        <v/>
      </c>
      <c r="P670" s="15">
        <f>INT((2^$J$12-1)*O670/100)/(2^$J$12-1)*100</f>
        <v/>
      </c>
      <c r="Q670" s="15" t="n">
        <v>0</v>
      </c>
      <c r="R670" s="15">
        <f>P670+Q670</f>
        <v/>
      </c>
      <c r="S670" s="15">
        <f>$I$1*S669-$I$2*S668+$I$3*R649+$I$4*R648</f>
        <v/>
      </c>
      <c r="T670" s="15" t="n">
        <v>0</v>
      </c>
      <c r="U670" s="15">
        <f>S670+T670</f>
        <v/>
      </c>
      <c r="V670" s="15">
        <f>INT((2^$J$12-1)*U670/100)/(2^$J$12-1)*100</f>
        <v/>
      </c>
      <c r="X670" s="15">
        <f>M670 * 1.05</f>
        <v/>
      </c>
      <c r="Y670" s="15">
        <f>M670 * 0.95</f>
        <v/>
      </c>
      <c r="Z670" s="15">
        <f>IF(AND(V670 &lt;= X670, V670 &gt;= Y670), 1, 0)</f>
        <v/>
      </c>
      <c r="AC670" s="15">
        <f>N670^2</f>
        <v/>
      </c>
      <c r="AD670" s="15">
        <f>ABS(N670)</f>
        <v/>
      </c>
      <c r="AE670" s="15">
        <f>IF(M670&gt;0, ABS(N670)*(L670-$D$16),0)</f>
        <v/>
      </c>
    </row>
    <row r="671">
      <c r="L671" s="15" t="n">
        <v>669</v>
      </c>
      <c r="M671" s="15">
        <f>IF(L671&lt;$D$16,$D$12,IF(L671&lt;$E$16,$E$12,$F$13))</f>
        <v/>
      </c>
      <c r="N671" s="15">
        <f>M671-V671</f>
        <v/>
      </c>
      <c r="O671" s="15">
        <f>IF(MOD(L671,$B$11)=0,OFFSET(O671,-$B$11,0)+ $E$2*N671+$E$3*OFFSET(N671,-$B$11,0)+ $E$4*OFFSET(N671,-2* $B$11,0), O670)</f>
        <v/>
      </c>
      <c r="P671" s="15">
        <f>INT((2^$J$12-1)*O671/100)/(2^$J$12-1)*100</f>
        <v/>
      </c>
      <c r="Q671" s="15" t="n">
        <v>0</v>
      </c>
      <c r="R671" s="15">
        <f>P671+Q671</f>
        <v/>
      </c>
      <c r="S671" s="15">
        <f>$I$1*S670-$I$2*S669+$I$3*R650+$I$4*R649</f>
        <v/>
      </c>
      <c r="T671" s="15" t="n">
        <v>0</v>
      </c>
      <c r="U671" s="15">
        <f>S671+T671</f>
        <v/>
      </c>
      <c r="V671" s="15">
        <f>INT((2^$J$12-1)*U671/100)/(2^$J$12-1)*100</f>
        <v/>
      </c>
      <c r="X671" s="15">
        <f>M671 * 1.05</f>
        <v/>
      </c>
      <c r="Y671" s="15">
        <f>M671 * 0.95</f>
        <v/>
      </c>
      <c r="Z671" s="15">
        <f>IF(AND(V671 &lt;= X671, V671 &gt;= Y671), 1, 0)</f>
        <v/>
      </c>
      <c r="AC671" s="15">
        <f>N671^2</f>
        <v/>
      </c>
      <c r="AD671" s="15">
        <f>ABS(N671)</f>
        <v/>
      </c>
      <c r="AE671" s="15">
        <f>IF(M671&gt;0, ABS(N671)*(L671-$D$16),0)</f>
        <v/>
      </c>
    </row>
    <row r="672">
      <c r="L672" s="15" t="n">
        <v>670</v>
      </c>
      <c r="M672" s="15">
        <f>IF(L672&lt;$D$16,$D$12,IF(L672&lt;$E$16,$E$12,$F$13))</f>
        <v/>
      </c>
      <c r="N672" s="15">
        <f>M672-V672</f>
        <v/>
      </c>
      <c r="O672" s="15">
        <f>IF(MOD(L672,$B$11)=0,OFFSET(O672,-$B$11,0)+ $E$2*N672+$E$3*OFFSET(N672,-$B$11,0)+ $E$4*OFFSET(N672,-2* $B$11,0), O671)</f>
        <v/>
      </c>
      <c r="P672" s="15">
        <f>INT((2^$J$12-1)*O672/100)/(2^$J$12-1)*100</f>
        <v/>
      </c>
      <c r="Q672" s="15" t="n">
        <v>0</v>
      </c>
      <c r="R672" s="15">
        <f>P672+Q672</f>
        <v/>
      </c>
      <c r="S672" s="15">
        <f>$I$1*S671-$I$2*S670+$I$3*R651+$I$4*R650</f>
        <v/>
      </c>
      <c r="T672" s="15" t="n">
        <v>0</v>
      </c>
      <c r="U672" s="15">
        <f>S672+T672</f>
        <v/>
      </c>
      <c r="V672" s="15">
        <f>INT((2^$J$12-1)*U672/100)/(2^$J$12-1)*100</f>
        <v/>
      </c>
      <c r="X672" s="15">
        <f>M672 * 1.05</f>
        <v/>
      </c>
      <c r="Y672" s="15">
        <f>M672 * 0.95</f>
        <v/>
      </c>
      <c r="Z672" s="15">
        <f>IF(AND(V672 &lt;= X672, V672 &gt;= Y672), 1, 0)</f>
        <v/>
      </c>
      <c r="AC672" s="15">
        <f>N672^2</f>
        <v/>
      </c>
      <c r="AD672" s="15">
        <f>ABS(N672)</f>
        <v/>
      </c>
      <c r="AE672" s="15">
        <f>IF(M672&gt;0, ABS(N672)*(L672-$D$16),0)</f>
        <v/>
      </c>
    </row>
    <row r="673">
      <c r="L673" s="15" t="n">
        <v>671</v>
      </c>
      <c r="M673" s="15">
        <f>IF(L673&lt;$D$16,$D$12,IF(L673&lt;$E$16,$E$12,$F$13))</f>
        <v/>
      </c>
      <c r="N673" s="15">
        <f>M673-V673</f>
        <v/>
      </c>
      <c r="O673" s="15">
        <f>IF(MOD(L673,$B$11)=0,OFFSET(O673,-$B$11,0)+ $E$2*N673+$E$3*OFFSET(N673,-$B$11,0)+ $E$4*OFFSET(N673,-2* $B$11,0), O672)</f>
        <v/>
      </c>
      <c r="P673" s="15">
        <f>INT((2^$J$12-1)*O673/100)/(2^$J$12-1)*100</f>
        <v/>
      </c>
      <c r="Q673" s="15" t="n">
        <v>0</v>
      </c>
      <c r="R673" s="15">
        <f>P673+Q673</f>
        <v/>
      </c>
      <c r="S673" s="15">
        <f>$I$1*S672-$I$2*S671+$I$3*R652+$I$4*R651</f>
        <v/>
      </c>
      <c r="T673" s="15" t="n">
        <v>0</v>
      </c>
      <c r="U673" s="15">
        <f>S673+T673</f>
        <v/>
      </c>
      <c r="V673" s="15">
        <f>INT((2^$J$12-1)*U673/100)/(2^$J$12-1)*100</f>
        <v/>
      </c>
      <c r="X673" s="15">
        <f>M673 * 1.05</f>
        <v/>
      </c>
      <c r="Y673" s="15">
        <f>M673 * 0.95</f>
        <v/>
      </c>
      <c r="Z673" s="15">
        <f>IF(AND(V673 &lt;= X673, V673 &gt;= Y673), 1, 0)</f>
        <v/>
      </c>
      <c r="AC673" s="15">
        <f>N673^2</f>
        <v/>
      </c>
      <c r="AD673" s="15">
        <f>ABS(N673)</f>
        <v/>
      </c>
      <c r="AE673" s="15">
        <f>IF(M673&gt;0, ABS(N673)*(L673-$D$16),0)</f>
        <v/>
      </c>
    </row>
    <row r="674">
      <c r="L674" s="15" t="n">
        <v>672</v>
      </c>
      <c r="M674" s="15">
        <f>IF(L674&lt;$D$16,$D$12,IF(L674&lt;$E$16,$E$12,$F$13))</f>
        <v/>
      </c>
      <c r="N674" s="15">
        <f>M674-V674</f>
        <v/>
      </c>
      <c r="O674" s="15">
        <f>IF(MOD(L674,$B$11)=0,OFFSET(O674,-$B$11,0)+ $E$2*N674+$E$3*OFFSET(N674,-$B$11,0)+ $E$4*OFFSET(N674,-2* $B$11,0), O673)</f>
        <v/>
      </c>
      <c r="P674" s="15">
        <f>INT((2^$J$12-1)*O674/100)/(2^$J$12-1)*100</f>
        <v/>
      </c>
      <c r="Q674" s="15" t="n">
        <v>0</v>
      </c>
      <c r="R674" s="15">
        <f>P674+Q674</f>
        <v/>
      </c>
      <c r="S674" s="15">
        <f>$I$1*S673-$I$2*S672+$I$3*R653+$I$4*R652</f>
        <v/>
      </c>
      <c r="T674" s="15" t="n">
        <v>0</v>
      </c>
      <c r="U674" s="15">
        <f>S674+T674</f>
        <v/>
      </c>
      <c r="V674" s="15">
        <f>INT((2^$J$12-1)*U674/100)/(2^$J$12-1)*100</f>
        <v/>
      </c>
      <c r="X674" s="15">
        <f>M674 * 1.05</f>
        <v/>
      </c>
      <c r="Y674" s="15">
        <f>M674 * 0.95</f>
        <v/>
      </c>
      <c r="Z674" s="15">
        <f>IF(AND(V674 &lt;= X674, V674 &gt;= Y674), 1, 0)</f>
        <v/>
      </c>
      <c r="AC674" s="15">
        <f>N674^2</f>
        <v/>
      </c>
      <c r="AD674" s="15">
        <f>ABS(N674)</f>
        <v/>
      </c>
      <c r="AE674" s="15">
        <f>IF(M674&gt;0, ABS(N674)*(L674-$D$16),0)</f>
        <v/>
      </c>
    </row>
    <row r="675">
      <c r="L675" s="15" t="n">
        <v>673</v>
      </c>
      <c r="M675" s="15">
        <f>IF(L675&lt;$D$16,$D$12,IF(L675&lt;$E$16,$E$12,$F$13))</f>
        <v/>
      </c>
      <c r="N675" s="15">
        <f>M675-V675</f>
        <v/>
      </c>
      <c r="O675" s="15">
        <f>IF(MOD(L675,$B$11)=0,OFFSET(O675,-$B$11,0)+ $E$2*N675+$E$3*OFFSET(N675,-$B$11,0)+ $E$4*OFFSET(N675,-2* $B$11,0), O674)</f>
        <v/>
      </c>
      <c r="P675" s="15">
        <f>INT((2^$J$12-1)*O675/100)/(2^$J$12-1)*100</f>
        <v/>
      </c>
      <c r="Q675" s="15" t="n">
        <v>0</v>
      </c>
      <c r="R675" s="15">
        <f>P675+Q675</f>
        <v/>
      </c>
      <c r="S675" s="15">
        <f>$I$1*S674-$I$2*S673+$I$3*R654+$I$4*R653</f>
        <v/>
      </c>
      <c r="T675" s="15" t="n">
        <v>0</v>
      </c>
      <c r="U675" s="15">
        <f>S675+T675</f>
        <v/>
      </c>
      <c r="V675" s="15">
        <f>INT((2^$J$12-1)*U675/100)/(2^$J$12-1)*100</f>
        <v/>
      </c>
      <c r="X675" s="15">
        <f>M675 * 1.05</f>
        <v/>
      </c>
      <c r="Y675" s="15">
        <f>M675 * 0.95</f>
        <v/>
      </c>
      <c r="Z675" s="15">
        <f>IF(AND(V675 &lt;= X675, V675 &gt;= Y675), 1, 0)</f>
        <v/>
      </c>
      <c r="AC675" s="15">
        <f>N675^2</f>
        <v/>
      </c>
      <c r="AD675" s="15">
        <f>ABS(N675)</f>
        <v/>
      </c>
      <c r="AE675" s="15">
        <f>IF(M675&gt;0, ABS(N675)*(L675-$D$16),0)</f>
        <v/>
      </c>
    </row>
    <row r="676">
      <c r="L676" s="15" t="n">
        <v>674</v>
      </c>
      <c r="M676" s="15">
        <f>IF(L676&lt;$D$16,$D$12,IF(L676&lt;$E$16,$E$12,$F$13))</f>
        <v/>
      </c>
      <c r="N676" s="15">
        <f>M676-V676</f>
        <v/>
      </c>
      <c r="O676" s="15">
        <f>IF(MOD(L676,$B$11)=0,OFFSET(O676,-$B$11,0)+ $E$2*N676+$E$3*OFFSET(N676,-$B$11,0)+ $E$4*OFFSET(N676,-2* $B$11,0), O675)</f>
        <v/>
      </c>
      <c r="P676" s="15">
        <f>INT((2^$J$12-1)*O676/100)/(2^$J$12-1)*100</f>
        <v/>
      </c>
      <c r="Q676" s="15" t="n">
        <v>0</v>
      </c>
      <c r="R676" s="15">
        <f>P676+Q676</f>
        <v/>
      </c>
      <c r="S676" s="15">
        <f>$I$1*S675-$I$2*S674+$I$3*R655+$I$4*R654</f>
        <v/>
      </c>
      <c r="T676" s="15" t="n">
        <v>0</v>
      </c>
      <c r="U676" s="15">
        <f>S676+T676</f>
        <v/>
      </c>
      <c r="V676" s="15">
        <f>INT((2^$J$12-1)*U676/100)/(2^$J$12-1)*100</f>
        <v/>
      </c>
      <c r="X676" s="15">
        <f>M676 * 1.05</f>
        <v/>
      </c>
      <c r="Y676" s="15">
        <f>M676 * 0.95</f>
        <v/>
      </c>
      <c r="Z676" s="15">
        <f>IF(AND(V676 &lt;= X676, V676 &gt;= Y676), 1, 0)</f>
        <v/>
      </c>
      <c r="AC676" s="15">
        <f>N676^2</f>
        <v/>
      </c>
      <c r="AD676" s="15">
        <f>ABS(N676)</f>
        <v/>
      </c>
      <c r="AE676" s="15">
        <f>IF(M676&gt;0, ABS(N676)*(L676-$D$16),0)</f>
        <v/>
      </c>
    </row>
    <row r="677">
      <c r="L677" s="15" t="n">
        <v>675</v>
      </c>
      <c r="M677" s="15">
        <f>IF(L677&lt;$D$16,$D$12,IF(L677&lt;$E$16,$E$12,$F$13))</f>
        <v/>
      </c>
      <c r="N677" s="15">
        <f>M677-V677</f>
        <v/>
      </c>
      <c r="O677" s="15">
        <f>IF(MOD(L677,$B$11)=0,OFFSET(O677,-$B$11,0)+ $E$2*N677+$E$3*OFFSET(N677,-$B$11,0)+ $E$4*OFFSET(N677,-2* $B$11,0), O676)</f>
        <v/>
      </c>
      <c r="P677" s="15">
        <f>INT((2^$J$12-1)*O677/100)/(2^$J$12-1)*100</f>
        <v/>
      </c>
      <c r="Q677" s="15" t="n">
        <v>0</v>
      </c>
      <c r="R677" s="15">
        <f>P677+Q677</f>
        <v/>
      </c>
      <c r="S677" s="15">
        <f>$I$1*S676-$I$2*S675+$I$3*R656+$I$4*R655</f>
        <v/>
      </c>
      <c r="T677" s="15" t="n">
        <v>0</v>
      </c>
      <c r="U677" s="15">
        <f>S677+T677</f>
        <v/>
      </c>
      <c r="V677" s="15">
        <f>INT((2^$J$12-1)*U677/100)/(2^$J$12-1)*100</f>
        <v/>
      </c>
      <c r="X677" s="15">
        <f>M677 * 1.05</f>
        <v/>
      </c>
      <c r="Y677" s="15">
        <f>M677 * 0.95</f>
        <v/>
      </c>
      <c r="Z677" s="15">
        <f>IF(AND(V677 &lt;= X677, V677 &gt;= Y677), 1, 0)</f>
        <v/>
      </c>
      <c r="AC677" s="15">
        <f>N677^2</f>
        <v/>
      </c>
      <c r="AD677" s="15">
        <f>ABS(N677)</f>
        <v/>
      </c>
      <c r="AE677" s="15">
        <f>IF(M677&gt;0, ABS(N677)*(L677-$D$16),0)</f>
        <v/>
      </c>
    </row>
    <row r="678">
      <c r="L678" s="15" t="n">
        <v>676</v>
      </c>
      <c r="M678" s="15">
        <f>IF(L678&lt;$D$16,$D$12,IF(L678&lt;$E$16,$E$12,$F$13))</f>
        <v/>
      </c>
      <c r="N678" s="15">
        <f>M678-V678</f>
        <v/>
      </c>
      <c r="O678" s="15">
        <f>IF(MOD(L678,$B$11)=0,OFFSET(O678,-$B$11,0)+ $E$2*N678+$E$3*OFFSET(N678,-$B$11,0)+ $E$4*OFFSET(N678,-2* $B$11,0), O677)</f>
        <v/>
      </c>
      <c r="P678" s="15">
        <f>INT((2^$J$12-1)*O678/100)/(2^$J$12-1)*100</f>
        <v/>
      </c>
      <c r="Q678" s="15" t="n">
        <v>0</v>
      </c>
      <c r="R678" s="15">
        <f>P678+Q678</f>
        <v/>
      </c>
      <c r="S678" s="15">
        <f>$I$1*S677-$I$2*S676+$I$3*R657+$I$4*R656</f>
        <v/>
      </c>
      <c r="T678" s="15" t="n">
        <v>0</v>
      </c>
      <c r="U678" s="15">
        <f>S678+T678</f>
        <v/>
      </c>
      <c r="V678" s="15">
        <f>INT((2^$J$12-1)*U678/100)/(2^$J$12-1)*100</f>
        <v/>
      </c>
      <c r="X678" s="15">
        <f>M678 * 1.05</f>
        <v/>
      </c>
      <c r="Y678" s="15">
        <f>M678 * 0.95</f>
        <v/>
      </c>
      <c r="Z678" s="15">
        <f>IF(AND(V678 &lt;= X678, V678 &gt;= Y678), 1, 0)</f>
        <v/>
      </c>
      <c r="AC678" s="15">
        <f>N678^2</f>
        <v/>
      </c>
      <c r="AD678" s="15">
        <f>ABS(N678)</f>
        <v/>
      </c>
      <c r="AE678" s="15">
        <f>IF(M678&gt;0, ABS(N678)*(L678-$D$16),0)</f>
        <v/>
      </c>
    </row>
    <row r="679">
      <c r="L679" s="15" t="n">
        <v>677</v>
      </c>
      <c r="M679" s="15">
        <f>IF(L679&lt;$D$16,$D$12,IF(L679&lt;$E$16,$E$12,$F$13))</f>
        <v/>
      </c>
      <c r="N679" s="15">
        <f>M679-V679</f>
        <v/>
      </c>
      <c r="O679" s="15">
        <f>IF(MOD(L679,$B$11)=0,OFFSET(O679,-$B$11,0)+ $E$2*N679+$E$3*OFFSET(N679,-$B$11,0)+ $E$4*OFFSET(N679,-2* $B$11,0), O678)</f>
        <v/>
      </c>
      <c r="P679" s="15">
        <f>INT((2^$J$12-1)*O679/100)/(2^$J$12-1)*100</f>
        <v/>
      </c>
      <c r="Q679" s="15" t="n">
        <v>0</v>
      </c>
      <c r="R679" s="15">
        <f>P679+Q679</f>
        <v/>
      </c>
      <c r="S679" s="15">
        <f>$I$1*S678-$I$2*S677+$I$3*R658+$I$4*R657</f>
        <v/>
      </c>
      <c r="T679" s="15" t="n">
        <v>0</v>
      </c>
      <c r="U679" s="15">
        <f>S679+T679</f>
        <v/>
      </c>
      <c r="V679" s="15">
        <f>INT((2^$J$12-1)*U679/100)/(2^$J$12-1)*100</f>
        <v/>
      </c>
      <c r="X679" s="15">
        <f>M679 * 1.05</f>
        <v/>
      </c>
      <c r="Y679" s="15">
        <f>M679 * 0.95</f>
        <v/>
      </c>
      <c r="Z679" s="15">
        <f>IF(AND(V679 &lt;= X679, V679 &gt;= Y679), 1, 0)</f>
        <v/>
      </c>
      <c r="AC679" s="15">
        <f>N679^2</f>
        <v/>
      </c>
      <c r="AD679" s="15">
        <f>ABS(N679)</f>
        <v/>
      </c>
      <c r="AE679" s="15">
        <f>IF(M679&gt;0, ABS(N679)*(L679-$D$16),0)</f>
        <v/>
      </c>
    </row>
    <row r="680">
      <c r="L680" s="15" t="n">
        <v>678</v>
      </c>
      <c r="M680" s="15">
        <f>IF(L680&lt;$D$16,$D$12,IF(L680&lt;$E$16,$E$12,$F$13))</f>
        <v/>
      </c>
      <c r="N680" s="15">
        <f>M680-V680</f>
        <v/>
      </c>
      <c r="O680" s="15">
        <f>IF(MOD(L680,$B$11)=0,OFFSET(O680,-$B$11,0)+ $E$2*N680+$E$3*OFFSET(N680,-$B$11,0)+ $E$4*OFFSET(N680,-2* $B$11,0), O679)</f>
        <v/>
      </c>
      <c r="P680" s="15">
        <f>INT((2^$J$12-1)*O680/100)/(2^$J$12-1)*100</f>
        <v/>
      </c>
      <c r="Q680" s="15" t="n">
        <v>0</v>
      </c>
      <c r="R680" s="15">
        <f>P680+Q680</f>
        <v/>
      </c>
      <c r="S680" s="15">
        <f>$I$1*S679-$I$2*S678+$I$3*R659+$I$4*R658</f>
        <v/>
      </c>
      <c r="T680" s="15" t="n">
        <v>0</v>
      </c>
      <c r="U680" s="15">
        <f>S680+T680</f>
        <v/>
      </c>
      <c r="V680" s="15">
        <f>INT((2^$J$12-1)*U680/100)/(2^$J$12-1)*100</f>
        <v/>
      </c>
      <c r="X680" s="15">
        <f>M680 * 1.05</f>
        <v/>
      </c>
      <c r="Y680" s="15">
        <f>M680 * 0.95</f>
        <v/>
      </c>
      <c r="Z680" s="15">
        <f>IF(AND(V680 &lt;= X680, V680 &gt;= Y680), 1, 0)</f>
        <v/>
      </c>
      <c r="AC680" s="15">
        <f>N680^2</f>
        <v/>
      </c>
      <c r="AD680" s="15">
        <f>ABS(N680)</f>
        <v/>
      </c>
      <c r="AE680" s="15">
        <f>IF(M680&gt;0, ABS(N680)*(L680-$D$16),0)</f>
        <v/>
      </c>
    </row>
    <row r="681">
      <c r="L681" s="15" t="n">
        <v>679</v>
      </c>
      <c r="M681" s="15">
        <f>IF(L681&lt;$D$16,$D$12,IF(L681&lt;$E$16,$E$12,$F$13))</f>
        <v/>
      </c>
      <c r="N681" s="15">
        <f>M681-V681</f>
        <v/>
      </c>
      <c r="O681" s="15">
        <f>IF(MOD(L681,$B$11)=0,OFFSET(O681,-$B$11,0)+ $E$2*N681+$E$3*OFFSET(N681,-$B$11,0)+ $E$4*OFFSET(N681,-2* $B$11,0), O680)</f>
        <v/>
      </c>
      <c r="P681" s="15">
        <f>INT((2^$J$12-1)*O681/100)/(2^$J$12-1)*100</f>
        <v/>
      </c>
      <c r="Q681" s="15" t="n">
        <v>0</v>
      </c>
      <c r="R681" s="15">
        <f>P681+Q681</f>
        <v/>
      </c>
      <c r="S681" s="15">
        <f>$I$1*S680-$I$2*S679+$I$3*R660+$I$4*R659</f>
        <v/>
      </c>
      <c r="T681" s="15" t="n">
        <v>0</v>
      </c>
      <c r="U681" s="15">
        <f>S681+T681</f>
        <v/>
      </c>
      <c r="V681" s="15">
        <f>INT((2^$J$12-1)*U681/100)/(2^$J$12-1)*100</f>
        <v/>
      </c>
      <c r="X681" s="15">
        <f>M681 * 1.05</f>
        <v/>
      </c>
      <c r="Y681" s="15">
        <f>M681 * 0.95</f>
        <v/>
      </c>
      <c r="Z681" s="15">
        <f>IF(AND(V681 &lt;= X681, V681 &gt;= Y681), 1, 0)</f>
        <v/>
      </c>
      <c r="AC681" s="15">
        <f>N681^2</f>
        <v/>
      </c>
      <c r="AD681" s="15">
        <f>ABS(N681)</f>
        <v/>
      </c>
      <c r="AE681" s="15">
        <f>IF(M681&gt;0, ABS(N681)*(L681-$D$16),0)</f>
        <v/>
      </c>
    </row>
    <row r="682">
      <c r="L682" s="15" t="n">
        <v>680</v>
      </c>
      <c r="M682" s="15">
        <f>IF(L682&lt;$D$16,$D$12,IF(L682&lt;$E$16,$E$12,$F$13))</f>
        <v/>
      </c>
      <c r="N682" s="15">
        <f>M682-V682</f>
        <v/>
      </c>
      <c r="O682" s="15">
        <f>IF(MOD(L682,$B$11)=0,OFFSET(O682,-$B$11,0)+ $E$2*N682+$E$3*OFFSET(N682,-$B$11,0)+ $E$4*OFFSET(N682,-2* $B$11,0), O681)</f>
        <v/>
      </c>
      <c r="P682" s="15">
        <f>INT((2^$J$12-1)*O682/100)/(2^$J$12-1)*100</f>
        <v/>
      </c>
      <c r="Q682" s="15" t="n">
        <v>0</v>
      </c>
      <c r="R682" s="15">
        <f>P682+Q682</f>
        <v/>
      </c>
      <c r="S682" s="15">
        <f>$I$1*S681-$I$2*S680+$I$3*R661+$I$4*R660</f>
        <v/>
      </c>
      <c r="T682" s="15" t="n">
        <v>0</v>
      </c>
      <c r="U682" s="15">
        <f>S682+T682</f>
        <v/>
      </c>
      <c r="V682" s="15">
        <f>INT((2^$J$12-1)*U682/100)/(2^$J$12-1)*100</f>
        <v/>
      </c>
      <c r="X682" s="15">
        <f>M682 * 1.05</f>
        <v/>
      </c>
      <c r="Y682" s="15">
        <f>M682 * 0.95</f>
        <v/>
      </c>
      <c r="Z682" s="15">
        <f>IF(AND(V682 &lt;= X682, V682 &gt;= Y682), 1, 0)</f>
        <v/>
      </c>
      <c r="AC682" s="15">
        <f>N682^2</f>
        <v/>
      </c>
      <c r="AD682" s="15">
        <f>ABS(N682)</f>
        <v/>
      </c>
      <c r="AE682" s="15">
        <f>IF(M682&gt;0, ABS(N682)*(L682-$D$16),0)</f>
        <v/>
      </c>
    </row>
    <row r="683">
      <c r="L683" s="15" t="n">
        <v>681</v>
      </c>
      <c r="M683" s="15">
        <f>IF(L683&lt;$D$16,$D$12,IF(L683&lt;$E$16,$E$12,$F$13))</f>
        <v/>
      </c>
      <c r="N683" s="15">
        <f>M683-V683</f>
        <v/>
      </c>
      <c r="O683" s="15">
        <f>IF(MOD(L683,$B$11)=0,OFFSET(O683,-$B$11,0)+ $E$2*N683+$E$3*OFFSET(N683,-$B$11,0)+ $E$4*OFFSET(N683,-2* $B$11,0), O682)</f>
        <v/>
      </c>
      <c r="P683" s="15">
        <f>INT((2^$J$12-1)*O683/100)/(2^$J$12-1)*100</f>
        <v/>
      </c>
      <c r="Q683" s="15" t="n">
        <v>0</v>
      </c>
      <c r="R683" s="15">
        <f>P683+Q683</f>
        <v/>
      </c>
      <c r="S683" s="15">
        <f>$I$1*S682-$I$2*S681+$I$3*R662+$I$4*R661</f>
        <v/>
      </c>
      <c r="T683" s="15" t="n">
        <v>0</v>
      </c>
      <c r="U683" s="15">
        <f>S683+T683</f>
        <v/>
      </c>
      <c r="V683" s="15">
        <f>INT((2^$J$12-1)*U683/100)/(2^$J$12-1)*100</f>
        <v/>
      </c>
      <c r="X683" s="15">
        <f>M683 * 1.05</f>
        <v/>
      </c>
      <c r="Y683" s="15">
        <f>M683 * 0.95</f>
        <v/>
      </c>
      <c r="Z683" s="15">
        <f>IF(AND(V683 &lt;= X683, V683 &gt;= Y683), 1, 0)</f>
        <v/>
      </c>
      <c r="AC683" s="15">
        <f>N683^2</f>
        <v/>
      </c>
      <c r="AD683" s="15">
        <f>ABS(N683)</f>
        <v/>
      </c>
      <c r="AE683" s="15">
        <f>IF(M683&gt;0, ABS(N683)*(L683-$D$16),0)</f>
        <v/>
      </c>
    </row>
    <row r="684">
      <c r="L684" s="15" t="n">
        <v>682</v>
      </c>
      <c r="M684" s="15">
        <f>IF(L684&lt;$D$16,$D$12,IF(L684&lt;$E$16,$E$12,$F$13))</f>
        <v/>
      </c>
      <c r="N684" s="15">
        <f>M684-V684</f>
        <v/>
      </c>
      <c r="O684" s="15">
        <f>IF(MOD(L684,$B$11)=0,OFFSET(O684,-$B$11,0)+ $E$2*N684+$E$3*OFFSET(N684,-$B$11,0)+ $E$4*OFFSET(N684,-2* $B$11,0), O683)</f>
        <v/>
      </c>
      <c r="P684" s="15">
        <f>INT((2^$J$12-1)*O684/100)/(2^$J$12-1)*100</f>
        <v/>
      </c>
      <c r="Q684" s="15" t="n">
        <v>0</v>
      </c>
      <c r="R684" s="15">
        <f>P684+Q684</f>
        <v/>
      </c>
      <c r="S684" s="15">
        <f>$I$1*S683-$I$2*S682+$I$3*R663+$I$4*R662</f>
        <v/>
      </c>
      <c r="T684" s="15" t="n">
        <v>0</v>
      </c>
      <c r="U684" s="15">
        <f>S684+T684</f>
        <v/>
      </c>
      <c r="V684" s="15">
        <f>INT((2^$J$12-1)*U684/100)/(2^$J$12-1)*100</f>
        <v/>
      </c>
      <c r="X684" s="15">
        <f>M684 * 1.05</f>
        <v/>
      </c>
      <c r="Y684" s="15">
        <f>M684 * 0.95</f>
        <v/>
      </c>
      <c r="Z684" s="15">
        <f>IF(AND(V684 &lt;= X684, V684 &gt;= Y684), 1, 0)</f>
        <v/>
      </c>
      <c r="AC684" s="15">
        <f>N684^2</f>
        <v/>
      </c>
      <c r="AD684" s="15">
        <f>ABS(N684)</f>
        <v/>
      </c>
      <c r="AE684" s="15">
        <f>IF(M684&gt;0, ABS(N684)*(L684-$D$16),0)</f>
        <v/>
      </c>
    </row>
    <row r="685">
      <c r="L685" s="15" t="n">
        <v>683</v>
      </c>
      <c r="M685" s="15">
        <f>IF(L685&lt;$D$16,$D$12,IF(L685&lt;$E$16,$E$12,$F$13))</f>
        <v/>
      </c>
      <c r="N685" s="15">
        <f>M685-V685</f>
        <v/>
      </c>
      <c r="O685" s="15">
        <f>IF(MOD(L685,$B$11)=0,OFFSET(O685,-$B$11,0)+ $E$2*N685+$E$3*OFFSET(N685,-$B$11,0)+ $E$4*OFFSET(N685,-2* $B$11,0), O684)</f>
        <v/>
      </c>
      <c r="P685" s="15">
        <f>INT((2^$J$12-1)*O685/100)/(2^$J$12-1)*100</f>
        <v/>
      </c>
      <c r="Q685" s="15" t="n">
        <v>0</v>
      </c>
      <c r="R685" s="15">
        <f>P685+Q685</f>
        <v/>
      </c>
      <c r="S685" s="15">
        <f>$I$1*S684-$I$2*S683+$I$3*R664+$I$4*R663</f>
        <v/>
      </c>
      <c r="T685" s="15" t="n">
        <v>0</v>
      </c>
      <c r="U685" s="15">
        <f>S685+T685</f>
        <v/>
      </c>
      <c r="V685" s="15">
        <f>INT((2^$J$12-1)*U685/100)/(2^$J$12-1)*100</f>
        <v/>
      </c>
      <c r="X685" s="15">
        <f>M685 * 1.05</f>
        <v/>
      </c>
      <c r="Y685" s="15">
        <f>M685 * 0.95</f>
        <v/>
      </c>
      <c r="Z685" s="15">
        <f>IF(AND(V685 &lt;= X685, V685 &gt;= Y685), 1, 0)</f>
        <v/>
      </c>
      <c r="AC685" s="15">
        <f>N685^2</f>
        <v/>
      </c>
      <c r="AD685" s="15">
        <f>ABS(N685)</f>
        <v/>
      </c>
      <c r="AE685" s="15">
        <f>IF(M685&gt;0, ABS(N685)*(L685-$D$16),0)</f>
        <v/>
      </c>
    </row>
    <row r="686">
      <c r="L686" s="15" t="n">
        <v>684</v>
      </c>
      <c r="M686" s="15">
        <f>IF(L686&lt;$D$16,$D$12,IF(L686&lt;$E$16,$E$12,$F$13))</f>
        <v/>
      </c>
      <c r="N686" s="15">
        <f>M686-V686</f>
        <v/>
      </c>
      <c r="O686" s="15">
        <f>IF(MOD(L686,$B$11)=0,OFFSET(O686,-$B$11,0)+ $E$2*N686+$E$3*OFFSET(N686,-$B$11,0)+ $E$4*OFFSET(N686,-2* $B$11,0), O685)</f>
        <v/>
      </c>
      <c r="P686" s="15">
        <f>INT((2^$J$12-1)*O686/100)/(2^$J$12-1)*100</f>
        <v/>
      </c>
      <c r="Q686" s="15" t="n">
        <v>0</v>
      </c>
      <c r="R686" s="15">
        <f>P686+Q686</f>
        <v/>
      </c>
      <c r="S686" s="15">
        <f>$I$1*S685-$I$2*S684+$I$3*R665+$I$4*R664</f>
        <v/>
      </c>
      <c r="T686" s="15" t="n">
        <v>0</v>
      </c>
      <c r="U686" s="15">
        <f>S686+T686</f>
        <v/>
      </c>
      <c r="V686" s="15">
        <f>INT((2^$J$12-1)*U686/100)/(2^$J$12-1)*100</f>
        <v/>
      </c>
      <c r="X686" s="15">
        <f>M686 * 1.05</f>
        <v/>
      </c>
      <c r="Y686" s="15">
        <f>M686 * 0.95</f>
        <v/>
      </c>
      <c r="Z686" s="15">
        <f>IF(AND(V686 &lt;= X686, V686 &gt;= Y686), 1, 0)</f>
        <v/>
      </c>
      <c r="AC686" s="15">
        <f>N686^2</f>
        <v/>
      </c>
      <c r="AD686" s="15">
        <f>ABS(N686)</f>
        <v/>
      </c>
      <c r="AE686" s="15">
        <f>IF(M686&gt;0, ABS(N686)*(L686-$D$16),0)</f>
        <v/>
      </c>
    </row>
    <row r="687">
      <c r="L687" s="15" t="n">
        <v>685</v>
      </c>
      <c r="M687" s="15">
        <f>IF(L687&lt;$D$16,$D$12,IF(L687&lt;$E$16,$E$12,$F$13))</f>
        <v/>
      </c>
      <c r="N687" s="15">
        <f>M687-V687</f>
        <v/>
      </c>
      <c r="O687" s="15">
        <f>IF(MOD(L687,$B$11)=0,OFFSET(O687,-$B$11,0)+ $E$2*N687+$E$3*OFFSET(N687,-$B$11,0)+ $E$4*OFFSET(N687,-2* $B$11,0), O686)</f>
        <v/>
      </c>
      <c r="P687" s="15">
        <f>INT((2^$J$12-1)*O687/100)/(2^$J$12-1)*100</f>
        <v/>
      </c>
      <c r="Q687" s="15" t="n">
        <v>0</v>
      </c>
      <c r="R687" s="15">
        <f>P687+Q687</f>
        <v/>
      </c>
      <c r="S687" s="15">
        <f>$I$1*S686-$I$2*S685+$I$3*R666+$I$4*R665</f>
        <v/>
      </c>
      <c r="T687" s="15" t="n">
        <v>0</v>
      </c>
      <c r="U687" s="15">
        <f>S687+T687</f>
        <v/>
      </c>
      <c r="V687" s="15">
        <f>INT((2^$J$12-1)*U687/100)/(2^$J$12-1)*100</f>
        <v/>
      </c>
      <c r="X687" s="15">
        <f>M687 * 1.05</f>
        <v/>
      </c>
      <c r="Y687" s="15">
        <f>M687 * 0.95</f>
        <v/>
      </c>
      <c r="Z687" s="15">
        <f>IF(AND(V687 &lt;= X687, V687 &gt;= Y687), 1, 0)</f>
        <v/>
      </c>
      <c r="AC687" s="15">
        <f>N687^2</f>
        <v/>
      </c>
      <c r="AD687" s="15">
        <f>ABS(N687)</f>
        <v/>
      </c>
      <c r="AE687" s="15">
        <f>IF(M687&gt;0, ABS(N687)*(L687-$D$16),0)</f>
        <v/>
      </c>
    </row>
    <row r="688">
      <c r="L688" s="15" t="n">
        <v>686</v>
      </c>
      <c r="M688" s="15">
        <f>IF(L688&lt;$D$16,$D$12,IF(L688&lt;$E$16,$E$12,$F$13))</f>
        <v/>
      </c>
      <c r="N688" s="15">
        <f>M688-V688</f>
        <v/>
      </c>
      <c r="O688" s="15">
        <f>IF(MOD(L688,$B$11)=0,OFFSET(O688,-$B$11,0)+ $E$2*N688+$E$3*OFFSET(N688,-$B$11,0)+ $E$4*OFFSET(N688,-2* $B$11,0), O687)</f>
        <v/>
      </c>
      <c r="P688" s="15">
        <f>INT((2^$J$12-1)*O688/100)/(2^$J$12-1)*100</f>
        <v/>
      </c>
      <c r="Q688" s="15" t="n">
        <v>0</v>
      </c>
      <c r="R688" s="15">
        <f>P688+Q688</f>
        <v/>
      </c>
      <c r="S688" s="15">
        <f>$I$1*S687-$I$2*S686+$I$3*R667+$I$4*R666</f>
        <v/>
      </c>
      <c r="T688" s="15" t="n">
        <v>0</v>
      </c>
      <c r="U688" s="15">
        <f>S688+T688</f>
        <v/>
      </c>
      <c r="V688" s="15">
        <f>INT((2^$J$12-1)*U688/100)/(2^$J$12-1)*100</f>
        <v/>
      </c>
      <c r="X688" s="15">
        <f>M688 * 1.05</f>
        <v/>
      </c>
      <c r="Y688" s="15">
        <f>M688 * 0.95</f>
        <v/>
      </c>
      <c r="Z688" s="15">
        <f>IF(AND(V688 &lt;= X688, V688 &gt;= Y688), 1, 0)</f>
        <v/>
      </c>
      <c r="AC688" s="15">
        <f>N688^2</f>
        <v/>
      </c>
      <c r="AD688" s="15">
        <f>ABS(N688)</f>
        <v/>
      </c>
      <c r="AE688" s="15">
        <f>IF(M688&gt;0, ABS(N688)*(L688-$D$16),0)</f>
        <v/>
      </c>
    </row>
    <row r="689">
      <c r="L689" s="15" t="n">
        <v>687</v>
      </c>
      <c r="M689" s="15">
        <f>IF(L689&lt;$D$16,$D$12,IF(L689&lt;$E$16,$E$12,$F$13))</f>
        <v/>
      </c>
      <c r="N689" s="15">
        <f>M689-V689</f>
        <v/>
      </c>
      <c r="O689" s="15">
        <f>IF(MOD(L689,$B$11)=0,OFFSET(O689,-$B$11,0)+ $E$2*N689+$E$3*OFFSET(N689,-$B$11,0)+ $E$4*OFFSET(N689,-2* $B$11,0), O688)</f>
        <v/>
      </c>
      <c r="P689" s="15">
        <f>INT((2^$J$12-1)*O689/100)/(2^$J$12-1)*100</f>
        <v/>
      </c>
      <c r="Q689" s="15" t="n">
        <v>0</v>
      </c>
      <c r="R689" s="15">
        <f>P689+Q689</f>
        <v/>
      </c>
      <c r="S689" s="15">
        <f>$I$1*S688-$I$2*S687+$I$3*R668+$I$4*R667</f>
        <v/>
      </c>
      <c r="T689" s="15" t="n">
        <v>0</v>
      </c>
      <c r="U689" s="15">
        <f>S689+T689</f>
        <v/>
      </c>
      <c r="V689" s="15">
        <f>INT((2^$J$12-1)*U689/100)/(2^$J$12-1)*100</f>
        <v/>
      </c>
      <c r="X689" s="15">
        <f>M689 * 1.05</f>
        <v/>
      </c>
      <c r="Y689" s="15">
        <f>M689 * 0.95</f>
        <v/>
      </c>
      <c r="Z689" s="15">
        <f>IF(AND(V689 &lt;= X689, V689 &gt;= Y689), 1, 0)</f>
        <v/>
      </c>
      <c r="AC689" s="15">
        <f>N689^2</f>
        <v/>
      </c>
      <c r="AD689" s="15">
        <f>ABS(N689)</f>
        <v/>
      </c>
      <c r="AE689" s="15">
        <f>IF(M689&gt;0, ABS(N689)*(L689-$D$16),0)</f>
        <v/>
      </c>
    </row>
    <row r="690">
      <c r="L690" s="15" t="n">
        <v>688</v>
      </c>
      <c r="M690" s="15">
        <f>IF(L690&lt;$D$16,$D$12,IF(L690&lt;$E$16,$E$12,$F$13))</f>
        <v/>
      </c>
      <c r="N690" s="15">
        <f>M690-V690</f>
        <v/>
      </c>
      <c r="O690" s="15">
        <f>IF(MOD(L690,$B$11)=0,OFFSET(O690,-$B$11,0)+ $E$2*N690+$E$3*OFFSET(N690,-$B$11,0)+ $E$4*OFFSET(N690,-2* $B$11,0), O689)</f>
        <v/>
      </c>
      <c r="P690" s="15">
        <f>INT((2^$J$12-1)*O690/100)/(2^$J$12-1)*100</f>
        <v/>
      </c>
      <c r="Q690" s="15" t="n">
        <v>0</v>
      </c>
      <c r="R690" s="15">
        <f>P690+Q690</f>
        <v/>
      </c>
      <c r="S690" s="15">
        <f>$I$1*S689-$I$2*S688+$I$3*R669+$I$4*R668</f>
        <v/>
      </c>
      <c r="T690" s="15" t="n">
        <v>0</v>
      </c>
      <c r="U690" s="15">
        <f>S690+T690</f>
        <v/>
      </c>
      <c r="V690" s="15">
        <f>INT((2^$J$12-1)*U690/100)/(2^$J$12-1)*100</f>
        <v/>
      </c>
      <c r="X690" s="15">
        <f>M690 * 1.05</f>
        <v/>
      </c>
      <c r="Y690" s="15">
        <f>M690 * 0.95</f>
        <v/>
      </c>
      <c r="Z690" s="15">
        <f>IF(AND(V690 &lt;= X690, V690 &gt;= Y690), 1, 0)</f>
        <v/>
      </c>
      <c r="AC690" s="15">
        <f>N690^2</f>
        <v/>
      </c>
      <c r="AD690" s="15">
        <f>ABS(N690)</f>
        <v/>
      </c>
      <c r="AE690" s="15">
        <f>IF(M690&gt;0, ABS(N690)*(L690-$D$16),0)</f>
        <v/>
      </c>
    </row>
    <row r="691">
      <c r="L691" s="15" t="n">
        <v>689</v>
      </c>
      <c r="M691" s="15">
        <f>IF(L691&lt;$D$16,$D$12,IF(L691&lt;$E$16,$E$12,$F$13))</f>
        <v/>
      </c>
      <c r="N691" s="15">
        <f>M691-V691</f>
        <v/>
      </c>
      <c r="O691" s="15">
        <f>IF(MOD(L691,$B$11)=0,OFFSET(O691,-$B$11,0)+ $E$2*N691+$E$3*OFFSET(N691,-$B$11,0)+ $E$4*OFFSET(N691,-2* $B$11,0), O690)</f>
        <v/>
      </c>
      <c r="P691" s="15">
        <f>INT((2^$J$12-1)*O691/100)/(2^$J$12-1)*100</f>
        <v/>
      </c>
      <c r="Q691" s="15" t="n">
        <v>0</v>
      </c>
      <c r="R691" s="15">
        <f>P691+Q691</f>
        <v/>
      </c>
      <c r="S691" s="15">
        <f>$I$1*S690-$I$2*S689+$I$3*R670+$I$4*R669</f>
        <v/>
      </c>
      <c r="T691" s="15" t="n">
        <v>0</v>
      </c>
      <c r="U691" s="15">
        <f>S691+T691</f>
        <v/>
      </c>
      <c r="V691" s="15">
        <f>INT((2^$J$12-1)*U691/100)/(2^$J$12-1)*100</f>
        <v/>
      </c>
      <c r="X691" s="15">
        <f>M691 * 1.05</f>
        <v/>
      </c>
      <c r="Y691" s="15">
        <f>M691 * 0.95</f>
        <v/>
      </c>
      <c r="Z691" s="15">
        <f>IF(AND(V691 &lt;= X691, V691 &gt;= Y691), 1, 0)</f>
        <v/>
      </c>
      <c r="AC691" s="15">
        <f>N691^2</f>
        <v/>
      </c>
      <c r="AD691" s="15">
        <f>ABS(N691)</f>
        <v/>
      </c>
      <c r="AE691" s="15">
        <f>IF(M691&gt;0, ABS(N691)*(L691-$D$16),0)</f>
        <v/>
      </c>
    </row>
    <row r="692">
      <c r="L692" s="15" t="n">
        <v>690</v>
      </c>
      <c r="M692" s="15">
        <f>IF(L692&lt;$D$16,$D$12,IF(L692&lt;$E$16,$E$12,$F$13))</f>
        <v/>
      </c>
      <c r="N692" s="15">
        <f>M692-V692</f>
        <v/>
      </c>
      <c r="O692" s="15">
        <f>IF(MOD(L692,$B$11)=0,OFFSET(O692,-$B$11,0)+ $E$2*N692+$E$3*OFFSET(N692,-$B$11,0)+ $E$4*OFFSET(N692,-2* $B$11,0), O691)</f>
        <v/>
      </c>
      <c r="P692" s="15">
        <f>INT((2^$J$12-1)*O692/100)/(2^$J$12-1)*100</f>
        <v/>
      </c>
      <c r="Q692" s="15" t="n">
        <v>0</v>
      </c>
      <c r="R692" s="15">
        <f>P692+Q692</f>
        <v/>
      </c>
      <c r="S692" s="15">
        <f>$I$1*S691-$I$2*S690+$I$3*R671+$I$4*R670</f>
        <v/>
      </c>
      <c r="T692" s="15" t="n">
        <v>0</v>
      </c>
      <c r="U692" s="15">
        <f>S692+T692</f>
        <v/>
      </c>
      <c r="V692" s="15">
        <f>INT((2^$J$12-1)*U692/100)/(2^$J$12-1)*100</f>
        <v/>
      </c>
      <c r="X692" s="15">
        <f>M692 * 1.05</f>
        <v/>
      </c>
      <c r="Y692" s="15">
        <f>M692 * 0.95</f>
        <v/>
      </c>
      <c r="Z692" s="15">
        <f>IF(AND(V692 &lt;= X692, V692 &gt;= Y692), 1, 0)</f>
        <v/>
      </c>
      <c r="AC692" s="15">
        <f>N692^2</f>
        <v/>
      </c>
      <c r="AD692" s="15">
        <f>ABS(N692)</f>
        <v/>
      </c>
      <c r="AE692" s="15">
        <f>IF(M692&gt;0, ABS(N692)*(L692-$D$16),0)</f>
        <v/>
      </c>
    </row>
    <row r="693">
      <c r="L693" s="15" t="n">
        <v>691</v>
      </c>
      <c r="M693" s="15">
        <f>IF(L693&lt;$D$16,$D$12,IF(L693&lt;$E$16,$E$12,$F$13))</f>
        <v/>
      </c>
      <c r="N693" s="15">
        <f>M693-V693</f>
        <v/>
      </c>
      <c r="O693" s="15">
        <f>IF(MOD(L693,$B$11)=0,OFFSET(O693,-$B$11,0)+ $E$2*N693+$E$3*OFFSET(N693,-$B$11,0)+ $E$4*OFFSET(N693,-2* $B$11,0), O692)</f>
        <v/>
      </c>
      <c r="P693" s="15">
        <f>INT((2^$J$12-1)*O693/100)/(2^$J$12-1)*100</f>
        <v/>
      </c>
      <c r="Q693" s="15" t="n">
        <v>0</v>
      </c>
      <c r="R693" s="15">
        <f>P693+Q693</f>
        <v/>
      </c>
      <c r="S693" s="15">
        <f>$I$1*S692-$I$2*S691+$I$3*R672+$I$4*R671</f>
        <v/>
      </c>
      <c r="T693" s="15" t="n">
        <v>0</v>
      </c>
      <c r="U693" s="15">
        <f>S693+T693</f>
        <v/>
      </c>
      <c r="V693" s="15">
        <f>INT((2^$J$12-1)*U693/100)/(2^$J$12-1)*100</f>
        <v/>
      </c>
      <c r="X693" s="15">
        <f>M693 * 1.05</f>
        <v/>
      </c>
      <c r="Y693" s="15">
        <f>M693 * 0.95</f>
        <v/>
      </c>
      <c r="Z693" s="15">
        <f>IF(AND(V693 &lt;= X693, V693 &gt;= Y693), 1, 0)</f>
        <v/>
      </c>
      <c r="AC693" s="15">
        <f>N693^2</f>
        <v/>
      </c>
      <c r="AD693" s="15">
        <f>ABS(N693)</f>
        <v/>
      </c>
      <c r="AE693" s="15">
        <f>IF(M693&gt;0, ABS(N693)*(L693-$D$16),0)</f>
        <v/>
      </c>
    </row>
    <row r="694">
      <c r="L694" s="15" t="n">
        <v>692</v>
      </c>
      <c r="M694" s="15">
        <f>IF(L694&lt;$D$16,$D$12,IF(L694&lt;$E$16,$E$12,$F$13))</f>
        <v/>
      </c>
      <c r="N694" s="15">
        <f>M694-V694</f>
        <v/>
      </c>
      <c r="O694" s="15">
        <f>IF(MOD(L694,$B$11)=0,OFFSET(O694,-$B$11,0)+ $E$2*N694+$E$3*OFFSET(N694,-$B$11,0)+ $E$4*OFFSET(N694,-2* $B$11,0), O693)</f>
        <v/>
      </c>
      <c r="P694" s="15">
        <f>INT((2^$J$12-1)*O694/100)/(2^$J$12-1)*100</f>
        <v/>
      </c>
      <c r="Q694" s="15" t="n">
        <v>0</v>
      </c>
      <c r="R694" s="15">
        <f>P694+Q694</f>
        <v/>
      </c>
      <c r="S694" s="15">
        <f>$I$1*S693-$I$2*S692+$I$3*R673+$I$4*R672</f>
        <v/>
      </c>
      <c r="T694" s="15" t="n">
        <v>0</v>
      </c>
      <c r="U694" s="15">
        <f>S694+T694</f>
        <v/>
      </c>
      <c r="V694" s="15">
        <f>INT((2^$J$12-1)*U694/100)/(2^$J$12-1)*100</f>
        <v/>
      </c>
      <c r="X694" s="15">
        <f>M694 * 1.05</f>
        <v/>
      </c>
      <c r="Y694" s="15">
        <f>M694 * 0.95</f>
        <v/>
      </c>
      <c r="Z694" s="15">
        <f>IF(AND(V694 &lt;= X694, V694 &gt;= Y694), 1, 0)</f>
        <v/>
      </c>
      <c r="AC694" s="15">
        <f>N694^2</f>
        <v/>
      </c>
      <c r="AD694" s="15">
        <f>ABS(N694)</f>
        <v/>
      </c>
      <c r="AE694" s="15">
        <f>IF(M694&gt;0, ABS(N694)*(L694-$D$16),0)</f>
        <v/>
      </c>
    </row>
    <row r="695">
      <c r="L695" s="15" t="n">
        <v>693</v>
      </c>
      <c r="M695" s="15">
        <f>IF(L695&lt;$D$16,$D$12,IF(L695&lt;$E$16,$E$12,$F$13))</f>
        <v/>
      </c>
      <c r="N695" s="15">
        <f>M695-V695</f>
        <v/>
      </c>
      <c r="O695" s="15">
        <f>IF(MOD(L695,$B$11)=0,OFFSET(O695,-$B$11,0)+ $E$2*N695+$E$3*OFFSET(N695,-$B$11,0)+ $E$4*OFFSET(N695,-2* $B$11,0), O694)</f>
        <v/>
      </c>
      <c r="P695" s="15">
        <f>INT((2^$J$12-1)*O695/100)/(2^$J$12-1)*100</f>
        <v/>
      </c>
      <c r="Q695" s="15" t="n">
        <v>0</v>
      </c>
      <c r="R695" s="15">
        <f>P695+Q695</f>
        <v/>
      </c>
      <c r="S695" s="15">
        <f>$I$1*S694-$I$2*S693+$I$3*R674+$I$4*R673</f>
        <v/>
      </c>
      <c r="T695" s="15" t="n">
        <v>0</v>
      </c>
      <c r="U695" s="15">
        <f>S695+T695</f>
        <v/>
      </c>
      <c r="V695" s="15">
        <f>INT((2^$J$12-1)*U695/100)/(2^$J$12-1)*100</f>
        <v/>
      </c>
      <c r="X695" s="15">
        <f>M695 * 1.05</f>
        <v/>
      </c>
      <c r="Y695" s="15">
        <f>M695 * 0.95</f>
        <v/>
      </c>
      <c r="Z695" s="15">
        <f>IF(AND(V695 &lt;= X695, V695 &gt;= Y695), 1, 0)</f>
        <v/>
      </c>
      <c r="AC695" s="15">
        <f>N695^2</f>
        <v/>
      </c>
      <c r="AD695" s="15">
        <f>ABS(N695)</f>
        <v/>
      </c>
      <c r="AE695" s="15">
        <f>IF(M695&gt;0, ABS(N695)*(L695-$D$16),0)</f>
        <v/>
      </c>
    </row>
    <row r="696">
      <c r="L696" s="15" t="n">
        <v>694</v>
      </c>
      <c r="M696" s="15">
        <f>IF(L696&lt;$D$16,$D$12,IF(L696&lt;$E$16,$E$12,$F$13))</f>
        <v/>
      </c>
      <c r="N696" s="15">
        <f>M696-V696</f>
        <v/>
      </c>
      <c r="O696" s="15">
        <f>IF(MOD(L696,$B$11)=0,OFFSET(O696,-$B$11,0)+ $E$2*N696+$E$3*OFFSET(N696,-$B$11,0)+ $E$4*OFFSET(N696,-2* $B$11,0), O695)</f>
        <v/>
      </c>
      <c r="P696" s="15">
        <f>INT((2^$J$12-1)*O696/100)/(2^$J$12-1)*100</f>
        <v/>
      </c>
      <c r="Q696" s="15" t="n">
        <v>0</v>
      </c>
      <c r="R696" s="15">
        <f>P696+Q696</f>
        <v/>
      </c>
      <c r="S696" s="15">
        <f>$I$1*S695-$I$2*S694+$I$3*R675+$I$4*R674</f>
        <v/>
      </c>
      <c r="T696" s="15" t="n">
        <v>0</v>
      </c>
      <c r="U696" s="15">
        <f>S696+T696</f>
        <v/>
      </c>
      <c r="V696" s="15">
        <f>INT((2^$J$12-1)*U696/100)/(2^$J$12-1)*100</f>
        <v/>
      </c>
      <c r="X696" s="15">
        <f>M696 * 1.05</f>
        <v/>
      </c>
      <c r="Y696" s="15">
        <f>M696 * 0.95</f>
        <v/>
      </c>
      <c r="Z696" s="15">
        <f>IF(AND(V696 &lt;= X696, V696 &gt;= Y696), 1, 0)</f>
        <v/>
      </c>
      <c r="AC696" s="15">
        <f>N696^2</f>
        <v/>
      </c>
      <c r="AD696" s="15">
        <f>ABS(N696)</f>
        <v/>
      </c>
      <c r="AE696" s="15">
        <f>IF(M696&gt;0, ABS(N696)*(L696-$D$16),0)</f>
        <v/>
      </c>
    </row>
    <row r="697">
      <c r="L697" s="15" t="n">
        <v>695</v>
      </c>
      <c r="M697" s="15">
        <f>IF(L697&lt;$D$16,$D$12,IF(L697&lt;$E$16,$E$12,$F$13))</f>
        <v/>
      </c>
      <c r="N697" s="15">
        <f>M697-V697</f>
        <v/>
      </c>
      <c r="O697" s="15">
        <f>IF(MOD(L697,$B$11)=0,OFFSET(O697,-$B$11,0)+ $E$2*N697+$E$3*OFFSET(N697,-$B$11,0)+ $E$4*OFFSET(N697,-2* $B$11,0), O696)</f>
        <v/>
      </c>
      <c r="P697" s="15">
        <f>INT((2^$J$12-1)*O697/100)/(2^$J$12-1)*100</f>
        <v/>
      </c>
      <c r="Q697" s="15" t="n">
        <v>0</v>
      </c>
      <c r="R697" s="15">
        <f>P697+Q697</f>
        <v/>
      </c>
      <c r="S697" s="15">
        <f>$I$1*S696-$I$2*S695+$I$3*R676+$I$4*R675</f>
        <v/>
      </c>
      <c r="T697" s="15" t="n">
        <v>0</v>
      </c>
      <c r="U697" s="15">
        <f>S697+T697</f>
        <v/>
      </c>
      <c r="V697" s="15">
        <f>INT((2^$J$12-1)*U697/100)/(2^$J$12-1)*100</f>
        <v/>
      </c>
      <c r="X697" s="15">
        <f>M697 * 1.05</f>
        <v/>
      </c>
      <c r="Y697" s="15">
        <f>M697 * 0.95</f>
        <v/>
      </c>
      <c r="Z697" s="15">
        <f>IF(AND(V697 &lt;= X697, V697 &gt;= Y697), 1, 0)</f>
        <v/>
      </c>
      <c r="AC697" s="15">
        <f>N697^2</f>
        <v/>
      </c>
      <c r="AD697" s="15">
        <f>ABS(N697)</f>
        <v/>
      </c>
      <c r="AE697" s="15">
        <f>IF(M697&gt;0, ABS(N697)*(L697-$D$16),0)</f>
        <v/>
      </c>
    </row>
    <row r="698">
      <c r="L698" s="15" t="n">
        <v>696</v>
      </c>
      <c r="M698" s="15">
        <f>IF(L698&lt;$D$16,$D$12,IF(L698&lt;$E$16,$E$12,$F$13))</f>
        <v/>
      </c>
      <c r="N698" s="15">
        <f>M698-V698</f>
        <v/>
      </c>
      <c r="O698" s="15">
        <f>IF(MOD(L698,$B$11)=0,OFFSET(O698,-$B$11,0)+ $E$2*N698+$E$3*OFFSET(N698,-$B$11,0)+ $E$4*OFFSET(N698,-2* $B$11,0), O697)</f>
        <v/>
      </c>
      <c r="P698" s="15">
        <f>INT((2^$J$12-1)*O698/100)/(2^$J$12-1)*100</f>
        <v/>
      </c>
      <c r="Q698" s="15" t="n">
        <v>0</v>
      </c>
      <c r="R698" s="15">
        <f>P698+Q698</f>
        <v/>
      </c>
      <c r="S698" s="15">
        <f>$I$1*S697-$I$2*S696+$I$3*R677+$I$4*R676</f>
        <v/>
      </c>
      <c r="T698" s="15" t="n">
        <v>0</v>
      </c>
      <c r="U698" s="15">
        <f>S698+T698</f>
        <v/>
      </c>
      <c r="V698" s="15">
        <f>INT((2^$J$12-1)*U698/100)/(2^$J$12-1)*100</f>
        <v/>
      </c>
      <c r="X698" s="15">
        <f>M698 * 1.05</f>
        <v/>
      </c>
      <c r="Y698" s="15">
        <f>M698 * 0.95</f>
        <v/>
      </c>
      <c r="Z698" s="15">
        <f>IF(AND(V698 &lt;= X698, V698 &gt;= Y698), 1, 0)</f>
        <v/>
      </c>
      <c r="AC698" s="15">
        <f>N698^2</f>
        <v/>
      </c>
      <c r="AD698" s="15">
        <f>ABS(N698)</f>
        <v/>
      </c>
      <c r="AE698" s="15">
        <f>IF(M698&gt;0, ABS(N698)*(L698-$D$16),0)</f>
        <v/>
      </c>
    </row>
    <row r="699">
      <c r="L699" s="15" t="n">
        <v>697</v>
      </c>
      <c r="M699" s="15">
        <f>IF(L699&lt;$D$16,$D$12,IF(L699&lt;$E$16,$E$12,$F$13))</f>
        <v/>
      </c>
      <c r="N699" s="15">
        <f>M699-V699</f>
        <v/>
      </c>
      <c r="O699" s="15">
        <f>IF(MOD(L699,$B$11)=0,OFFSET(O699,-$B$11,0)+ $E$2*N699+$E$3*OFFSET(N699,-$B$11,0)+ $E$4*OFFSET(N699,-2* $B$11,0), O698)</f>
        <v/>
      </c>
      <c r="P699" s="15">
        <f>INT((2^$J$12-1)*O699/100)/(2^$J$12-1)*100</f>
        <v/>
      </c>
      <c r="Q699" s="15" t="n">
        <v>0</v>
      </c>
      <c r="R699" s="15">
        <f>P699+Q699</f>
        <v/>
      </c>
      <c r="S699" s="15">
        <f>$I$1*S698-$I$2*S697+$I$3*R678+$I$4*R677</f>
        <v/>
      </c>
      <c r="T699" s="15" t="n">
        <v>0</v>
      </c>
      <c r="U699" s="15">
        <f>S699+T699</f>
        <v/>
      </c>
      <c r="V699" s="15">
        <f>INT((2^$J$12-1)*U699/100)/(2^$J$12-1)*100</f>
        <v/>
      </c>
      <c r="X699" s="15">
        <f>M699 * 1.05</f>
        <v/>
      </c>
      <c r="Y699" s="15">
        <f>M699 * 0.95</f>
        <v/>
      </c>
      <c r="Z699" s="15">
        <f>IF(AND(V699 &lt;= X699, V699 &gt;= Y699), 1, 0)</f>
        <v/>
      </c>
      <c r="AC699" s="15">
        <f>N699^2</f>
        <v/>
      </c>
      <c r="AD699" s="15">
        <f>ABS(N699)</f>
        <v/>
      </c>
      <c r="AE699" s="15">
        <f>IF(M699&gt;0, ABS(N699)*(L699-$D$16),0)</f>
        <v/>
      </c>
    </row>
    <row r="700">
      <c r="L700" s="15" t="n">
        <v>698</v>
      </c>
      <c r="M700" s="15">
        <f>IF(L700&lt;$D$16,$D$12,IF(L700&lt;$E$16,$E$12,$F$13))</f>
        <v/>
      </c>
      <c r="N700" s="15">
        <f>M700-V700</f>
        <v/>
      </c>
      <c r="O700" s="15">
        <f>IF(MOD(L700,$B$11)=0,OFFSET(O700,-$B$11,0)+ $E$2*N700+$E$3*OFFSET(N700,-$B$11,0)+ $E$4*OFFSET(N700,-2* $B$11,0), O699)</f>
        <v/>
      </c>
      <c r="P700" s="15">
        <f>INT((2^$J$12-1)*O700/100)/(2^$J$12-1)*100</f>
        <v/>
      </c>
      <c r="Q700" s="15" t="n">
        <v>0</v>
      </c>
      <c r="R700" s="15">
        <f>P700+Q700</f>
        <v/>
      </c>
      <c r="S700" s="15">
        <f>$I$1*S699-$I$2*S698+$I$3*R679+$I$4*R678</f>
        <v/>
      </c>
      <c r="T700" s="15" t="n">
        <v>0</v>
      </c>
      <c r="U700" s="15">
        <f>S700+T700</f>
        <v/>
      </c>
      <c r="V700" s="15">
        <f>INT((2^$J$12-1)*U700/100)/(2^$J$12-1)*100</f>
        <v/>
      </c>
      <c r="X700" s="15">
        <f>M700 * 1.05</f>
        <v/>
      </c>
      <c r="Y700" s="15">
        <f>M700 * 0.95</f>
        <v/>
      </c>
      <c r="Z700" s="15">
        <f>IF(AND(V700 &lt;= X700, V700 &gt;= Y700), 1, 0)</f>
        <v/>
      </c>
      <c r="AC700" s="15">
        <f>N700^2</f>
        <v/>
      </c>
      <c r="AD700" s="15">
        <f>ABS(N700)</f>
        <v/>
      </c>
      <c r="AE700" s="15">
        <f>IF(M700&gt;0, ABS(N700)*(L700-$D$16),0)</f>
        <v/>
      </c>
    </row>
    <row r="701">
      <c r="L701" s="15" t="n">
        <v>699</v>
      </c>
      <c r="M701" s="15">
        <f>IF(L701&lt;$D$16,$D$12,IF(L701&lt;$E$16,$E$12,$F$13))</f>
        <v/>
      </c>
      <c r="N701" s="15">
        <f>M701-V701</f>
        <v/>
      </c>
      <c r="O701" s="15">
        <f>IF(MOD(L701,$B$11)=0,OFFSET(O701,-$B$11,0)+ $E$2*N701+$E$3*OFFSET(N701,-$B$11,0)+ $E$4*OFFSET(N701,-2* $B$11,0), O700)</f>
        <v/>
      </c>
      <c r="P701" s="15">
        <f>INT((2^$J$12-1)*O701/100)/(2^$J$12-1)*100</f>
        <v/>
      </c>
      <c r="Q701" s="15" t="n">
        <v>0</v>
      </c>
      <c r="R701" s="15">
        <f>P701+Q701</f>
        <v/>
      </c>
      <c r="S701" s="15">
        <f>$I$1*S700-$I$2*S699+$I$3*R680+$I$4*R679</f>
        <v/>
      </c>
      <c r="T701" s="15" t="n">
        <v>0</v>
      </c>
      <c r="U701" s="15">
        <f>S701+T701</f>
        <v/>
      </c>
      <c r="V701" s="15">
        <f>INT((2^$J$12-1)*U701/100)/(2^$J$12-1)*100</f>
        <v/>
      </c>
      <c r="X701" s="15">
        <f>M701 * 1.05</f>
        <v/>
      </c>
      <c r="Y701" s="15">
        <f>M701 * 0.95</f>
        <v/>
      </c>
      <c r="Z701" s="15">
        <f>IF(AND(V701 &lt;= X701, V701 &gt;= Y701), 1, 0)</f>
        <v/>
      </c>
      <c r="AC701" s="15">
        <f>N701^2</f>
        <v/>
      </c>
      <c r="AD701" s="15">
        <f>ABS(N701)</f>
        <v/>
      </c>
      <c r="AE701" s="15">
        <f>IF(M701&gt;0, ABS(N701)*(L701-$D$16),0)</f>
        <v/>
      </c>
    </row>
    <row r="702">
      <c r="L702" s="15" t="n">
        <v>700</v>
      </c>
      <c r="M702" s="15">
        <f>IF(L702&lt;$D$16,$D$12,IF(L702&lt;$E$16,$E$12,$F$13))</f>
        <v/>
      </c>
      <c r="N702" s="15">
        <f>M702-V702</f>
        <v/>
      </c>
      <c r="O702" s="15">
        <f>IF(MOD(L702,$B$11)=0,OFFSET(O702,-$B$11,0)+ $E$2*N702+$E$3*OFFSET(N702,-$B$11,0)+ $E$4*OFFSET(N702,-2* $B$11,0), O701)</f>
        <v/>
      </c>
      <c r="P702" s="15">
        <f>INT((2^$J$12-1)*O702/100)/(2^$J$12-1)*100</f>
        <v/>
      </c>
      <c r="Q702" s="15" t="n">
        <v>0</v>
      </c>
      <c r="R702" s="15">
        <f>P702+Q702</f>
        <v/>
      </c>
      <c r="S702" s="15">
        <f>$I$1*S701-$I$2*S700+$I$3*R681+$I$4*R680</f>
        <v/>
      </c>
      <c r="T702" s="15" t="n">
        <v>0</v>
      </c>
      <c r="U702" s="15">
        <f>S702+T702</f>
        <v/>
      </c>
      <c r="V702" s="15">
        <f>INT((2^$J$12-1)*U702/100)/(2^$J$12-1)*100</f>
        <v/>
      </c>
      <c r="X702" s="15">
        <f>M702 * 1.05</f>
        <v/>
      </c>
      <c r="Y702" s="15">
        <f>M702 * 0.95</f>
        <v/>
      </c>
      <c r="Z702" s="15">
        <f>IF(AND(V702 &lt;= X702, V702 &gt;= Y702), 1, 0)</f>
        <v/>
      </c>
      <c r="AC702" s="15">
        <f>N702^2</f>
        <v/>
      </c>
      <c r="AD702" s="15">
        <f>ABS(N702)</f>
        <v/>
      </c>
      <c r="AE702" s="15">
        <f>IF(M702&gt;0, ABS(N702)*(L702-$D$16),0)</f>
        <v/>
      </c>
    </row>
    <row r="703">
      <c r="L703" s="15" t="n">
        <v>701</v>
      </c>
      <c r="M703" s="15">
        <f>IF(L703&lt;$D$16,$D$12,IF(L703&lt;$E$16,$E$12,$F$13))</f>
        <v/>
      </c>
      <c r="N703" s="15">
        <f>M703-V703</f>
        <v/>
      </c>
      <c r="O703" s="15">
        <f>IF(MOD(L703,$B$11)=0,OFFSET(O703,-$B$11,0)+ $E$2*N703+$E$3*OFFSET(N703,-$B$11,0)+ $E$4*OFFSET(N703,-2* $B$11,0), O702)</f>
        <v/>
      </c>
      <c r="P703" s="15">
        <f>INT((2^$J$12-1)*O703/100)/(2^$J$12-1)*100</f>
        <v/>
      </c>
      <c r="Q703" s="15" t="n">
        <v>0</v>
      </c>
      <c r="R703" s="15">
        <f>P703+Q703</f>
        <v/>
      </c>
      <c r="S703" s="15">
        <f>$I$1*S702-$I$2*S701+$I$3*R682+$I$4*R681</f>
        <v/>
      </c>
      <c r="T703" s="15" t="n">
        <v>0</v>
      </c>
      <c r="U703" s="15">
        <f>S703+T703</f>
        <v/>
      </c>
      <c r="V703" s="15">
        <f>INT((2^$J$12-1)*U703/100)/(2^$J$12-1)*100</f>
        <v/>
      </c>
      <c r="X703" s="15">
        <f>M703 * 1.05</f>
        <v/>
      </c>
      <c r="Y703" s="15">
        <f>M703 * 0.95</f>
        <v/>
      </c>
      <c r="Z703" s="15">
        <f>IF(AND(V703 &lt;= X703, V703 &gt;= Y703), 1, 0)</f>
        <v/>
      </c>
      <c r="AC703" s="15">
        <f>N703^2</f>
        <v/>
      </c>
      <c r="AD703" s="15">
        <f>ABS(N703)</f>
        <v/>
      </c>
      <c r="AE703" s="15">
        <f>IF(M703&gt;0, ABS(N703)*(L703-$D$16),0)</f>
        <v/>
      </c>
    </row>
    <row r="704">
      <c r="L704" s="15" t="n">
        <v>702</v>
      </c>
      <c r="M704" s="15">
        <f>IF(L704&lt;$D$16,$D$12,IF(L704&lt;$E$16,$E$12,$F$13))</f>
        <v/>
      </c>
      <c r="N704" s="15">
        <f>M704-V704</f>
        <v/>
      </c>
      <c r="O704" s="15">
        <f>IF(MOD(L704,$B$11)=0,OFFSET(O704,-$B$11,0)+ $E$2*N704+$E$3*OFFSET(N704,-$B$11,0)+ $E$4*OFFSET(N704,-2* $B$11,0), O703)</f>
        <v/>
      </c>
      <c r="P704" s="15">
        <f>INT((2^$J$12-1)*O704/100)/(2^$J$12-1)*100</f>
        <v/>
      </c>
      <c r="Q704" s="15" t="n">
        <v>0</v>
      </c>
      <c r="R704" s="15">
        <f>P704+Q704</f>
        <v/>
      </c>
      <c r="S704" s="15">
        <f>$I$1*S703-$I$2*S702+$I$3*R683+$I$4*R682</f>
        <v/>
      </c>
      <c r="T704" s="15" t="n">
        <v>0</v>
      </c>
      <c r="U704" s="15">
        <f>S704+T704</f>
        <v/>
      </c>
      <c r="V704" s="15">
        <f>INT((2^$J$12-1)*U704/100)/(2^$J$12-1)*100</f>
        <v/>
      </c>
      <c r="X704" s="15">
        <f>M704 * 1.05</f>
        <v/>
      </c>
      <c r="Y704" s="15">
        <f>M704 * 0.95</f>
        <v/>
      </c>
      <c r="Z704" s="15">
        <f>IF(AND(V704 &lt;= X704, V704 &gt;= Y704), 1, 0)</f>
        <v/>
      </c>
      <c r="AC704" s="15">
        <f>N704^2</f>
        <v/>
      </c>
      <c r="AD704" s="15">
        <f>ABS(N704)</f>
        <v/>
      </c>
      <c r="AE704" s="15">
        <f>IF(M704&gt;0, ABS(N704)*(L704-$D$16),0)</f>
        <v/>
      </c>
    </row>
    <row r="705">
      <c r="L705" s="15" t="n">
        <v>703</v>
      </c>
      <c r="M705" s="15">
        <f>IF(L705&lt;$D$16,$D$12,IF(L705&lt;$E$16,$E$12,$F$13))</f>
        <v/>
      </c>
      <c r="N705" s="15">
        <f>M705-V705</f>
        <v/>
      </c>
      <c r="O705" s="15">
        <f>IF(MOD(L705,$B$11)=0,OFFSET(O705,-$B$11,0)+ $E$2*N705+$E$3*OFFSET(N705,-$B$11,0)+ $E$4*OFFSET(N705,-2* $B$11,0), O704)</f>
        <v/>
      </c>
      <c r="P705" s="15">
        <f>INT((2^$J$12-1)*O705/100)/(2^$J$12-1)*100</f>
        <v/>
      </c>
      <c r="Q705" s="15" t="n">
        <v>0</v>
      </c>
      <c r="R705" s="15">
        <f>P705+Q705</f>
        <v/>
      </c>
      <c r="S705" s="15">
        <f>$I$1*S704-$I$2*S703+$I$3*R684+$I$4*R683</f>
        <v/>
      </c>
      <c r="T705" s="15" t="n">
        <v>0</v>
      </c>
      <c r="U705" s="15">
        <f>S705+T705</f>
        <v/>
      </c>
      <c r="V705" s="15">
        <f>INT((2^$J$12-1)*U705/100)/(2^$J$12-1)*100</f>
        <v/>
      </c>
      <c r="X705" s="15">
        <f>M705 * 1.05</f>
        <v/>
      </c>
      <c r="Y705" s="15">
        <f>M705 * 0.95</f>
        <v/>
      </c>
      <c r="Z705" s="15">
        <f>IF(AND(V705 &lt;= X705, V705 &gt;= Y705), 1, 0)</f>
        <v/>
      </c>
      <c r="AC705" s="15">
        <f>N705^2</f>
        <v/>
      </c>
      <c r="AD705" s="15">
        <f>ABS(N705)</f>
        <v/>
      </c>
      <c r="AE705" s="15">
        <f>IF(M705&gt;0, ABS(N705)*(L705-$D$16),0)</f>
        <v/>
      </c>
    </row>
    <row r="706">
      <c r="L706" s="15" t="n">
        <v>704</v>
      </c>
      <c r="M706" s="15">
        <f>IF(L706&lt;$D$16,$D$12,IF(L706&lt;$E$16,$E$12,$F$13))</f>
        <v/>
      </c>
      <c r="N706" s="15">
        <f>M706-V706</f>
        <v/>
      </c>
      <c r="O706" s="15">
        <f>IF(MOD(L706,$B$11)=0,OFFSET(O706,-$B$11,0)+ $E$2*N706+$E$3*OFFSET(N706,-$B$11,0)+ $E$4*OFFSET(N706,-2* $B$11,0), O705)</f>
        <v/>
      </c>
      <c r="P706" s="15">
        <f>INT((2^$J$12-1)*O706/100)/(2^$J$12-1)*100</f>
        <v/>
      </c>
      <c r="Q706" s="15" t="n">
        <v>0</v>
      </c>
      <c r="R706" s="15">
        <f>P706+Q706</f>
        <v/>
      </c>
      <c r="S706" s="15">
        <f>$I$1*S705-$I$2*S704+$I$3*R685+$I$4*R684</f>
        <v/>
      </c>
      <c r="T706" s="15" t="n">
        <v>0</v>
      </c>
      <c r="U706" s="15">
        <f>S706+T706</f>
        <v/>
      </c>
      <c r="V706" s="15">
        <f>INT((2^$J$12-1)*U706/100)/(2^$J$12-1)*100</f>
        <v/>
      </c>
      <c r="X706" s="15">
        <f>M706 * 1.05</f>
        <v/>
      </c>
      <c r="Y706" s="15">
        <f>M706 * 0.95</f>
        <v/>
      </c>
      <c r="Z706" s="15">
        <f>IF(AND(V706 &lt;= X706, V706 &gt;= Y706), 1, 0)</f>
        <v/>
      </c>
      <c r="AC706" s="15">
        <f>N706^2</f>
        <v/>
      </c>
      <c r="AD706" s="15">
        <f>ABS(N706)</f>
        <v/>
      </c>
      <c r="AE706" s="15">
        <f>IF(M706&gt;0, ABS(N706)*(L706-$D$16),0)</f>
        <v/>
      </c>
    </row>
    <row r="707">
      <c r="L707" s="15" t="n">
        <v>705</v>
      </c>
      <c r="M707" s="15">
        <f>IF(L707&lt;$D$16,$D$12,IF(L707&lt;$E$16,$E$12,$F$13))</f>
        <v/>
      </c>
      <c r="N707" s="15">
        <f>M707-V707</f>
        <v/>
      </c>
      <c r="O707" s="15">
        <f>IF(MOD(L707,$B$11)=0,OFFSET(O707,-$B$11,0)+ $E$2*N707+$E$3*OFFSET(N707,-$B$11,0)+ $E$4*OFFSET(N707,-2* $B$11,0), O706)</f>
        <v/>
      </c>
      <c r="P707" s="15">
        <f>INT((2^$J$12-1)*O707/100)/(2^$J$12-1)*100</f>
        <v/>
      </c>
      <c r="Q707" s="15" t="n">
        <v>0</v>
      </c>
      <c r="R707" s="15">
        <f>P707+Q707</f>
        <v/>
      </c>
      <c r="S707" s="15">
        <f>$I$1*S706-$I$2*S705+$I$3*R686+$I$4*R685</f>
        <v/>
      </c>
      <c r="T707" s="15" t="n">
        <v>0</v>
      </c>
      <c r="U707" s="15">
        <f>S707+T707</f>
        <v/>
      </c>
      <c r="V707" s="15">
        <f>INT((2^$J$12-1)*U707/100)/(2^$J$12-1)*100</f>
        <v/>
      </c>
      <c r="X707" s="15">
        <f>M707 * 1.05</f>
        <v/>
      </c>
      <c r="Y707" s="15">
        <f>M707 * 0.95</f>
        <v/>
      </c>
      <c r="Z707" s="15">
        <f>IF(AND(V707 &lt;= X707, V707 &gt;= Y707), 1, 0)</f>
        <v/>
      </c>
      <c r="AC707" s="15">
        <f>N707^2</f>
        <v/>
      </c>
      <c r="AD707" s="15">
        <f>ABS(N707)</f>
        <v/>
      </c>
      <c r="AE707" s="15">
        <f>IF(M707&gt;0, ABS(N707)*(L707-$D$16),0)</f>
        <v/>
      </c>
    </row>
    <row r="708">
      <c r="L708" s="15" t="n">
        <v>706</v>
      </c>
      <c r="M708" s="15">
        <f>IF(L708&lt;$D$16,$D$12,IF(L708&lt;$E$16,$E$12,$F$13))</f>
        <v/>
      </c>
      <c r="N708" s="15">
        <f>M708-V708</f>
        <v/>
      </c>
      <c r="O708" s="15">
        <f>IF(MOD(L708,$B$11)=0,OFFSET(O708,-$B$11,0)+ $E$2*N708+$E$3*OFFSET(N708,-$B$11,0)+ $E$4*OFFSET(N708,-2* $B$11,0), O707)</f>
        <v/>
      </c>
      <c r="P708" s="15">
        <f>INT((2^$J$12-1)*O708/100)/(2^$J$12-1)*100</f>
        <v/>
      </c>
      <c r="Q708" s="15" t="n">
        <v>0</v>
      </c>
      <c r="R708" s="15">
        <f>P708+Q708</f>
        <v/>
      </c>
      <c r="S708" s="15">
        <f>$I$1*S707-$I$2*S706+$I$3*R687+$I$4*R686</f>
        <v/>
      </c>
      <c r="T708" s="15" t="n">
        <v>0</v>
      </c>
      <c r="U708" s="15">
        <f>S708+T708</f>
        <v/>
      </c>
      <c r="V708" s="15">
        <f>INT((2^$J$12-1)*U708/100)/(2^$J$12-1)*100</f>
        <v/>
      </c>
      <c r="X708" s="15">
        <f>M708 * 1.05</f>
        <v/>
      </c>
      <c r="Y708" s="15">
        <f>M708 * 0.95</f>
        <v/>
      </c>
      <c r="Z708" s="15">
        <f>IF(AND(V708 &lt;= X708, V708 &gt;= Y708), 1, 0)</f>
        <v/>
      </c>
      <c r="AC708" s="15">
        <f>N708^2</f>
        <v/>
      </c>
      <c r="AD708" s="15">
        <f>ABS(N708)</f>
        <v/>
      </c>
      <c r="AE708" s="15">
        <f>IF(M708&gt;0, ABS(N708)*(L708-$D$16),0)</f>
        <v/>
      </c>
    </row>
    <row r="709">
      <c r="L709" s="15" t="n">
        <v>707</v>
      </c>
      <c r="M709" s="15">
        <f>IF(L709&lt;$D$16,$D$12,IF(L709&lt;$E$16,$E$12,$F$13))</f>
        <v/>
      </c>
      <c r="N709" s="15">
        <f>M709-V709</f>
        <v/>
      </c>
      <c r="O709" s="15">
        <f>IF(MOD(L709,$B$11)=0,OFFSET(O709,-$B$11,0)+ $E$2*N709+$E$3*OFFSET(N709,-$B$11,0)+ $E$4*OFFSET(N709,-2* $B$11,0), O708)</f>
        <v/>
      </c>
      <c r="P709" s="15">
        <f>INT((2^$J$12-1)*O709/100)/(2^$J$12-1)*100</f>
        <v/>
      </c>
      <c r="Q709" s="15" t="n">
        <v>0</v>
      </c>
      <c r="R709" s="15">
        <f>P709+Q709</f>
        <v/>
      </c>
      <c r="S709" s="15">
        <f>$I$1*S708-$I$2*S707+$I$3*R688+$I$4*R687</f>
        <v/>
      </c>
      <c r="T709" s="15" t="n">
        <v>0</v>
      </c>
      <c r="U709" s="15">
        <f>S709+T709</f>
        <v/>
      </c>
      <c r="V709" s="15">
        <f>INT((2^$J$12-1)*U709/100)/(2^$J$12-1)*100</f>
        <v/>
      </c>
      <c r="X709" s="15">
        <f>M709 * 1.05</f>
        <v/>
      </c>
      <c r="Y709" s="15">
        <f>M709 * 0.95</f>
        <v/>
      </c>
      <c r="Z709" s="15">
        <f>IF(AND(V709 &lt;= X709, V709 &gt;= Y709), 1, 0)</f>
        <v/>
      </c>
      <c r="AC709" s="15">
        <f>N709^2</f>
        <v/>
      </c>
      <c r="AD709" s="15">
        <f>ABS(N709)</f>
        <v/>
      </c>
      <c r="AE709" s="15">
        <f>IF(M709&gt;0, ABS(N709)*(L709-$D$16),0)</f>
        <v/>
      </c>
    </row>
    <row r="710">
      <c r="L710" s="15" t="n">
        <v>708</v>
      </c>
      <c r="M710" s="15">
        <f>IF(L710&lt;$D$16,$D$12,IF(L710&lt;$E$16,$E$12,$F$13))</f>
        <v/>
      </c>
      <c r="N710" s="15">
        <f>M710-V710</f>
        <v/>
      </c>
      <c r="O710" s="15">
        <f>IF(MOD(L710,$B$11)=0,OFFSET(O710,-$B$11,0)+ $E$2*N710+$E$3*OFFSET(N710,-$B$11,0)+ $E$4*OFFSET(N710,-2* $B$11,0), O709)</f>
        <v/>
      </c>
      <c r="P710" s="15">
        <f>INT((2^$J$12-1)*O710/100)/(2^$J$12-1)*100</f>
        <v/>
      </c>
      <c r="Q710" s="15" t="n">
        <v>0</v>
      </c>
      <c r="R710" s="15">
        <f>P710+Q710</f>
        <v/>
      </c>
      <c r="S710" s="15">
        <f>$I$1*S709-$I$2*S708+$I$3*R689+$I$4*R688</f>
        <v/>
      </c>
      <c r="T710" s="15" t="n">
        <v>0</v>
      </c>
      <c r="U710" s="15">
        <f>S710+T710</f>
        <v/>
      </c>
      <c r="V710" s="15">
        <f>INT((2^$J$12-1)*U710/100)/(2^$J$12-1)*100</f>
        <v/>
      </c>
      <c r="X710" s="15">
        <f>M710 * 1.05</f>
        <v/>
      </c>
      <c r="Y710" s="15">
        <f>M710 * 0.95</f>
        <v/>
      </c>
      <c r="Z710" s="15">
        <f>IF(AND(V710 &lt;= X710, V710 &gt;= Y710), 1, 0)</f>
        <v/>
      </c>
      <c r="AC710" s="15">
        <f>N710^2</f>
        <v/>
      </c>
      <c r="AD710" s="15">
        <f>ABS(N710)</f>
        <v/>
      </c>
      <c r="AE710" s="15">
        <f>IF(M710&gt;0, ABS(N710)*(L710-$D$16),0)</f>
        <v/>
      </c>
    </row>
    <row r="711">
      <c r="L711" s="15" t="n">
        <v>709</v>
      </c>
      <c r="M711" s="15">
        <f>IF(L711&lt;$D$16,$D$12,IF(L711&lt;$E$16,$E$12,$F$13))</f>
        <v/>
      </c>
      <c r="N711" s="15">
        <f>M711-V711</f>
        <v/>
      </c>
      <c r="O711" s="15">
        <f>IF(MOD(L711,$B$11)=0,OFFSET(O711,-$B$11,0)+ $E$2*N711+$E$3*OFFSET(N711,-$B$11,0)+ $E$4*OFFSET(N711,-2* $B$11,0), O710)</f>
        <v/>
      </c>
      <c r="P711" s="15">
        <f>INT((2^$J$12-1)*O711/100)/(2^$J$12-1)*100</f>
        <v/>
      </c>
      <c r="Q711" s="15" t="n">
        <v>0</v>
      </c>
      <c r="R711" s="15">
        <f>P711+Q711</f>
        <v/>
      </c>
      <c r="S711" s="15">
        <f>$I$1*S710-$I$2*S709+$I$3*R690+$I$4*R689</f>
        <v/>
      </c>
      <c r="T711" s="15" t="n">
        <v>0</v>
      </c>
      <c r="U711" s="15">
        <f>S711+T711</f>
        <v/>
      </c>
      <c r="V711" s="15">
        <f>INT((2^$J$12-1)*U711/100)/(2^$J$12-1)*100</f>
        <v/>
      </c>
      <c r="X711" s="15">
        <f>M711 * 1.05</f>
        <v/>
      </c>
      <c r="Y711" s="15">
        <f>M711 * 0.95</f>
        <v/>
      </c>
      <c r="Z711" s="15">
        <f>IF(AND(V711 &lt;= X711, V711 &gt;= Y711), 1, 0)</f>
        <v/>
      </c>
      <c r="AC711" s="15">
        <f>N711^2</f>
        <v/>
      </c>
      <c r="AD711" s="15">
        <f>ABS(N711)</f>
        <v/>
      </c>
      <c r="AE711" s="15">
        <f>IF(M711&gt;0, ABS(N711)*(L711-$D$16),0)</f>
        <v/>
      </c>
    </row>
    <row r="712">
      <c r="L712" s="15" t="n">
        <v>710</v>
      </c>
      <c r="M712" s="15">
        <f>IF(L712&lt;$D$16,$D$12,IF(L712&lt;$E$16,$E$12,$F$13))</f>
        <v/>
      </c>
      <c r="N712" s="15">
        <f>M712-V712</f>
        <v/>
      </c>
      <c r="O712" s="15">
        <f>IF(MOD(L712,$B$11)=0,OFFSET(O712,-$B$11,0)+ $E$2*N712+$E$3*OFFSET(N712,-$B$11,0)+ $E$4*OFFSET(N712,-2* $B$11,0), O711)</f>
        <v/>
      </c>
      <c r="P712" s="15">
        <f>INT((2^$J$12-1)*O712/100)/(2^$J$12-1)*100</f>
        <v/>
      </c>
      <c r="Q712" s="15" t="n">
        <v>0</v>
      </c>
      <c r="R712" s="15">
        <f>P712+Q712</f>
        <v/>
      </c>
      <c r="S712" s="15">
        <f>$I$1*S711-$I$2*S710+$I$3*R691+$I$4*R690</f>
        <v/>
      </c>
      <c r="T712" s="15" t="n">
        <v>0</v>
      </c>
      <c r="U712" s="15">
        <f>S712+T712</f>
        <v/>
      </c>
      <c r="V712" s="15">
        <f>INT((2^$J$12-1)*U712/100)/(2^$J$12-1)*100</f>
        <v/>
      </c>
      <c r="X712" s="15">
        <f>M712 * 1.05</f>
        <v/>
      </c>
      <c r="Y712" s="15">
        <f>M712 * 0.95</f>
        <v/>
      </c>
      <c r="Z712" s="15">
        <f>IF(AND(V712 &lt;= X712, V712 &gt;= Y712), 1, 0)</f>
        <v/>
      </c>
      <c r="AC712" s="15">
        <f>N712^2</f>
        <v/>
      </c>
      <c r="AD712" s="15">
        <f>ABS(N712)</f>
        <v/>
      </c>
      <c r="AE712" s="15">
        <f>IF(M712&gt;0, ABS(N712)*(L712-$D$16),0)</f>
        <v/>
      </c>
    </row>
    <row r="713">
      <c r="L713" s="15" t="n">
        <v>711</v>
      </c>
      <c r="M713" s="15">
        <f>IF(L713&lt;$D$16,$D$12,IF(L713&lt;$E$16,$E$12,$F$13))</f>
        <v/>
      </c>
      <c r="N713" s="15">
        <f>M713-V713</f>
        <v/>
      </c>
      <c r="O713" s="15">
        <f>IF(MOD(L713,$B$11)=0,OFFSET(O713,-$B$11,0)+ $E$2*N713+$E$3*OFFSET(N713,-$B$11,0)+ $E$4*OFFSET(N713,-2* $B$11,0), O712)</f>
        <v/>
      </c>
      <c r="P713" s="15">
        <f>INT((2^$J$12-1)*O713/100)/(2^$J$12-1)*100</f>
        <v/>
      </c>
      <c r="Q713" s="15" t="n">
        <v>0</v>
      </c>
      <c r="R713" s="15">
        <f>P713+Q713</f>
        <v/>
      </c>
      <c r="S713" s="15">
        <f>$I$1*S712-$I$2*S711+$I$3*R692+$I$4*R691</f>
        <v/>
      </c>
      <c r="T713" s="15" t="n">
        <v>0</v>
      </c>
      <c r="U713" s="15">
        <f>S713+T713</f>
        <v/>
      </c>
      <c r="V713" s="15">
        <f>INT((2^$J$12-1)*U713/100)/(2^$J$12-1)*100</f>
        <v/>
      </c>
      <c r="X713" s="15">
        <f>M713 * 1.05</f>
        <v/>
      </c>
      <c r="Y713" s="15">
        <f>M713 * 0.95</f>
        <v/>
      </c>
      <c r="Z713" s="15">
        <f>IF(AND(V713 &lt;= X713, V713 &gt;= Y713), 1, 0)</f>
        <v/>
      </c>
      <c r="AC713" s="15">
        <f>N713^2</f>
        <v/>
      </c>
      <c r="AD713" s="15">
        <f>ABS(N713)</f>
        <v/>
      </c>
      <c r="AE713" s="15">
        <f>IF(M713&gt;0, ABS(N713)*(L713-$D$16),0)</f>
        <v/>
      </c>
    </row>
    <row r="714">
      <c r="L714" s="15" t="n">
        <v>712</v>
      </c>
      <c r="M714" s="15">
        <f>IF(L714&lt;$D$16,$D$12,IF(L714&lt;$E$16,$E$12,$F$13))</f>
        <v/>
      </c>
      <c r="N714" s="15">
        <f>M714-V714</f>
        <v/>
      </c>
      <c r="O714" s="15">
        <f>IF(MOD(L714,$B$11)=0,OFFSET(O714,-$B$11,0)+ $E$2*N714+$E$3*OFFSET(N714,-$B$11,0)+ $E$4*OFFSET(N714,-2* $B$11,0), O713)</f>
        <v/>
      </c>
      <c r="P714" s="15">
        <f>INT((2^$J$12-1)*O714/100)/(2^$J$12-1)*100</f>
        <v/>
      </c>
      <c r="Q714" s="15" t="n">
        <v>0</v>
      </c>
      <c r="R714" s="15">
        <f>P714+Q714</f>
        <v/>
      </c>
      <c r="S714" s="15">
        <f>$I$1*S713-$I$2*S712+$I$3*R693+$I$4*R692</f>
        <v/>
      </c>
      <c r="T714" s="15" t="n">
        <v>0</v>
      </c>
      <c r="U714" s="15">
        <f>S714+T714</f>
        <v/>
      </c>
      <c r="V714" s="15">
        <f>INT((2^$J$12-1)*U714/100)/(2^$J$12-1)*100</f>
        <v/>
      </c>
      <c r="X714" s="15">
        <f>M714 * 1.05</f>
        <v/>
      </c>
      <c r="Y714" s="15">
        <f>M714 * 0.95</f>
        <v/>
      </c>
      <c r="Z714" s="15">
        <f>IF(AND(V714 &lt;= X714, V714 &gt;= Y714), 1, 0)</f>
        <v/>
      </c>
      <c r="AC714" s="15">
        <f>N714^2</f>
        <v/>
      </c>
      <c r="AD714" s="15">
        <f>ABS(N714)</f>
        <v/>
      </c>
      <c r="AE714" s="15">
        <f>IF(M714&gt;0, ABS(N714)*(L714-$D$16),0)</f>
        <v/>
      </c>
    </row>
    <row r="715">
      <c r="L715" s="15" t="n">
        <v>713</v>
      </c>
      <c r="M715" s="15">
        <f>IF(L715&lt;$D$16,$D$12,IF(L715&lt;$E$16,$E$12,$F$13))</f>
        <v/>
      </c>
      <c r="N715" s="15">
        <f>M715-V715</f>
        <v/>
      </c>
      <c r="O715" s="15">
        <f>IF(MOD(L715,$B$11)=0,OFFSET(O715,-$B$11,0)+ $E$2*N715+$E$3*OFFSET(N715,-$B$11,0)+ $E$4*OFFSET(N715,-2* $B$11,0), O714)</f>
        <v/>
      </c>
      <c r="P715" s="15">
        <f>INT((2^$J$12-1)*O715/100)/(2^$J$12-1)*100</f>
        <v/>
      </c>
      <c r="Q715" s="15" t="n">
        <v>0</v>
      </c>
      <c r="R715" s="15">
        <f>P715+Q715</f>
        <v/>
      </c>
      <c r="S715" s="15">
        <f>$I$1*S714-$I$2*S713+$I$3*R694+$I$4*R693</f>
        <v/>
      </c>
      <c r="T715" s="15" t="n">
        <v>0</v>
      </c>
      <c r="U715" s="15">
        <f>S715+T715</f>
        <v/>
      </c>
      <c r="V715" s="15">
        <f>INT((2^$J$12-1)*U715/100)/(2^$J$12-1)*100</f>
        <v/>
      </c>
      <c r="X715" s="15">
        <f>M715 * 1.05</f>
        <v/>
      </c>
      <c r="Y715" s="15">
        <f>M715 * 0.95</f>
        <v/>
      </c>
      <c r="Z715" s="15">
        <f>IF(AND(V715 &lt;= X715, V715 &gt;= Y715), 1, 0)</f>
        <v/>
      </c>
      <c r="AC715" s="15">
        <f>N715^2</f>
        <v/>
      </c>
      <c r="AD715" s="15">
        <f>ABS(N715)</f>
        <v/>
      </c>
      <c r="AE715" s="15">
        <f>IF(M715&gt;0, ABS(N715)*(L715-$D$16),0)</f>
        <v/>
      </c>
    </row>
    <row r="716">
      <c r="L716" s="15" t="n">
        <v>714</v>
      </c>
      <c r="M716" s="15">
        <f>IF(L716&lt;$D$16,$D$12,IF(L716&lt;$E$16,$E$12,$F$13))</f>
        <v/>
      </c>
      <c r="N716" s="15">
        <f>M716-V716</f>
        <v/>
      </c>
      <c r="O716" s="15">
        <f>IF(MOD(L716,$B$11)=0,OFFSET(O716,-$B$11,0)+ $E$2*N716+$E$3*OFFSET(N716,-$B$11,0)+ $E$4*OFFSET(N716,-2* $B$11,0), O715)</f>
        <v/>
      </c>
      <c r="P716" s="15">
        <f>INT((2^$J$12-1)*O716/100)/(2^$J$12-1)*100</f>
        <v/>
      </c>
      <c r="Q716" s="15" t="n">
        <v>0</v>
      </c>
      <c r="R716" s="15">
        <f>P716+Q716</f>
        <v/>
      </c>
      <c r="S716" s="15">
        <f>$I$1*S715-$I$2*S714+$I$3*R695+$I$4*R694</f>
        <v/>
      </c>
      <c r="T716" s="15" t="n">
        <v>0</v>
      </c>
      <c r="U716" s="15">
        <f>S716+T716</f>
        <v/>
      </c>
      <c r="V716" s="15">
        <f>INT((2^$J$12-1)*U716/100)/(2^$J$12-1)*100</f>
        <v/>
      </c>
      <c r="X716" s="15">
        <f>M716 * 1.05</f>
        <v/>
      </c>
      <c r="Y716" s="15">
        <f>M716 * 0.95</f>
        <v/>
      </c>
      <c r="Z716" s="15">
        <f>IF(AND(V716 &lt;= X716, V716 &gt;= Y716), 1, 0)</f>
        <v/>
      </c>
      <c r="AC716" s="15">
        <f>N716^2</f>
        <v/>
      </c>
      <c r="AD716" s="15">
        <f>ABS(N716)</f>
        <v/>
      </c>
      <c r="AE716" s="15">
        <f>IF(M716&gt;0, ABS(N716)*(L716-$D$16),0)</f>
        <v/>
      </c>
    </row>
    <row r="717">
      <c r="L717" s="15" t="n">
        <v>715</v>
      </c>
      <c r="M717" s="15">
        <f>IF(L717&lt;$D$16,$D$12,IF(L717&lt;$E$16,$E$12,$F$13))</f>
        <v/>
      </c>
      <c r="N717" s="15">
        <f>M717-V717</f>
        <v/>
      </c>
      <c r="O717" s="15">
        <f>IF(MOD(L717,$B$11)=0,OFFSET(O717,-$B$11,0)+ $E$2*N717+$E$3*OFFSET(N717,-$B$11,0)+ $E$4*OFFSET(N717,-2* $B$11,0), O716)</f>
        <v/>
      </c>
      <c r="P717" s="15">
        <f>INT((2^$J$12-1)*O717/100)/(2^$J$12-1)*100</f>
        <v/>
      </c>
      <c r="Q717" s="15" t="n">
        <v>0</v>
      </c>
      <c r="R717" s="15">
        <f>P717+Q717</f>
        <v/>
      </c>
      <c r="S717" s="15">
        <f>$I$1*S716-$I$2*S715+$I$3*R696+$I$4*R695</f>
        <v/>
      </c>
      <c r="T717" s="15" t="n">
        <v>0</v>
      </c>
      <c r="U717" s="15">
        <f>S717+T717</f>
        <v/>
      </c>
      <c r="V717" s="15">
        <f>INT((2^$J$12-1)*U717/100)/(2^$J$12-1)*100</f>
        <v/>
      </c>
      <c r="X717" s="15">
        <f>M717 * 1.05</f>
        <v/>
      </c>
      <c r="Y717" s="15">
        <f>M717 * 0.95</f>
        <v/>
      </c>
      <c r="Z717" s="15">
        <f>IF(AND(V717 &lt;= X717, V717 &gt;= Y717), 1, 0)</f>
        <v/>
      </c>
      <c r="AC717" s="15">
        <f>N717^2</f>
        <v/>
      </c>
      <c r="AD717" s="15">
        <f>ABS(N717)</f>
        <v/>
      </c>
      <c r="AE717" s="15">
        <f>IF(M717&gt;0, ABS(N717)*(L717-$D$16),0)</f>
        <v/>
      </c>
    </row>
    <row r="718">
      <c r="L718" s="15" t="n">
        <v>716</v>
      </c>
      <c r="M718" s="15">
        <f>IF(L718&lt;$D$16,$D$12,IF(L718&lt;$E$16,$E$12,$F$13))</f>
        <v/>
      </c>
      <c r="N718" s="15">
        <f>M718-V718</f>
        <v/>
      </c>
      <c r="O718" s="15">
        <f>IF(MOD(L718,$B$11)=0,OFFSET(O718,-$B$11,0)+ $E$2*N718+$E$3*OFFSET(N718,-$B$11,0)+ $E$4*OFFSET(N718,-2* $B$11,0), O717)</f>
        <v/>
      </c>
      <c r="P718" s="15">
        <f>INT((2^$J$12-1)*O718/100)/(2^$J$12-1)*100</f>
        <v/>
      </c>
      <c r="Q718" s="15" t="n">
        <v>0</v>
      </c>
      <c r="R718" s="15">
        <f>P718+Q718</f>
        <v/>
      </c>
      <c r="S718" s="15">
        <f>$I$1*S717-$I$2*S716+$I$3*R697+$I$4*R696</f>
        <v/>
      </c>
      <c r="T718" s="15" t="n">
        <v>0</v>
      </c>
      <c r="U718" s="15">
        <f>S718+T718</f>
        <v/>
      </c>
      <c r="V718" s="15">
        <f>INT((2^$J$12-1)*U718/100)/(2^$J$12-1)*100</f>
        <v/>
      </c>
      <c r="X718" s="15">
        <f>M718 * 1.05</f>
        <v/>
      </c>
      <c r="Y718" s="15">
        <f>M718 * 0.95</f>
        <v/>
      </c>
      <c r="Z718" s="15">
        <f>IF(AND(V718 &lt;= X718, V718 &gt;= Y718), 1, 0)</f>
        <v/>
      </c>
      <c r="AC718" s="15">
        <f>N718^2</f>
        <v/>
      </c>
      <c r="AD718" s="15">
        <f>ABS(N718)</f>
        <v/>
      </c>
      <c r="AE718" s="15">
        <f>IF(M718&gt;0, ABS(N718)*(L718-$D$16),0)</f>
        <v/>
      </c>
    </row>
    <row r="719">
      <c r="L719" s="15" t="n">
        <v>717</v>
      </c>
      <c r="M719" s="15">
        <f>IF(L719&lt;$D$16,$D$12,IF(L719&lt;$E$16,$E$12,$F$13))</f>
        <v/>
      </c>
      <c r="N719" s="15">
        <f>M719-V719</f>
        <v/>
      </c>
      <c r="O719" s="15">
        <f>IF(MOD(L719,$B$11)=0,OFFSET(O719,-$B$11,0)+ $E$2*N719+$E$3*OFFSET(N719,-$B$11,0)+ $E$4*OFFSET(N719,-2* $B$11,0), O718)</f>
        <v/>
      </c>
      <c r="P719" s="15">
        <f>INT((2^$J$12-1)*O719/100)/(2^$J$12-1)*100</f>
        <v/>
      </c>
      <c r="Q719" s="15" t="n">
        <v>0</v>
      </c>
      <c r="R719" s="15">
        <f>P719+Q719</f>
        <v/>
      </c>
      <c r="S719" s="15">
        <f>$I$1*S718-$I$2*S717+$I$3*R698+$I$4*R697</f>
        <v/>
      </c>
      <c r="T719" s="15" t="n">
        <v>0</v>
      </c>
      <c r="U719" s="15">
        <f>S719+T719</f>
        <v/>
      </c>
      <c r="V719" s="15">
        <f>INT((2^$J$12-1)*U719/100)/(2^$J$12-1)*100</f>
        <v/>
      </c>
      <c r="X719" s="15">
        <f>M719 * 1.05</f>
        <v/>
      </c>
      <c r="Y719" s="15">
        <f>M719 * 0.95</f>
        <v/>
      </c>
      <c r="Z719" s="15">
        <f>IF(AND(V719 &lt;= X719, V719 &gt;= Y719), 1, 0)</f>
        <v/>
      </c>
      <c r="AC719" s="15">
        <f>N719^2</f>
        <v/>
      </c>
      <c r="AD719" s="15">
        <f>ABS(N719)</f>
        <v/>
      </c>
      <c r="AE719" s="15">
        <f>IF(M719&gt;0, ABS(N719)*(L719-$D$16),0)</f>
        <v/>
      </c>
    </row>
    <row r="720">
      <c r="L720" s="15" t="n">
        <v>718</v>
      </c>
      <c r="M720" s="15">
        <f>IF(L720&lt;$D$16,$D$12,IF(L720&lt;$E$16,$E$12,$F$13))</f>
        <v/>
      </c>
      <c r="N720" s="15">
        <f>M720-V720</f>
        <v/>
      </c>
      <c r="O720" s="15">
        <f>IF(MOD(L720,$B$11)=0,OFFSET(O720,-$B$11,0)+ $E$2*N720+$E$3*OFFSET(N720,-$B$11,0)+ $E$4*OFFSET(N720,-2* $B$11,0), O719)</f>
        <v/>
      </c>
      <c r="P720" s="15">
        <f>INT((2^$J$12-1)*O720/100)/(2^$J$12-1)*100</f>
        <v/>
      </c>
      <c r="Q720" s="15" t="n">
        <v>0</v>
      </c>
      <c r="R720" s="15">
        <f>P720+Q720</f>
        <v/>
      </c>
      <c r="S720" s="15">
        <f>$I$1*S719-$I$2*S718+$I$3*R699+$I$4*R698</f>
        <v/>
      </c>
      <c r="T720" s="15" t="n">
        <v>0</v>
      </c>
      <c r="U720" s="15">
        <f>S720+T720</f>
        <v/>
      </c>
      <c r="V720" s="15">
        <f>INT((2^$J$12-1)*U720/100)/(2^$J$12-1)*100</f>
        <v/>
      </c>
      <c r="X720" s="15">
        <f>M720 * 1.05</f>
        <v/>
      </c>
      <c r="Y720" s="15">
        <f>M720 * 0.95</f>
        <v/>
      </c>
      <c r="Z720" s="15">
        <f>IF(AND(V720 &lt;= X720, V720 &gt;= Y720), 1, 0)</f>
        <v/>
      </c>
      <c r="AC720" s="15">
        <f>N720^2</f>
        <v/>
      </c>
      <c r="AD720" s="15">
        <f>ABS(N720)</f>
        <v/>
      </c>
      <c r="AE720" s="15">
        <f>IF(M720&gt;0, ABS(N720)*(L720-$D$16),0)</f>
        <v/>
      </c>
    </row>
    <row r="721">
      <c r="L721" s="15" t="n">
        <v>719</v>
      </c>
      <c r="M721" s="15">
        <f>IF(L721&lt;$D$16,$D$12,IF(L721&lt;$E$16,$E$12,$F$13))</f>
        <v/>
      </c>
      <c r="N721" s="15">
        <f>M721-V721</f>
        <v/>
      </c>
      <c r="O721" s="15">
        <f>IF(MOD(L721,$B$11)=0,OFFSET(O721,-$B$11,0)+ $E$2*N721+$E$3*OFFSET(N721,-$B$11,0)+ $E$4*OFFSET(N721,-2* $B$11,0), O720)</f>
        <v/>
      </c>
      <c r="P721" s="15">
        <f>INT((2^$J$12-1)*O721/100)/(2^$J$12-1)*100</f>
        <v/>
      </c>
      <c r="Q721" s="15" t="n">
        <v>0</v>
      </c>
      <c r="R721" s="15">
        <f>P721+Q721</f>
        <v/>
      </c>
      <c r="S721" s="15">
        <f>$I$1*S720-$I$2*S719+$I$3*R700+$I$4*R699</f>
        <v/>
      </c>
      <c r="T721" s="15" t="n">
        <v>0</v>
      </c>
      <c r="U721" s="15">
        <f>S721+T721</f>
        <v/>
      </c>
      <c r="V721" s="15">
        <f>INT((2^$J$12-1)*U721/100)/(2^$J$12-1)*100</f>
        <v/>
      </c>
      <c r="X721" s="15">
        <f>M721 * 1.05</f>
        <v/>
      </c>
      <c r="Y721" s="15">
        <f>M721 * 0.95</f>
        <v/>
      </c>
      <c r="Z721" s="15">
        <f>IF(AND(V721 &lt;= X721, V721 &gt;= Y721), 1, 0)</f>
        <v/>
      </c>
      <c r="AC721" s="15">
        <f>N721^2</f>
        <v/>
      </c>
      <c r="AD721" s="15">
        <f>ABS(N721)</f>
        <v/>
      </c>
      <c r="AE721" s="15">
        <f>IF(M721&gt;0, ABS(N721)*(L721-$D$16),0)</f>
        <v/>
      </c>
    </row>
    <row r="722">
      <c r="L722" s="15" t="n">
        <v>720</v>
      </c>
      <c r="M722" s="15">
        <f>IF(L722&lt;$D$16,$D$12,IF(L722&lt;$E$16,$E$12,$F$13))</f>
        <v/>
      </c>
      <c r="N722" s="15">
        <f>M722-V722</f>
        <v/>
      </c>
      <c r="O722" s="15">
        <f>IF(MOD(L722,$B$11)=0,OFFSET(O722,-$B$11,0)+ $E$2*N722+$E$3*OFFSET(N722,-$B$11,0)+ $E$4*OFFSET(N722,-2* $B$11,0), O721)</f>
        <v/>
      </c>
      <c r="P722" s="15">
        <f>INT((2^$J$12-1)*O722/100)/(2^$J$12-1)*100</f>
        <v/>
      </c>
      <c r="Q722" s="15" t="n">
        <v>0</v>
      </c>
      <c r="R722" s="15">
        <f>P722+Q722</f>
        <v/>
      </c>
      <c r="S722" s="15">
        <f>$I$1*S721-$I$2*S720+$I$3*R701+$I$4*R700</f>
        <v/>
      </c>
      <c r="T722" s="15" t="n">
        <v>0</v>
      </c>
      <c r="U722" s="15">
        <f>S722+T722</f>
        <v/>
      </c>
      <c r="V722" s="15">
        <f>INT((2^$J$12-1)*U722/100)/(2^$J$12-1)*100</f>
        <v/>
      </c>
      <c r="X722" s="15">
        <f>M722 * 1.05</f>
        <v/>
      </c>
      <c r="Y722" s="15">
        <f>M722 * 0.95</f>
        <v/>
      </c>
      <c r="Z722" s="15">
        <f>IF(AND(V722 &lt;= X722, V722 &gt;= Y722), 1, 0)</f>
        <v/>
      </c>
      <c r="AC722" s="15">
        <f>N722^2</f>
        <v/>
      </c>
      <c r="AD722" s="15">
        <f>ABS(N722)</f>
        <v/>
      </c>
      <c r="AE722" s="15">
        <f>IF(M722&gt;0, ABS(N722)*(L722-$D$16),0)</f>
        <v/>
      </c>
    </row>
    <row r="723">
      <c r="L723" s="15" t="n">
        <v>721</v>
      </c>
      <c r="M723" s="15">
        <f>IF(L723&lt;$D$16,$D$12,IF(L723&lt;$E$16,$E$12,$F$13))</f>
        <v/>
      </c>
      <c r="N723" s="15">
        <f>M723-V723</f>
        <v/>
      </c>
      <c r="O723" s="15">
        <f>IF(MOD(L723,$B$11)=0,OFFSET(O723,-$B$11,0)+ $E$2*N723+$E$3*OFFSET(N723,-$B$11,0)+ $E$4*OFFSET(N723,-2* $B$11,0), O722)</f>
        <v/>
      </c>
      <c r="P723" s="15">
        <f>INT((2^$J$12-1)*O723/100)/(2^$J$12-1)*100</f>
        <v/>
      </c>
      <c r="Q723" s="15" t="n">
        <v>0</v>
      </c>
      <c r="R723" s="15">
        <f>P723+Q723</f>
        <v/>
      </c>
      <c r="S723" s="15">
        <f>$I$1*S722-$I$2*S721+$I$3*R702+$I$4*R701</f>
        <v/>
      </c>
      <c r="T723" s="15" t="n">
        <v>0</v>
      </c>
      <c r="U723" s="15">
        <f>S723+T723</f>
        <v/>
      </c>
      <c r="V723" s="15">
        <f>INT((2^$J$12-1)*U723/100)/(2^$J$12-1)*100</f>
        <v/>
      </c>
      <c r="X723" s="15">
        <f>M723 * 1.05</f>
        <v/>
      </c>
      <c r="Y723" s="15">
        <f>M723 * 0.95</f>
        <v/>
      </c>
      <c r="Z723" s="15">
        <f>IF(AND(V723 &lt;= X723, V723 &gt;= Y723), 1, 0)</f>
        <v/>
      </c>
      <c r="AC723" s="15">
        <f>N723^2</f>
        <v/>
      </c>
      <c r="AD723" s="15">
        <f>ABS(N723)</f>
        <v/>
      </c>
      <c r="AE723" s="15">
        <f>IF(M723&gt;0, ABS(N723)*(L723-$D$16),0)</f>
        <v/>
      </c>
    </row>
    <row r="724">
      <c r="L724" s="15" t="n">
        <v>722</v>
      </c>
      <c r="M724" s="15">
        <f>IF(L724&lt;$D$16,$D$12,IF(L724&lt;$E$16,$E$12,$F$13))</f>
        <v/>
      </c>
      <c r="N724" s="15">
        <f>M724-V724</f>
        <v/>
      </c>
      <c r="O724" s="15">
        <f>IF(MOD(L724,$B$11)=0,OFFSET(O724,-$B$11,0)+ $E$2*N724+$E$3*OFFSET(N724,-$B$11,0)+ $E$4*OFFSET(N724,-2* $B$11,0), O723)</f>
        <v/>
      </c>
      <c r="P724" s="15">
        <f>INT((2^$J$12-1)*O724/100)/(2^$J$12-1)*100</f>
        <v/>
      </c>
      <c r="Q724" s="15" t="n">
        <v>0</v>
      </c>
      <c r="R724" s="15">
        <f>P724+Q724</f>
        <v/>
      </c>
      <c r="S724" s="15">
        <f>$I$1*S723-$I$2*S722+$I$3*R703+$I$4*R702</f>
        <v/>
      </c>
      <c r="T724" s="15" t="n">
        <v>0</v>
      </c>
      <c r="U724" s="15">
        <f>S724+T724</f>
        <v/>
      </c>
      <c r="V724" s="15">
        <f>INT((2^$J$12-1)*U724/100)/(2^$J$12-1)*100</f>
        <v/>
      </c>
      <c r="X724" s="15">
        <f>M724 * 1.05</f>
        <v/>
      </c>
      <c r="Y724" s="15">
        <f>M724 * 0.95</f>
        <v/>
      </c>
      <c r="Z724" s="15">
        <f>IF(AND(V724 &lt;= X724, V724 &gt;= Y724), 1, 0)</f>
        <v/>
      </c>
      <c r="AC724" s="15">
        <f>N724^2</f>
        <v/>
      </c>
      <c r="AD724" s="15">
        <f>ABS(N724)</f>
        <v/>
      </c>
      <c r="AE724" s="15">
        <f>IF(M724&gt;0, ABS(N724)*(L724-$D$16),0)</f>
        <v/>
      </c>
    </row>
    <row r="725">
      <c r="L725" s="15" t="n">
        <v>723</v>
      </c>
      <c r="M725" s="15">
        <f>IF(L725&lt;$D$16,$D$12,IF(L725&lt;$E$16,$E$12,$F$13))</f>
        <v/>
      </c>
      <c r="N725" s="15">
        <f>M725-V725</f>
        <v/>
      </c>
      <c r="O725" s="15">
        <f>IF(MOD(L725,$B$11)=0,OFFSET(O725,-$B$11,0)+ $E$2*N725+$E$3*OFFSET(N725,-$B$11,0)+ $E$4*OFFSET(N725,-2* $B$11,0), O724)</f>
        <v/>
      </c>
      <c r="P725" s="15">
        <f>INT((2^$J$12-1)*O725/100)/(2^$J$12-1)*100</f>
        <v/>
      </c>
      <c r="Q725" s="15" t="n">
        <v>0</v>
      </c>
      <c r="R725" s="15">
        <f>P725+Q725</f>
        <v/>
      </c>
      <c r="S725" s="15">
        <f>$I$1*S724-$I$2*S723+$I$3*R704+$I$4*R703</f>
        <v/>
      </c>
      <c r="T725" s="15" t="n">
        <v>0</v>
      </c>
      <c r="U725" s="15">
        <f>S725+T725</f>
        <v/>
      </c>
      <c r="V725" s="15">
        <f>INT((2^$J$12-1)*U725/100)/(2^$J$12-1)*100</f>
        <v/>
      </c>
      <c r="X725" s="15">
        <f>M725 * 1.05</f>
        <v/>
      </c>
      <c r="Y725" s="15">
        <f>M725 * 0.95</f>
        <v/>
      </c>
      <c r="Z725" s="15">
        <f>IF(AND(V725 &lt;= X725, V725 &gt;= Y725), 1, 0)</f>
        <v/>
      </c>
      <c r="AC725" s="15">
        <f>N725^2</f>
        <v/>
      </c>
      <c r="AD725" s="15">
        <f>ABS(N725)</f>
        <v/>
      </c>
      <c r="AE725" s="15">
        <f>IF(M725&gt;0, ABS(N725)*(L725-$D$16),0)</f>
        <v/>
      </c>
    </row>
    <row r="726">
      <c r="L726" s="15" t="n">
        <v>724</v>
      </c>
      <c r="M726" s="15">
        <f>IF(L726&lt;$D$16,$D$12,IF(L726&lt;$E$16,$E$12,$F$13))</f>
        <v/>
      </c>
      <c r="N726" s="15">
        <f>M726-V726</f>
        <v/>
      </c>
      <c r="O726" s="15">
        <f>IF(MOD(L726,$B$11)=0,OFFSET(O726,-$B$11,0)+ $E$2*N726+$E$3*OFFSET(N726,-$B$11,0)+ $E$4*OFFSET(N726,-2* $B$11,0), O725)</f>
        <v/>
      </c>
      <c r="P726" s="15">
        <f>INT((2^$J$12-1)*O726/100)/(2^$J$12-1)*100</f>
        <v/>
      </c>
      <c r="Q726" s="15" t="n">
        <v>0</v>
      </c>
      <c r="R726" s="15">
        <f>P726+Q726</f>
        <v/>
      </c>
      <c r="S726" s="15">
        <f>$I$1*S725-$I$2*S724+$I$3*R705+$I$4*R704</f>
        <v/>
      </c>
      <c r="T726" s="15" t="n">
        <v>0</v>
      </c>
      <c r="U726" s="15">
        <f>S726+T726</f>
        <v/>
      </c>
      <c r="V726" s="15">
        <f>INT((2^$J$12-1)*U726/100)/(2^$J$12-1)*100</f>
        <v/>
      </c>
      <c r="X726" s="15">
        <f>M726 * 1.05</f>
        <v/>
      </c>
      <c r="Y726" s="15">
        <f>M726 * 0.95</f>
        <v/>
      </c>
      <c r="Z726" s="15">
        <f>IF(AND(V726 &lt;= X726, V726 &gt;= Y726), 1, 0)</f>
        <v/>
      </c>
      <c r="AC726" s="15">
        <f>N726^2</f>
        <v/>
      </c>
      <c r="AD726" s="15">
        <f>ABS(N726)</f>
        <v/>
      </c>
      <c r="AE726" s="15">
        <f>IF(M726&gt;0, ABS(N726)*(L726-$D$16),0)</f>
        <v/>
      </c>
    </row>
    <row r="727">
      <c r="L727" s="15" t="n">
        <v>725</v>
      </c>
      <c r="M727" s="15">
        <f>IF(L727&lt;$D$16,$D$12,IF(L727&lt;$E$16,$E$12,$F$13))</f>
        <v/>
      </c>
      <c r="N727" s="15">
        <f>M727-V727</f>
        <v/>
      </c>
      <c r="O727" s="15">
        <f>IF(MOD(L727,$B$11)=0,OFFSET(O727,-$B$11,0)+ $E$2*N727+$E$3*OFFSET(N727,-$B$11,0)+ $E$4*OFFSET(N727,-2* $B$11,0), O726)</f>
        <v/>
      </c>
      <c r="P727" s="15">
        <f>INT((2^$J$12-1)*O727/100)/(2^$J$12-1)*100</f>
        <v/>
      </c>
      <c r="Q727" s="15" t="n">
        <v>0</v>
      </c>
      <c r="R727" s="15">
        <f>P727+Q727</f>
        <v/>
      </c>
      <c r="S727" s="15">
        <f>$I$1*S726-$I$2*S725+$I$3*R706+$I$4*R705</f>
        <v/>
      </c>
      <c r="T727" s="15" t="n">
        <v>0</v>
      </c>
      <c r="U727" s="15">
        <f>S727+T727</f>
        <v/>
      </c>
      <c r="V727" s="15">
        <f>INT((2^$J$12-1)*U727/100)/(2^$J$12-1)*100</f>
        <v/>
      </c>
      <c r="X727" s="15">
        <f>M727 * 1.05</f>
        <v/>
      </c>
      <c r="Y727" s="15">
        <f>M727 * 0.95</f>
        <v/>
      </c>
      <c r="Z727" s="15">
        <f>IF(AND(V727 &lt;= X727, V727 &gt;= Y727), 1, 0)</f>
        <v/>
      </c>
      <c r="AC727" s="15">
        <f>N727^2</f>
        <v/>
      </c>
      <c r="AD727" s="15">
        <f>ABS(N727)</f>
        <v/>
      </c>
      <c r="AE727" s="15">
        <f>IF(M727&gt;0, ABS(N727)*(L727-$D$16),0)</f>
        <v/>
      </c>
    </row>
    <row r="728">
      <c r="L728" s="15" t="n">
        <v>726</v>
      </c>
      <c r="M728" s="15">
        <f>IF(L728&lt;$D$16,$D$12,IF(L728&lt;$E$16,$E$12,$F$13))</f>
        <v/>
      </c>
      <c r="N728" s="15">
        <f>M728-V728</f>
        <v/>
      </c>
      <c r="O728" s="15">
        <f>IF(MOD(L728,$B$11)=0,OFFSET(O728,-$B$11,0)+ $E$2*N728+$E$3*OFFSET(N728,-$B$11,0)+ $E$4*OFFSET(N728,-2* $B$11,0), O727)</f>
        <v/>
      </c>
      <c r="P728" s="15">
        <f>INT((2^$J$12-1)*O728/100)/(2^$J$12-1)*100</f>
        <v/>
      </c>
      <c r="Q728" s="15" t="n">
        <v>0</v>
      </c>
      <c r="R728" s="15">
        <f>P728+Q728</f>
        <v/>
      </c>
      <c r="S728" s="15">
        <f>$I$1*S727-$I$2*S726+$I$3*R707+$I$4*R706</f>
        <v/>
      </c>
      <c r="T728" s="15" t="n">
        <v>0</v>
      </c>
      <c r="U728" s="15">
        <f>S728+T728</f>
        <v/>
      </c>
      <c r="V728" s="15">
        <f>INT((2^$J$12-1)*U728/100)/(2^$J$12-1)*100</f>
        <v/>
      </c>
      <c r="X728" s="15">
        <f>M728 * 1.05</f>
        <v/>
      </c>
      <c r="Y728" s="15">
        <f>M728 * 0.95</f>
        <v/>
      </c>
      <c r="Z728" s="15">
        <f>IF(AND(V728 &lt;= X728, V728 &gt;= Y728), 1, 0)</f>
        <v/>
      </c>
      <c r="AC728" s="15">
        <f>N728^2</f>
        <v/>
      </c>
      <c r="AD728" s="15">
        <f>ABS(N728)</f>
        <v/>
      </c>
      <c r="AE728" s="15">
        <f>IF(M728&gt;0, ABS(N728)*(L728-$D$16),0)</f>
        <v/>
      </c>
    </row>
    <row r="729">
      <c r="L729" s="15" t="n">
        <v>727</v>
      </c>
      <c r="M729" s="15">
        <f>IF(L729&lt;$D$16,$D$12,IF(L729&lt;$E$16,$E$12,$F$13))</f>
        <v/>
      </c>
      <c r="N729" s="15">
        <f>M729-V729</f>
        <v/>
      </c>
      <c r="O729" s="15">
        <f>IF(MOD(L729,$B$11)=0,OFFSET(O729,-$B$11,0)+ $E$2*N729+$E$3*OFFSET(N729,-$B$11,0)+ $E$4*OFFSET(N729,-2* $B$11,0), O728)</f>
        <v/>
      </c>
      <c r="P729" s="15">
        <f>INT((2^$J$12-1)*O729/100)/(2^$J$12-1)*100</f>
        <v/>
      </c>
      <c r="Q729" s="15" t="n">
        <v>0</v>
      </c>
      <c r="R729" s="15">
        <f>P729+Q729</f>
        <v/>
      </c>
      <c r="S729" s="15">
        <f>$I$1*S728-$I$2*S727+$I$3*R708+$I$4*R707</f>
        <v/>
      </c>
      <c r="T729" s="15" t="n">
        <v>0</v>
      </c>
      <c r="U729" s="15">
        <f>S729+T729</f>
        <v/>
      </c>
      <c r="V729" s="15">
        <f>INT((2^$J$12-1)*U729/100)/(2^$J$12-1)*100</f>
        <v/>
      </c>
      <c r="X729" s="15">
        <f>M729 * 1.05</f>
        <v/>
      </c>
      <c r="Y729" s="15">
        <f>M729 * 0.95</f>
        <v/>
      </c>
      <c r="Z729" s="15">
        <f>IF(AND(V729 &lt;= X729, V729 &gt;= Y729), 1, 0)</f>
        <v/>
      </c>
      <c r="AC729" s="15">
        <f>N729^2</f>
        <v/>
      </c>
      <c r="AD729" s="15">
        <f>ABS(N729)</f>
        <v/>
      </c>
      <c r="AE729" s="15">
        <f>IF(M729&gt;0, ABS(N729)*(L729-$D$16),0)</f>
        <v/>
      </c>
    </row>
    <row r="730">
      <c r="L730" s="15" t="n">
        <v>728</v>
      </c>
      <c r="M730" s="15">
        <f>IF(L730&lt;$D$16,$D$12,IF(L730&lt;$E$16,$E$12,$F$13))</f>
        <v/>
      </c>
      <c r="N730" s="15">
        <f>M730-V730</f>
        <v/>
      </c>
      <c r="O730" s="15">
        <f>IF(MOD(L730,$B$11)=0,OFFSET(O730,-$B$11,0)+ $E$2*N730+$E$3*OFFSET(N730,-$B$11,0)+ $E$4*OFFSET(N730,-2* $B$11,0), O729)</f>
        <v/>
      </c>
      <c r="P730" s="15">
        <f>INT((2^$J$12-1)*O730/100)/(2^$J$12-1)*100</f>
        <v/>
      </c>
      <c r="Q730" s="15" t="n">
        <v>0</v>
      </c>
      <c r="R730" s="15">
        <f>P730+Q730</f>
        <v/>
      </c>
      <c r="S730" s="15">
        <f>$I$1*S729-$I$2*S728+$I$3*R709+$I$4*R708</f>
        <v/>
      </c>
      <c r="T730" s="15" t="n">
        <v>0</v>
      </c>
      <c r="U730" s="15">
        <f>S730+T730</f>
        <v/>
      </c>
      <c r="V730" s="15">
        <f>INT((2^$J$12-1)*U730/100)/(2^$J$12-1)*100</f>
        <v/>
      </c>
      <c r="X730" s="15">
        <f>M730 * 1.05</f>
        <v/>
      </c>
      <c r="Y730" s="15">
        <f>M730 * 0.95</f>
        <v/>
      </c>
      <c r="Z730" s="15">
        <f>IF(AND(V730 &lt;= X730, V730 &gt;= Y730), 1, 0)</f>
        <v/>
      </c>
      <c r="AC730" s="15">
        <f>N730^2</f>
        <v/>
      </c>
      <c r="AD730" s="15">
        <f>ABS(N730)</f>
        <v/>
      </c>
      <c r="AE730" s="15">
        <f>IF(M730&gt;0, ABS(N730)*(L730-$D$16),0)</f>
        <v/>
      </c>
    </row>
    <row r="731">
      <c r="L731" s="15" t="n">
        <v>729</v>
      </c>
      <c r="M731" s="15">
        <f>IF(L731&lt;$D$16,$D$12,IF(L731&lt;$E$16,$E$12,$F$13))</f>
        <v/>
      </c>
      <c r="N731" s="15">
        <f>M731-V731</f>
        <v/>
      </c>
      <c r="O731" s="15">
        <f>IF(MOD(L731,$B$11)=0,OFFSET(O731,-$B$11,0)+ $E$2*N731+$E$3*OFFSET(N731,-$B$11,0)+ $E$4*OFFSET(N731,-2* $B$11,0), O730)</f>
        <v/>
      </c>
      <c r="P731" s="15">
        <f>INT((2^$J$12-1)*O731/100)/(2^$J$12-1)*100</f>
        <v/>
      </c>
      <c r="Q731" s="15" t="n">
        <v>0</v>
      </c>
      <c r="R731" s="15">
        <f>P731+Q731</f>
        <v/>
      </c>
      <c r="S731" s="15">
        <f>$I$1*S730-$I$2*S729+$I$3*R710+$I$4*R709</f>
        <v/>
      </c>
      <c r="T731" s="15" t="n">
        <v>0</v>
      </c>
      <c r="U731" s="15">
        <f>S731+T731</f>
        <v/>
      </c>
      <c r="V731" s="15">
        <f>INT((2^$J$12-1)*U731/100)/(2^$J$12-1)*100</f>
        <v/>
      </c>
      <c r="X731" s="15">
        <f>M731 * 1.05</f>
        <v/>
      </c>
      <c r="Y731" s="15">
        <f>M731 * 0.95</f>
        <v/>
      </c>
      <c r="Z731" s="15">
        <f>IF(AND(V731 &lt;= X731, V731 &gt;= Y731), 1, 0)</f>
        <v/>
      </c>
      <c r="AC731" s="15">
        <f>N731^2</f>
        <v/>
      </c>
      <c r="AD731" s="15">
        <f>ABS(N731)</f>
        <v/>
      </c>
      <c r="AE731" s="15">
        <f>IF(M731&gt;0, ABS(N731)*(L731-$D$16),0)</f>
        <v/>
      </c>
    </row>
    <row r="732">
      <c r="L732" s="15" t="n">
        <v>730</v>
      </c>
      <c r="M732" s="15">
        <f>IF(L732&lt;$D$16,$D$12,IF(L732&lt;$E$16,$E$12,$F$13))</f>
        <v/>
      </c>
      <c r="N732" s="15">
        <f>M732-V732</f>
        <v/>
      </c>
      <c r="O732" s="15">
        <f>IF(MOD(L732,$B$11)=0,OFFSET(O732,-$B$11,0)+ $E$2*N732+$E$3*OFFSET(N732,-$B$11,0)+ $E$4*OFFSET(N732,-2* $B$11,0), O731)</f>
        <v/>
      </c>
      <c r="P732" s="15">
        <f>INT((2^$J$12-1)*O732/100)/(2^$J$12-1)*100</f>
        <v/>
      </c>
      <c r="Q732" s="15" t="n">
        <v>0</v>
      </c>
      <c r="R732" s="15">
        <f>P732+Q732</f>
        <v/>
      </c>
      <c r="S732" s="15">
        <f>$I$1*S731-$I$2*S730+$I$3*R711+$I$4*R710</f>
        <v/>
      </c>
      <c r="T732" s="15" t="n">
        <v>0</v>
      </c>
      <c r="U732" s="15">
        <f>S732+T732</f>
        <v/>
      </c>
      <c r="V732" s="15">
        <f>INT((2^$J$12-1)*U732/100)/(2^$J$12-1)*100</f>
        <v/>
      </c>
      <c r="X732" s="15">
        <f>M732 * 1.05</f>
        <v/>
      </c>
      <c r="Y732" s="15">
        <f>M732 * 0.95</f>
        <v/>
      </c>
      <c r="Z732" s="15">
        <f>IF(AND(V732 &lt;= X732, V732 &gt;= Y732), 1, 0)</f>
        <v/>
      </c>
      <c r="AC732" s="15">
        <f>N732^2</f>
        <v/>
      </c>
      <c r="AD732" s="15">
        <f>ABS(N732)</f>
        <v/>
      </c>
      <c r="AE732" s="15">
        <f>IF(M732&gt;0, ABS(N732)*(L732-$D$16),0)</f>
        <v/>
      </c>
    </row>
    <row r="733">
      <c r="L733" s="15" t="n">
        <v>731</v>
      </c>
      <c r="M733" s="15">
        <f>IF(L733&lt;$D$16,$D$12,IF(L733&lt;$E$16,$E$12,$F$13))</f>
        <v/>
      </c>
      <c r="N733" s="15">
        <f>M733-V733</f>
        <v/>
      </c>
      <c r="O733" s="15">
        <f>IF(MOD(L733,$B$11)=0,OFFSET(O733,-$B$11,0)+ $E$2*N733+$E$3*OFFSET(N733,-$B$11,0)+ $E$4*OFFSET(N733,-2* $B$11,0), O732)</f>
        <v/>
      </c>
      <c r="P733" s="15">
        <f>INT((2^$J$12-1)*O733/100)/(2^$J$12-1)*100</f>
        <v/>
      </c>
      <c r="Q733" s="15" t="n">
        <v>0</v>
      </c>
      <c r="R733" s="15">
        <f>P733+Q733</f>
        <v/>
      </c>
      <c r="S733" s="15">
        <f>$I$1*S732-$I$2*S731+$I$3*R712+$I$4*R711</f>
        <v/>
      </c>
      <c r="T733" s="15" t="n">
        <v>0</v>
      </c>
      <c r="U733" s="15">
        <f>S733+T733</f>
        <v/>
      </c>
      <c r="V733" s="15">
        <f>INT((2^$J$12-1)*U733/100)/(2^$J$12-1)*100</f>
        <v/>
      </c>
      <c r="X733" s="15">
        <f>M733 * 1.05</f>
        <v/>
      </c>
      <c r="Y733" s="15">
        <f>M733 * 0.95</f>
        <v/>
      </c>
      <c r="Z733" s="15">
        <f>IF(AND(V733 &lt;= X733, V733 &gt;= Y733), 1, 0)</f>
        <v/>
      </c>
      <c r="AC733" s="15">
        <f>N733^2</f>
        <v/>
      </c>
      <c r="AD733" s="15">
        <f>ABS(N733)</f>
        <v/>
      </c>
      <c r="AE733" s="15">
        <f>IF(M733&gt;0, ABS(N733)*(L733-$D$16),0)</f>
        <v/>
      </c>
    </row>
    <row r="734">
      <c r="L734" s="15" t="n">
        <v>732</v>
      </c>
      <c r="M734" s="15">
        <f>IF(L734&lt;$D$16,$D$12,IF(L734&lt;$E$16,$E$12,$F$13))</f>
        <v/>
      </c>
      <c r="N734" s="15">
        <f>M734-V734</f>
        <v/>
      </c>
      <c r="O734" s="15">
        <f>IF(MOD(L734,$B$11)=0,OFFSET(O734,-$B$11,0)+ $E$2*N734+$E$3*OFFSET(N734,-$B$11,0)+ $E$4*OFFSET(N734,-2* $B$11,0), O733)</f>
        <v/>
      </c>
      <c r="P734" s="15">
        <f>INT((2^$J$12-1)*O734/100)/(2^$J$12-1)*100</f>
        <v/>
      </c>
      <c r="Q734" s="15" t="n">
        <v>0</v>
      </c>
      <c r="R734" s="15">
        <f>P734+Q734</f>
        <v/>
      </c>
      <c r="S734" s="15">
        <f>$I$1*S733-$I$2*S732+$I$3*R713+$I$4*R712</f>
        <v/>
      </c>
      <c r="T734" s="15" t="n">
        <v>0</v>
      </c>
      <c r="U734" s="15">
        <f>S734+T734</f>
        <v/>
      </c>
      <c r="V734" s="15">
        <f>INT((2^$J$12-1)*U734/100)/(2^$J$12-1)*100</f>
        <v/>
      </c>
      <c r="X734" s="15">
        <f>M734 * 1.05</f>
        <v/>
      </c>
      <c r="Y734" s="15">
        <f>M734 * 0.95</f>
        <v/>
      </c>
      <c r="Z734" s="15">
        <f>IF(AND(V734 &lt;= X734, V734 &gt;= Y734), 1, 0)</f>
        <v/>
      </c>
      <c r="AC734" s="15">
        <f>N734^2</f>
        <v/>
      </c>
      <c r="AD734" s="15">
        <f>ABS(N734)</f>
        <v/>
      </c>
      <c r="AE734" s="15">
        <f>IF(M734&gt;0, ABS(N734)*(L734-$D$16),0)</f>
        <v/>
      </c>
    </row>
    <row r="735">
      <c r="L735" s="15" t="n">
        <v>733</v>
      </c>
      <c r="M735" s="15">
        <f>IF(L735&lt;$D$16,$D$12,IF(L735&lt;$E$16,$E$12,$F$13))</f>
        <v/>
      </c>
      <c r="N735" s="15">
        <f>M735-V735</f>
        <v/>
      </c>
      <c r="O735" s="15">
        <f>IF(MOD(L735,$B$11)=0,OFFSET(O735,-$B$11,0)+ $E$2*N735+$E$3*OFFSET(N735,-$B$11,0)+ $E$4*OFFSET(N735,-2* $B$11,0), O734)</f>
        <v/>
      </c>
      <c r="P735" s="15">
        <f>INT((2^$J$12-1)*O735/100)/(2^$J$12-1)*100</f>
        <v/>
      </c>
      <c r="Q735" s="15" t="n">
        <v>0</v>
      </c>
      <c r="R735" s="15">
        <f>P735+Q735</f>
        <v/>
      </c>
      <c r="S735" s="15">
        <f>$I$1*S734-$I$2*S733+$I$3*R714+$I$4*R713</f>
        <v/>
      </c>
      <c r="T735" s="15" t="n">
        <v>0</v>
      </c>
      <c r="U735" s="15">
        <f>S735+T735</f>
        <v/>
      </c>
      <c r="V735" s="15">
        <f>INT((2^$J$12-1)*U735/100)/(2^$J$12-1)*100</f>
        <v/>
      </c>
      <c r="X735" s="15">
        <f>M735 * 1.05</f>
        <v/>
      </c>
      <c r="Y735" s="15">
        <f>M735 * 0.95</f>
        <v/>
      </c>
      <c r="Z735" s="15">
        <f>IF(AND(V735 &lt;= X735, V735 &gt;= Y735), 1, 0)</f>
        <v/>
      </c>
      <c r="AC735" s="15">
        <f>N735^2</f>
        <v/>
      </c>
      <c r="AD735" s="15">
        <f>ABS(N735)</f>
        <v/>
      </c>
      <c r="AE735" s="15">
        <f>IF(M735&gt;0, ABS(N735)*(L735-$D$16),0)</f>
        <v/>
      </c>
    </row>
    <row r="736">
      <c r="L736" s="15" t="n">
        <v>734</v>
      </c>
      <c r="M736" s="15">
        <f>IF(L736&lt;$D$16,$D$12,IF(L736&lt;$E$16,$E$12,$F$13))</f>
        <v/>
      </c>
      <c r="N736" s="15">
        <f>M736-V736</f>
        <v/>
      </c>
      <c r="O736" s="15">
        <f>IF(MOD(L736,$B$11)=0,OFFSET(O736,-$B$11,0)+ $E$2*N736+$E$3*OFFSET(N736,-$B$11,0)+ $E$4*OFFSET(N736,-2* $B$11,0), O735)</f>
        <v/>
      </c>
      <c r="P736" s="15">
        <f>INT((2^$J$12-1)*O736/100)/(2^$J$12-1)*100</f>
        <v/>
      </c>
      <c r="Q736" s="15" t="n">
        <v>0</v>
      </c>
      <c r="R736" s="15">
        <f>P736+Q736</f>
        <v/>
      </c>
      <c r="S736" s="15">
        <f>$I$1*S735-$I$2*S734+$I$3*R715+$I$4*R714</f>
        <v/>
      </c>
      <c r="T736" s="15" t="n">
        <v>0</v>
      </c>
      <c r="U736" s="15">
        <f>S736+T736</f>
        <v/>
      </c>
      <c r="V736" s="15">
        <f>INT((2^$J$12-1)*U736/100)/(2^$J$12-1)*100</f>
        <v/>
      </c>
      <c r="X736" s="15">
        <f>M736 * 1.05</f>
        <v/>
      </c>
      <c r="Y736" s="15">
        <f>M736 * 0.95</f>
        <v/>
      </c>
      <c r="Z736" s="15">
        <f>IF(AND(V736 &lt;= X736, V736 &gt;= Y736), 1, 0)</f>
        <v/>
      </c>
      <c r="AC736" s="15">
        <f>N736^2</f>
        <v/>
      </c>
      <c r="AD736" s="15">
        <f>ABS(N736)</f>
        <v/>
      </c>
      <c r="AE736" s="15">
        <f>IF(M736&gt;0, ABS(N736)*(L736-$D$16),0)</f>
        <v/>
      </c>
    </row>
    <row r="737">
      <c r="L737" s="15" t="n">
        <v>735</v>
      </c>
      <c r="M737" s="15">
        <f>IF(L737&lt;$D$16,$D$12,IF(L737&lt;$E$16,$E$12,$F$13))</f>
        <v/>
      </c>
      <c r="N737" s="15">
        <f>M737-V737</f>
        <v/>
      </c>
      <c r="O737" s="15">
        <f>IF(MOD(L737,$B$11)=0,OFFSET(O737,-$B$11,0)+ $E$2*N737+$E$3*OFFSET(N737,-$B$11,0)+ $E$4*OFFSET(N737,-2* $B$11,0), O736)</f>
        <v/>
      </c>
      <c r="P737" s="15">
        <f>INT((2^$J$12-1)*O737/100)/(2^$J$12-1)*100</f>
        <v/>
      </c>
      <c r="Q737" s="15" t="n">
        <v>0</v>
      </c>
      <c r="R737" s="15">
        <f>P737+Q737</f>
        <v/>
      </c>
      <c r="S737" s="15">
        <f>$I$1*S736-$I$2*S735+$I$3*R716+$I$4*R715</f>
        <v/>
      </c>
      <c r="T737" s="15" t="n">
        <v>0</v>
      </c>
      <c r="U737" s="15">
        <f>S737+T737</f>
        <v/>
      </c>
      <c r="V737" s="15">
        <f>INT((2^$J$12-1)*U737/100)/(2^$J$12-1)*100</f>
        <v/>
      </c>
      <c r="X737" s="15">
        <f>M737 * 1.05</f>
        <v/>
      </c>
      <c r="Y737" s="15">
        <f>M737 * 0.95</f>
        <v/>
      </c>
      <c r="Z737" s="15">
        <f>IF(AND(V737 &lt;= X737, V737 &gt;= Y737), 1, 0)</f>
        <v/>
      </c>
      <c r="AC737" s="15">
        <f>N737^2</f>
        <v/>
      </c>
      <c r="AD737" s="15">
        <f>ABS(N737)</f>
        <v/>
      </c>
      <c r="AE737" s="15">
        <f>IF(M737&gt;0, ABS(N737)*(L737-$D$16),0)</f>
        <v/>
      </c>
    </row>
    <row r="738">
      <c r="L738" s="15" t="n">
        <v>736</v>
      </c>
      <c r="M738" s="15">
        <f>IF(L738&lt;$D$16,$D$12,IF(L738&lt;$E$16,$E$12,$F$13))</f>
        <v/>
      </c>
      <c r="N738" s="15">
        <f>M738-V738</f>
        <v/>
      </c>
      <c r="O738" s="15">
        <f>IF(MOD(L738,$B$11)=0,OFFSET(O738,-$B$11,0)+ $E$2*N738+$E$3*OFFSET(N738,-$B$11,0)+ $E$4*OFFSET(N738,-2* $B$11,0), O737)</f>
        <v/>
      </c>
      <c r="P738" s="15">
        <f>INT((2^$J$12-1)*O738/100)/(2^$J$12-1)*100</f>
        <v/>
      </c>
      <c r="Q738" s="15" t="n">
        <v>0</v>
      </c>
      <c r="R738" s="15">
        <f>P738+Q738</f>
        <v/>
      </c>
      <c r="S738" s="15">
        <f>$I$1*S737-$I$2*S736+$I$3*R717+$I$4*R716</f>
        <v/>
      </c>
      <c r="T738" s="15" t="n">
        <v>0</v>
      </c>
      <c r="U738" s="15">
        <f>S738+T738</f>
        <v/>
      </c>
      <c r="V738" s="15">
        <f>INT((2^$J$12-1)*U738/100)/(2^$J$12-1)*100</f>
        <v/>
      </c>
      <c r="X738" s="15">
        <f>M738 * 1.05</f>
        <v/>
      </c>
      <c r="Y738" s="15">
        <f>M738 * 0.95</f>
        <v/>
      </c>
      <c r="Z738" s="15">
        <f>IF(AND(V738 &lt;= X738, V738 &gt;= Y738), 1, 0)</f>
        <v/>
      </c>
      <c r="AC738" s="15">
        <f>N738^2</f>
        <v/>
      </c>
      <c r="AD738" s="15">
        <f>ABS(N738)</f>
        <v/>
      </c>
      <c r="AE738" s="15">
        <f>IF(M738&gt;0, ABS(N738)*(L738-$D$16),0)</f>
        <v/>
      </c>
    </row>
    <row r="739">
      <c r="L739" s="15" t="n">
        <v>737</v>
      </c>
      <c r="M739" s="15">
        <f>IF(L739&lt;$D$16,$D$12,IF(L739&lt;$E$16,$E$12,$F$13))</f>
        <v/>
      </c>
      <c r="N739" s="15">
        <f>M739-V739</f>
        <v/>
      </c>
      <c r="O739" s="15">
        <f>IF(MOD(L739,$B$11)=0,OFFSET(O739,-$B$11,0)+ $E$2*N739+$E$3*OFFSET(N739,-$B$11,0)+ $E$4*OFFSET(N739,-2* $B$11,0), O738)</f>
        <v/>
      </c>
      <c r="P739" s="15">
        <f>INT((2^$J$12-1)*O739/100)/(2^$J$12-1)*100</f>
        <v/>
      </c>
      <c r="Q739" s="15" t="n">
        <v>0</v>
      </c>
      <c r="R739" s="15">
        <f>P739+Q739</f>
        <v/>
      </c>
      <c r="S739" s="15">
        <f>$I$1*S738-$I$2*S737+$I$3*R718+$I$4*R717</f>
        <v/>
      </c>
      <c r="T739" s="15" t="n">
        <v>0</v>
      </c>
      <c r="U739" s="15">
        <f>S739+T739</f>
        <v/>
      </c>
      <c r="V739" s="15">
        <f>INT((2^$J$12-1)*U739/100)/(2^$J$12-1)*100</f>
        <v/>
      </c>
      <c r="X739" s="15">
        <f>M739 * 1.05</f>
        <v/>
      </c>
      <c r="Y739" s="15">
        <f>M739 * 0.95</f>
        <v/>
      </c>
      <c r="Z739" s="15">
        <f>IF(AND(V739 &lt;= X739, V739 &gt;= Y739), 1, 0)</f>
        <v/>
      </c>
      <c r="AC739" s="15">
        <f>N739^2</f>
        <v/>
      </c>
      <c r="AD739" s="15">
        <f>ABS(N739)</f>
        <v/>
      </c>
      <c r="AE739" s="15">
        <f>IF(M739&gt;0, ABS(N739)*(L739-$D$16),0)</f>
        <v/>
      </c>
    </row>
    <row r="740">
      <c r="L740" s="15" t="n">
        <v>738</v>
      </c>
      <c r="M740" s="15">
        <f>IF(L740&lt;$D$16,$D$12,IF(L740&lt;$E$16,$E$12,$F$13))</f>
        <v/>
      </c>
      <c r="N740" s="15">
        <f>M740-V740</f>
        <v/>
      </c>
      <c r="O740" s="15">
        <f>IF(MOD(L740,$B$11)=0,OFFSET(O740,-$B$11,0)+ $E$2*N740+$E$3*OFFSET(N740,-$B$11,0)+ $E$4*OFFSET(N740,-2* $B$11,0), O739)</f>
        <v/>
      </c>
      <c r="P740" s="15">
        <f>INT((2^$J$12-1)*O740/100)/(2^$J$12-1)*100</f>
        <v/>
      </c>
      <c r="Q740" s="15" t="n">
        <v>0</v>
      </c>
      <c r="R740" s="15">
        <f>P740+Q740</f>
        <v/>
      </c>
      <c r="S740" s="15">
        <f>$I$1*S739-$I$2*S738+$I$3*R719+$I$4*R718</f>
        <v/>
      </c>
      <c r="T740" s="15" t="n">
        <v>0</v>
      </c>
      <c r="U740" s="15">
        <f>S740+T740</f>
        <v/>
      </c>
      <c r="V740" s="15">
        <f>INT((2^$J$12-1)*U740/100)/(2^$J$12-1)*100</f>
        <v/>
      </c>
      <c r="X740" s="15">
        <f>M740 * 1.05</f>
        <v/>
      </c>
      <c r="Y740" s="15">
        <f>M740 * 0.95</f>
        <v/>
      </c>
      <c r="Z740" s="15">
        <f>IF(AND(V740 &lt;= X740, V740 &gt;= Y740), 1, 0)</f>
        <v/>
      </c>
      <c r="AC740" s="15">
        <f>N740^2</f>
        <v/>
      </c>
      <c r="AD740" s="15">
        <f>ABS(N740)</f>
        <v/>
      </c>
      <c r="AE740" s="15">
        <f>IF(M740&gt;0, ABS(N740)*(L740-$D$16),0)</f>
        <v/>
      </c>
    </row>
    <row r="741">
      <c r="L741" s="15" t="n">
        <v>739</v>
      </c>
      <c r="M741" s="15">
        <f>IF(L741&lt;$D$16,$D$12,IF(L741&lt;$E$16,$E$12,$F$13))</f>
        <v/>
      </c>
      <c r="N741" s="15">
        <f>M741-V741</f>
        <v/>
      </c>
      <c r="O741" s="15">
        <f>IF(MOD(L741,$B$11)=0,OFFSET(O741,-$B$11,0)+ $E$2*N741+$E$3*OFFSET(N741,-$B$11,0)+ $E$4*OFFSET(N741,-2* $B$11,0), O740)</f>
        <v/>
      </c>
      <c r="P741" s="15">
        <f>INT((2^$J$12-1)*O741/100)/(2^$J$12-1)*100</f>
        <v/>
      </c>
      <c r="Q741" s="15" t="n">
        <v>0</v>
      </c>
      <c r="R741" s="15">
        <f>P741+Q741</f>
        <v/>
      </c>
      <c r="S741" s="15">
        <f>$I$1*S740-$I$2*S739+$I$3*R720+$I$4*R719</f>
        <v/>
      </c>
      <c r="T741" s="15" t="n">
        <v>0</v>
      </c>
      <c r="U741" s="15">
        <f>S741+T741</f>
        <v/>
      </c>
      <c r="V741" s="15">
        <f>INT((2^$J$12-1)*U741/100)/(2^$J$12-1)*100</f>
        <v/>
      </c>
      <c r="X741" s="15">
        <f>M741 * 1.05</f>
        <v/>
      </c>
      <c r="Y741" s="15">
        <f>M741 * 0.95</f>
        <v/>
      </c>
      <c r="Z741" s="15">
        <f>IF(AND(V741 &lt;= X741, V741 &gt;= Y741), 1, 0)</f>
        <v/>
      </c>
      <c r="AC741" s="15">
        <f>N741^2</f>
        <v/>
      </c>
      <c r="AD741" s="15">
        <f>ABS(N741)</f>
        <v/>
      </c>
      <c r="AE741" s="15">
        <f>IF(M741&gt;0, ABS(N741)*(L741-$D$16),0)</f>
        <v/>
      </c>
    </row>
    <row r="742">
      <c r="L742" s="15" t="n">
        <v>740</v>
      </c>
      <c r="M742" s="15">
        <f>IF(L742&lt;$D$16,$D$12,IF(L742&lt;$E$16,$E$12,$F$13))</f>
        <v/>
      </c>
      <c r="N742" s="15">
        <f>M742-V742</f>
        <v/>
      </c>
      <c r="O742" s="15">
        <f>IF(MOD(L742,$B$11)=0,OFFSET(O742,-$B$11,0)+ $E$2*N742+$E$3*OFFSET(N742,-$B$11,0)+ $E$4*OFFSET(N742,-2* $B$11,0), O741)</f>
        <v/>
      </c>
      <c r="P742" s="15">
        <f>INT((2^$J$12-1)*O742/100)/(2^$J$12-1)*100</f>
        <v/>
      </c>
      <c r="Q742" s="15" t="n">
        <v>0</v>
      </c>
      <c r="R742" s="15">
        <f>P742+Q742</f>
        <v/>
      </c>
      <c r="S742" s="15">
        <f>$I$1*S741-$I$2*S740+$I$3*R721+$I$4*R720</f>
        <v/>
      </c>
      <c r="T742" s="15" t="n">
        <v>0</v>
      </c>
      <c r="U742" s="15">
        <f>S742+T742</f>
        <v/>
      </c>
      <c r="V742" s="15">
        <f>INT((2^$J$12-1)*U742/100)/(2^$J$12-1)*100</f>
        <v/>
      </c>
      <c r="X742" s="15">
        <f>M742 * 1.05</f>
        <v/>
      </c>
      <c r="Y742" s="15">
        <f>M742 * 0.95</f>
        <v/>
      </c>
      <c r="Z742" s="15">
        <f>IF(AND(V742 &lt;= X742, V742 &gt;= Y742), 1, 0)</f>
        <v/>
      </c>
      <c r="AC742" s="15">
        <f>N742^2</f>
        <v/>
      </c>
      <c r="AD742" s="15">
        <f>ABS(N742)</f>
        <v/>
      </c>
      <c r="AE742" s="15">
        <f>IF(M742&gt;0, ABS(N742)*(L742-$D$16),0)</f>
        <v/>
      </c>
    </row>
    <row r="743">
      <c r="L743" s="15" t="n">
        <v>741</v>
      </c>
      <c r="M743" s="15">
        <f>IF(L743&lt;$D$16,$D$12,IF(L743&lt;$E$16,$E$12,$F$13))</f>
        <v/>
      </c>
      <c r="N743" s="15">
        <f>M743-V743</f>
        <v/>
      </c>
      <c r="O743" s="15">
        <f>IF(MOD(L743,$B$11)=0,OFFSET(O743,-$B$11,0)+ $E$2*N743+$E$3*OFFSET(N743,-$B$11,0)+ $E$4*OFFSET(N743,-2* $B$11,0), O742)</f>
        <v/>
      </c>
      <c r="P743" s="15">
        <f>INT((2^$J$12-1)*O743/100)/(2^$J$12-1)*100</f>
        <v/>
      </c>
      <c r="Q743" s="15" t="n">
        <v>0</v>
      </c>
      <c r="R743" s="15">
        <f>P743+Q743</f>
        <v/>
      </c>
      <c r="S743" s="15">
        <f>$I$1*S742-$I$2*S741+$I$3*R722+$I$4*R721</f>
        <v/>
      </c>
      <c r="T743" s="15" t="n">
        <v>0</v>
      </c>
      <c r="U743" s="15">
        <f>S743+T743</f>
        <v/>
      </c>
      <c r="V743" s="15">
        <f>INT((2^$J$12-1)*U743/100)/(2^$J$12-1)*100</f>
        <v/>
      </c>
      <c r="X743" s="15">
        <f>M743 * 1.05</f>
        <v/>
      </c>
      <c r="Y743" s="15">
        <f>M743 * 0.95</f>
        <v/>
      </c>
      <c r="Z743" s="15">
        <f>IF(AND(V743 &lt;= X743, V743 &gt;= Y743), 1, 0)</f>
        <v/>
      </c>
      <c r="AC743" s="15">
        <f>N743^2</f>
        <v/>
      </c>
      <c r="AD743" s="15">
        <f>ABS(N743)</f>
        <v/>
      </c>
      <c r="AE743" s="15">
        <f>IF(M743&gt;0, ABS(N743)*(L743-$D$16),0)</f>
        <v/>
      </c>
    </row>
    <row r="744">
      <c r="L744" s="15" t="n">
        <v>742</v>
      </c>
      <c r="M744" s="15">
        <f>IF(L744&lt;$D$16,$D$12,IF(L744&lt;$E$16,$E$12,$F$13))</f>
        <v/>
      </c>
      <c r="N744" s="15">
        <f>M744-V744</f>
        <v/>
      </c>
      <c r="O744" s="15">
        <f>IF(MOD(L744,$B$11)=0,OFFSET(O744,-$B$11,0)+ $E$2*N744+$E$3*OFFSET(N744,-$B$11,0)+ $E$4*OFFSET(N744,-2* $B$11,0), O743)</f>
        <v/>
      </c>
      <c r="P744" s="15">
        <f>INT((2^$J$12-1)*O744/100)/(2^$J$12-1)*100</f>
        <v/>
      </c>
      <c r="Q744" s="15" t="n">
        <v>0</v>
      </c>
      <c r="R744" s="15">
        <f>P744+Q744</f>
        <v/>
      </c>
      <c r="S744" s="15">
        <f>$I$1*S743-$I$2*S742+$I$3*R723+$I$4*R722</f>
        <v/>
      </c>
      <c r="T744" s="15" t="n">
        <v>0</v>
      </c>
      <c r="U744" s="15">
        <f>S744+T744</f>
        <v/>
      </c>
      <c r="V744" s="15">
        <f>INT((2^$J$12-1)*U744/100)/(2^$J$12-1)*100</f>
        <v/>
      </c>
      <c r="X744" s="15">
        <f>M744 * 1.05</f>
        <v/>
      </c>
      <c r="Y744" s="15">
        <f>M744 * 0.95</f>
        <v/>
      </c>
      <c r="Z744" s="15">
        <f>IF(AND(V744 &lt;= X744, V744 &gt;= Y744), 1, 0)</f>
        <v/>
      </c>
      <c r="AC744" s="15">
        <f>N744^2</f>
        <v/>
      </c>
      <c r="AD744" s="15">
        <f>ABS(N744)</f>
        <v/>
      </c>
      <c r="AE744" s="15">
        <f>IF(M744&gt;0, ABS(N744)*(L744-$D$16),0)</f>
        <v/>
      </c>
    </row>
    <row r="745">
      <c r="L745" s="15" t="n">
        <v>743</v>
      </c>
      <c r="M745" s="15">
        <f>IF(L745&lt;$D$16,$D$12,IF(L745&lt;$E$16,$E$12,$F$13))</f>
        <v/>
      </c>
      <c r="N745" s="15">
        <f>M745-V745</f>
        <v/>
      </c>
      <c r="O745" s="15">
        <f>IF(MOD(L745,$B$11)=0,OFFSET(O745,-$B$11,0)+ $E$2*N745+$E$3*OFFSET(N745,-$B$11,0)+ $E$4*OFFSET(N745,-2* $B$11,0), O744)</f>
        <v/>
      </c>
      <c r="P745" s="15">
        <f>INT((2^$J$12-1)*O745/100)/(2^$J$12-1)*100</f>
        <v/>
      </c>
      <c r="Q745" s="15" t="n">
        <v>0</v>
      </c>
      <c r="R745" s="15">
        <f>P745+Q745</f>
        <v/>
      </c>
      <c r="S745" s="15">
        <f>$I$1*S744-$I$2*S743+$I$3*R724+$I$4*R723</f>
        <v/>
      </c>
      <c r="T745" s="15" t="n">
        <v>0</v>
      </c>
      <c r="U745" s="15">
        <f>S745+T745</f>
        <v/>
      </c>
      <c r="V745" s="15">
        <f>INT((2^$J$12-1)*U745/100)/(2^$J$12-1)*100</f>
        <v/>
      </c>
      <c r="X745" s="15">
        <f>M745 * 1.05</f>
        <v/>
      </c>
      <c r="Y745" s="15">
        <f>M745 * 0.95</f>
        <v/>
      </c>
      <c r="Z745" s="15">
        <f>IF(AND(V745 &lt;= X745, V745 &gt;= Y745), 1, 0)</f>
        <v/>
      </c>
      <c r="AC745" s="15">
        <f>N745^2</f>
        <v/>
      </c>
      <c r="AD745" s="15">
        <f>ABS(N745)</f>
        <v/>
      </c>
      <c r="AE745" s="15">
        <f>IF(M745&gt;0, ABS(N745)*(L745-$D$16),0)</f>
        <v/>
      </c>
    </row>
    <row r="746">
      <c r="L746" s="15" t="n">
        <v>744</v>
      </c>
      <c r="M746" s="15">
        <f>IF(L746&lt;$D$16,$D$12,IF(L746&lt;$E$16,$E$12,$F$13))</f>
        <v/>
      </c>
      <c r="N746" s="15">
        <f>M746-V746</f>
        <v/>
      </c>
      <c r="O746" s="15">
        <f>IF(MOD(L746,$B$11)=0,OFFSET(O746,-$B$11,0)+ $E$2*N746+$E$3*OFFSET(N746,-$B$11,0)+ $E$4*OFFSET(N746,-2* $B$11,0), O745)</f>
        <v/>
      </c>
      <c r="P746" s="15">
        <f>INT((2^$J$12-1)*O746/100)/(2^$J$12-1)*100</f>
        <v/>
      </c>
      <c r="Q746" s="15" t="n">
        <v>0</v>
      </c>
      <c r="R746" s="15">
        <f>P746+Q746</f>
        <v/>
      </c>
      <c r="S746" s="15">
        <f>$I$1*S745-$I$2*S744+$I$3*R725+$I$4*R724</f>
        <v/>
      </c>
      <c r="T746" s="15" t="n">
        <v>0</v>
      </c>
      <c r="U746" s="15">
        <f>S746+T746</f>
        <v/>
      </c>
      <c r="V746" s="15">
        <f>INT((2^$J$12-1)*U746/100)/(2^$J$12-1)*100</f>
        <v/>
      </c>
      <c r="X746" s="15">
        <f>M746 * 1.05</f>
        <v/>
      </c>
      <c r="Y746" s="15">
        <f>M746 * 0.95</f>
        <v/>
      </c>
      <c r="Z746" s="15">
        <f>IF(AND(V746 &lt;= X746, V746 &gt;= Y746), 1, 0)</f>
        <v/>
      </c>
      <c r="AC746" s="15">
        <f>N746^2</f>
        <v/>
      </c>
      <c r="AD746" s="15">
        <f>ABS(N746)</f>
        <v/>
      </c>
      <c r="AE746" s="15">
        <f>IF(M746&gt;0, ABS(N746)*(L746-$D$16),0)</f>
        <v/>
      </c>
    </row>
    <row r="747">
      <c r="L747" s="15" t="n">
        <v>745</v>
      </c>
      <c r="M747" s="15">
        <f>IF(L747&lt;$D$16,$D$12,IF(L747&lt;$E$16,$E$12,$F$13))</f>
        <v/>
      </c>
      <c r="N747" s="15">
        <f>M747-V747</f>
        <v/>
      </c>
      <c r="O747" s="15">
        <f>IF(MOD(L747,$B$11)=0,OFFSET(O747,-$B$11,0)+ $E$2*N747+$E$3*OFFSET(N747,-$B$11,0)+ $E$4*OFFSET(N747,-2* $B$11,0), O746)</f>
        <v/>
      </c>
      <c r="P747" s="15">
        <f>INT((2^$J$12-1)*O747/100)/(2^$J$12-1)*100</f>
        <v/>
      </c>
      <c r="Q747" s="15" t="n">
        <v>0</v>
      </c>
      <c r="R747" s="15">
        <f>P747+Q747</f>
        <v/>
      </c>
      <c r="S747" s="15">
        <f>$I$1*S746-$I$2*S745+$I$3*R726+$I$4*R725</f>
        <v/>
      </c>
      <c r="T747" s="15" t="n">
        <v>0</v>
      </c>
      <c r="U747" s="15">
        <f>S747+T747</f>
        <v/>
      </c>
      <c r="V747" s="15">
        <f>INT((2^$J$12-1)*U747/100)/(2^$J$12-1)*100</f>
        <v/>
      </c>
      <c r="X747" s="15">
        <f>M747 * 1.05</f>
        <v/>
      </c>
      <c r="Y747" s="15">
        <f>M747 * 0.95</f>
        <v/>
      </c>
      <c r="Z747" s="15">
        <f>IF(AND(V747 &lt;= X747, V747 &gt;= Y747), 1, 0)</f>
        <v/>
      </c>
      <c r="AC747" s="15">
        <f>N747^2</f>
        <v/>
      </c>
      <c r="AD747" s="15">
        <f>ABS(N747)</f>
        <v/>
      </c>
      <c r="AE747" s="15">
        <f>IF(M747&gt;0, ABS(N747)*(L747-$D$16),0)</f>
        <v/>
      </c>
    </row>
    <row r="748">
      <c r="L748" s="15" t="n">
        <v>746</v>
      </c>
      <c r="M748" s="15">
        <f>IF(L748&lt;$D$16,$D$12,IF(L748&lt;$E$16,$E$12,$F$13))</f>
        <v/>
      </c>
      <c r="N748" s="15">
        <f>M748-V748</f>
        <v/>
      </c>
      <c r="O748" s="15">
        <f>IF(MOD(L748,$B$11)=0,OFFSET(O748,-$B$11,0)+ $E$2*N748+$E$3*OFFSET(N748,-$B$11,0)+ $E$4*OFFSET(N748,-2* $B$11,0), O747)</f>
        <v/>
      </c>
      <c r="P748" s="15">
        <f>INT((2^$J$12-1)*O748/100)/(2^$J$12-1)*100</f>
        <v/>
      </c>
      <c r="Q748" s="15" t="n">
        <v>0</v>
      </c>
      <c r="R748" s="15">
        <f>P748+Q748</f>
        <v/>
      </c>
      <c r="S748" s="15">
        <f>$I$1*S747-$I$2*S746+$I$3*R727+$I$4*R726</f>
        <v/>
      </c>
      <c r="T748" s="15" t="n">
        <v>0</v>
      </c>
      <c r="U748" s="15">
        <f>S748+T748</f>
        <v/>
      </c>
      <c r="V748" s="15">
        <f>INT((2^$J$12-1)*U748/100)/(2^$J$12-1)*100</f>
        <v/>
      </c>
      <c r="X748" s="15">
        <f>M748 * 1.05</f>
        <v/>
      </c>
      <c r="Y748" s="15">
        <f>M748 * 0.95</f>
        <v/>
      </c>
      <c r="Z748" s="15">
        <f>IF(AND(V748 &lt;= X748, V748 &gt;= Y748), 1, 0)</f>
        <v/>
      </c>
      <c r="AC748" s="15">
        <f>N748^2</f>
        <v/>
      </c>
      <c r="AD748" s="15">
        <f>ABS(N748)</f>
        <v/>
      </c>
      <c r="AE748" s="15">
        <f>IF(M748&gt;0, ABS(N748)*(L748-$D$16),0)</f>
        <v/>
      </c>
    </row>
    <row r="749">
      <c r="L749" s="15" t="n">
        <v>747</v>
      </c>
      <c r="M749" s="15">
        <f>IF(L749&lt;$D$16,$D$12,IF(L749&lt;$E$16,$E$12,$F$13))</f>
        <v/>
      </c>
      <c r="N749" s="15">
        <f>M749-V749</f>
        <v/>
      </c>
      <c r="O749" s="15">
        <f>IF(MOD(L749,$B$11)=0,OFFSET(O749,-$B$11,0)+ $E$2*N749+$E$3*OFFSET(N749,-$B$11,0)+ $E$4*OFFSET(N749,-2* $B$11,0), O748)</f>
        <v/>
      </c>
      <c r="P749" s="15">
        <f>INT((2^$J$12-1)*O749/100)/(2^$J$12-1)*100</f>
        <v/>
      </c>
      <c r="Q749" s="15" t="n">
        <v>0</v>
      </c>
      <c r="R749" s="15">
        <f>P749+Q749</f>
        <v/>
      </c>
      <c r="S749" s="15">
        <f>$I$1*S748-$I$2*S747+$I$3*R728+$I$4*R727</f>
        <v/>
      </c>
      <c r="T749" s="15" t="n">
        <v>0</v>
      </c>
      <c r="U749" s="15">
        <f>S749+T749</f>
        <v/>
      </c>
      <c r="V749" s="15">
        <f>INT((2^$J$12-1)*U749/100)/(2^$J$12-1)*100</f>
        <v/>
      </c>
      <c r="X749" s="15">
        <f>M749 * 1.05</f>
        <v/>
      </c>
      <c r="Y749" s="15">
        <f>M749 * 0.95</f>
        <v/>
      </c>
      <c r="Z749" s="15">
        <f>IF(AND(V749 &lt;= X749, V749 &gt;= Y749), 1, 0)</f>
        <v/>
      </c>
      <c r="AC749" s="15">
        <f>N749^2</f>
        <v/>
      </c>
      <c r="AD749" s="15">
        <f>ABS(N749)</f>
        <v/>
      </c>
      <c r="AE749" s="15">
        <f>IF(M749&gt;0, ABS(N749)*(L749-$D$16),0)</f>
        <v/>
      </c>
    </row>
    <row r="750">
      <c r="L750" s="15" t="n">
        <v>748</v>
      </c>
      <c r="M750" s="15">
        <f>IF(L750&lt;$D$16,$D$12,IF(L750&lt;$E$16,$E$12,$F$13))</f>
        <v/>
      </c>
      <c r="N750" s="15">
        <f>M750-V750</f>
        <v/>
      </c>
      <c r="O750" s="15">
        <f>IF(MOD(L750,$B$11)=0,OFFSET(O750,-$B$11,0)+ $E$2*N750+$E$3*OFFSET(N750,-$B$11,0)+ $E$4*OFFSET(N750,-2* $B$11,0), O749)</f>
        <v/>
      </c>
      <c r="P750" s="15">
        <f>INT((2^$J$12-1)*O750/100)/(2^$J$12-1)*100</f>
        <v/>
      </c>
      <c r="Q750" s="15" t="n">
        <v>0</v>
      </c>
      <c r="R750" s="15">
        <f>P750+Q750</f>
        <v/>
      </c>
      <c r="S750" s="15">
        <f>$I$1*S749-$I$2*S748+$I$3*R729+$I$4*R728</f>
        <v/>
      </c>
      <c r="T750" s="15" t="n">
        <v>0</v>
      </c>
      <c r="U750" s="15">
        <f>S750+T750</f>
        <v/>
      </c>
      <c r="V750" s="15">
        <f>INT((2^$J$12-1)*U750/100)/(2^$J$12-1)*100</f>
        <v/>
      </c>
      <c r="X750" s="15">
        <f>M750 * 1.05</f>
        <v/>
      </c>
      <c r="Y750" s="15">
        <f>M750 * 0.95</f>
        <v/>
      </c>
      <c r="Z750" s="15">
        <f>IF(AND(V750 &lt;= X750, V750 &gt;= Y750), 1, 0)</f>
        <v/>
      </c>
      <c r="AC750" s="15">
        <f>N750^2</f>
        <v/>
      </c>
      <c r="AD750" s="15">
        <f>ABS(N750)</f>
        <v/>
      </c>
      <c r="AE750" s="15">
        <f>IF(M750&gt;0, ABS(N750)*(L750-$D$16),0)</f>
        <v/>
      </c>
    </row>
    <row r="751">
      <c r="L751" s="15" t="n">
        <v>749</v>
      </c>
      <c r="M751" s="15">
        <f>IF(L751&lt;$D$16,$D$12,IF(L751&lt;$E$16,$E$12,$F$13))</f>
        <v/>
      </c>
      <c r="N751" s="15">
        <f>M751-V751</f>
        <v/>
      </c>
      <c r="O751" s="15">
        <f>IF(MOD(L751,$B$11)=0,OFFSET(O751,-$B$11,0)+ $E$2*N751+$E$3*OFFSET(N751,-$B$11,0)+ $E$4*OFFSET(N751,-2* $B$11,0), O750)</f>
        <v/>
      </c>
      <c r="P751" s="15">
        <f>INT((2^$J$12-1)*O751/100)/(2^$J$12-1)*100</f>
        <v/>
      </c>
      <c r="Q751" s="15" t="n">
        <v>0</v>
      </c>
      <c r="R751" s="15">
        <f>P751+Q751</f>
        <v/>
      </c>
      <c r="S751" s="15">
        <f>$I$1*S750-$I$2*S749+$I$3*R730+$I$4*R729</f>
        <v/>
      </c>
      <c r="T751" s="15" t="n">
        <v>0</v>
      </c>
      <c r="U751" s="15">
        <f>S751+T751</f>
        <v/>
      </c>
      <c r="V751" s="15">
        <f>INT((2^$J$12-1)*U751/100)/(2^$J$12-1)*100</f>
        <v/>
      </c>
      <c r="X751" s="15">
        <f>M751 * 1.05</f>
        <v/>
      </c>
      <c r="Y751" s="15">
        <f>M751 * 0.95</f>
        <v/>
      </c>
      <c r="Z751" s="15">
        <f>IF(AND(V751 &lt;= X751, V751 &gt;= Y751), 1, 0)</f>
        <v/>
      </c>
      <c r="AC751" s="15">
        <f>N751^2</f>
        <v/>
      </c>
      <c r="AD751" s="15">
        <f>ABS(N751)</f>
        <v/>
      </c>
      <c r="AE751" s="15">
        <f>IF(M751&gt;0, ABS(N751)*(L751-$D$16),0)</f>
        <v/>
      </c>
    </row>
    <row r="752">
      <c r="L752" s="15" t="n">
        <v>750</v>
      </c>
      <c r="M752" s="15">
        <f>IF(L752&lt;$D$16,$D$12,IF(L752&lt;$E$16,$E$12,$F$13))</f>
        <v/>
      </c>
      <c r="N752" s="15">
        <f>M752-V752</f>
        <v/>
      </c>
      <c r="O752" s="15">
        <f>IF(MOD(L752,$B$11)=0,OFFSET(O752,-$B$11,0)+ $E$2*N752+$E$3*OFFSET(N752,-$B$11,0)+ $E$4*OFFSET(N752,-2* $B$11,0), O751)</f>
        <v/>
      </c>
      <c r="P752" s="15">
        <f>INT((2^$J$12-1)*O752/100)/(2^$J$12-1)*100</f>
        <v/>
      </c>
      <c r="Q752" s="15" t="n">
        <v>0</v>
      </c>
      <c r="R752" s="15">
        <f>P752+Q752</f>
        <v/>
      </c>
      <c r="S752" s="15">
        <f>$I$1*S751-$I$2*S750+$I$3*R731+$I$4*R730</f>
        <v/>
      </c>
      <c r="T752" s="15" t="n">
        <v>0</v>
      </c>
      <c r="U752" s="15">
        <f>S752+T752</f>
        <v/>
      </c>
      <c r="V752" s="15">
        <f>INT((2^$J$12-1)*U752/100)/(2^$J$12-1)*100</f>
        <v/>
      </c>
      <c r="X752" s="15">
        <f>M752 * 1.05</f>
        <v/>
      </c>
      <c r="Y752" s="15">
        <f>M752 * 0.95</f>
        <v/>
      </c>
      <c r="Z752" s="15">
        <f>IF(AND(V752 &lt;= X752, V752 &gt;= Y752), 1, 0)</f>
        <v/>
      </c>
      <c r="AC752" s="15">
        <f>N752^2</f>
        <v/>
      </c>
      <c r="AD752" s="15">
        <f>ABS(N752)</f>
        <v/>
      </c>
      <c r="AE752" s="15">
        <f>IF(M752&gt;0, ABS(N752)*(L752-$D$16),0)</f>
        <v/>
      </c>
    </row>
    <row r="753">
      <c r="L753" s="15" t="n">
        <v>751</v>
      </c>
      <c r="M753" s="15">
        <f>IF(L753&lt;$D$16,$D$12,IF(L753&lt;$E$16,$E$12,$F$13))</f>
        <v/>
      </c>
      <c r="N753" s="15">
        <f>M753-V753</f>
        <v/>
      </c>
      <c r="O753" s="15">
        <f>IF(MOD(L753,$B$11)=0,OFFSET(O753,-$B$11,0)+ $E$2*N753+$E$3*OFFSET(N753,-$B$11,0)+ $E$4*OFFSET(N753,-2* $B$11,0), O752)</f>
        <v/>
      </c>
      <c r="P753" s="15">
        <f>INT((2^$J$12-1)*O753/100)/(2^$J$12-1)*100</f>
        <v/>
      </c>
      <c r="Q753" s="15" t="n">
        <v>0</v>
      </c>
      <c r="R753" s="15">
        <f>P753+Q753</f>
        <v/>
      </c>
      <c r="S753" s="15">
        <f>$I$1*S752-$I$2*S751+$I$3*R732+$I$4*R731</f>
        <v/>
      </c>
      <c r="T753" s="15" t="n">
        <v>0</v>
      </c>
      <c r="U753" s="15">
        <f>S753+T753</f>
        <v/>
      </c>
      <c r="V753" s="15">
        <f>INT((2^$J$12-1)*U753/100)/(2^$J$12-1)*100</f>
        <v/>
      </c>
      <c r="X753" s="15">
        <f>M753 * 1.05</f>
        <v/>
      </c>
      <c r="Y753" s="15">
        <f>M753 * 0.95</f>
        <v/>
      </c>
      <c r="Z753" s="15">
        <f>IF(AND(V753 &lt;= X753, V753 &gt;= Y753), 1, 0)</f>
        <v/>
      </c>
      <c r="AC753" s="15">
        <f>N753^2</f>
        <v/>
      </c>
      <c r="AD753" s="15">
        <f>ABS(N753)</f>
        <v/>
      </c>
      <c r="AE753" s="15">
        <f>IF(M753&gt;0, ABS(N753)*(L753-$D$16),0)</f>
        <v/>
      </c>
    </row>
    <row r="754">
      <c r="L754" s="15" t="n">
        <v>752</v>
      </c>
      <c r="M754" s="15">
        <f>IF(L754&lt;$D$16,$D$12,IF(L754&lt;$E$16,$E$12,$F$13))</f>
        <v/>
      </c>
      <c r="N754" s="15">
        <f>M754-V754</f>
        <v/>
      </c>
      <c r="O754" s="15">
        <f>IF(MOD(L754,$B$11)=0,OFFSET(O754,-$B$11,0)+ $E$2*N754+$E$3*OFFSET(N754,-$B$11,0)+ $E$4*OFFSET(N754,-2* $B$11,0), O753)</f>
        <v/>
      </c>
      <c r="P754" s="15">
        <f>INT((2^$J$12-1)*O754/100)/(2^$J$12-1)*100</f>
        <v/>
      </c>
      <c r="Q754" s="15" t="n">
        <v>0</v>
      </c>
      <c r="R754" s="15">
        <f>P754+Q754</f>
        <v/>
      </c>
      <c r="S754" s="15">
        <f>$I$1*S753-$I$2*S752+$I$3*R733+$I$4*R732</f>
        <v/>
      </c>
      <c r="T754" s="15" t="n">
        <v>0</v>
      </c>
      <c r="U754" s="15">
        <f>S754+T754</f>
        <v/>
      </c>
      <c r="V754" s="15">
        <f>INT((2^$J$12-1)*U754/100)/(2^$J$12-1)*100</f>
        <v/>
      </c>
      <c r="X754" s="15">
        <f>M754 * 1.05</f>
        <v/>
      </c>
      <c r="Y754" s="15">
        <f>M754 * 0.95</f>
        <v/>
      </c>
      <c r="Z754" s="15">
        <f>IF(AND(V754 &lt;= X754, V754 &gt;= Y754), 1, 0)</f>
        <v/>
      </c>
      <c r="AC754" s="15">
        <f>N754^2</f>
        <v/>
      </c>
      <c r="AD754" s="15">
        <f>ABS(N754)</f>
        <v/>
      </c>
      <c r="AE754" s="15">
        <f>IF(M754&gt;0, ABS(N754)*(L754-$D$16),0)</f>
        <v/>
      </c>
    </row>
    <row r="755">
      <c r="L755" s="15" t="n">
        <v>753</v>
      </c>
      <c r="M755" s="15">
        <f>IF(L755&lt;$D$16,$D$12,IF(L755&lt;$E$16,$E$12,$F$13))</f>
        <v/>
      </c>
      <c r="N755" s="15">
        <f>M755-V755</f>
        <v/>
      </c>
      <c r="O755" s="15">
        <f>IF(MOD(L755,$B$11)=0,OFFSET(O755,-$B$11,0)+ $E$2*N755+$E$3*OFFSET(N755,-$B$11,0)+ $E$4*OFFSET(N755,-2* $B$11,0), O754)</f>
        <v/>
      </c>
      <c r="P755" s="15">
        <f>INT((2^$J$12-1)*O755/100)/(2^$J$12-1)*100</f>
        <v/>
      </c>
      <c r="Q755" s="15" t="n">
        <v>0</v>
      </c>
      <c r="R755" s="15">
        <f>P755+Q755</f>
        <v/>
      </c>
      <c r="S755" s="15">
        <f>$I$1*S754-$I$2*S753+$I$3*R734+$I$4*R733</f>
        <v/>
      </c>
      <c r="T755" s="15" t="n">
        <v>0</v>
      </c>
      <c r="U755" s="15">
        <f>S755+T755</f>
        <v/>
      </c>
      <c r="V755" s="15">
        <f>INT((2^$J$12-1)*U755/100)/(2^$J$12-1)*100</f>
        <v/>
      </c>
      <c r="X755" s="15">
        <f>M755 * 1.05</f>
        <v/>
      </c>
      <c r="Y755" s="15">
        <f>M755 * 0.95</f>
        <v/>
      </c>
      <c r="Z755" s="15">
        <f>IF(AND(V755 &lt;= X755, V755 &gt;= Y755), 1, 0)</f>
        <v/>
      </c>
      <c r="AC755" s="15">
        <f>N755^2</f>
        <v/>
      </c>
      <c r="AD755" s="15">
        <f>ABS(N755)</f>
        <v/>
      </c>
      <c r="AE755" s="15">
        <f>IF(M755&gt;0, ABS(N755)*(L755-$D$16),0)</f>
        <v/>
      </c>
    </row>
    <row r="756">
      <c r="L756" s="15" t="n">
        <v>754</v>
      </c>
      <c r="M756" s="15">
        <f>IF(L756&lt;$D$16,$D$12,IF(L756&lt;$E$16,$E$12,$F$13))</f>
        <v/>
      </c>
      <c r="N756" s="15">
        <f>M756-V756</f>
        <v/>
      </c>
      <c r="O756" s="15">
        <f>IF(MOD(L756,$B$11)=0,OFFSET(O756,-$B$11,0)+ $E$2*N756+$E$3*OFFSET(N756,-$B$11,0)+ $E$4*OFFSET(N756,-2* $B$11,0), O755)</f>
        <v/>
      </c>
      <c r="P756" s="15">
        <f>INT((2^$J$12-1)*O756/100)/(2^$J$12-1)*100</f>
        <v/>
      </c>
      <c r="Q756" s="15" t="n">
        <v>0</v>
      </c>
      <c r="R756" s="15">
        <f>P756+Q756</f>
        <v/>
      </c>
      <c r="S756" s="15">
        <f>$I$1*S755-$I$2*S754+$I$3*R735+$I$4*R734</f>
        <v/>
      </c>
      <c r="T756" s="15" t="n">
        <v>0</v>
      </c>
      <c r="U756" s="15">
        <f>S756+T756</f>
        <v/>
      </c>
      <c r="V756" s="15">
        <f>INT((2^$J$12-1)*U756/100)/(2^$J$12-1)*100</f>
        <v/>
      </c>
      <c r="X756" s="15">
        <f>M756 * 1.05</f>
        <v/>
      </c>
      <c r="Y756" s="15">
        <f>M756 * 0.95</f>
        <v/>
      </c>
      <c r="Z756" s="15">
        <f>IF(AND(V756 &lt;= X756, V756 &gt;= Y756), 1, 0)</f>
        <v/>
      </c>
      <c r="AC756" s="15">
        <f>N756^2</f>
        <v/>
      </c>
      <c r="AD756" s="15">
        <f>ABS(N756)</f>
        <v/>
      </c>
      <c r="AE756" s="15">
        <f>IF(M756&gt;0, ABS(N756)*(L756-$D$16),0)</f>
        <v/>
      </c>
    </row>
    <row r="757">
      <c r="L757" s="15" t="n">
        <v>755</v>
      </c>
      <c r="M757" s="15">
        <f>IF(L757&lt;$D$16,$D$12,IF(L757&lt;$E$16,$E$12,$F$13))</f>
        <v/>
      </c>
      <c r="N757" s="15">
        <f>M757-V757</f>
        <v/>
      </c>
      <c r="O757" s="15">
        <f>IF(MOD(L757,$B$11)=0,OFFSET(O757,-$B$11,0)+ $E$2*N757+$E$3*OFFSET(N757,-$B$11,0)+ $E$4*OFFSET(N757,-2* $B$11,0), O756)</f>
        <v/>
      </c>
      <c r="P757" s="15">
        <f>INT((2^$J$12-1)*O757/100)/(2^$J$12-1)*100</f>
        <v/>
      </c>
      <c r="Q757" s="15" t="n">
        <v>0</v>
      </c>
      <c r="R757" s="15">
        <f>P757+Q757</f>
        <v/>
      </c>
      <c r="S757" s="15">
        <f>$I$1*S756-$I$2*S755+$I$3*R736+$I$4*R735</f>
        <v/>
      </c>
      <c r="T757" s="15" t="n">
        <v>0</v>
      </c>
      <c r="U757" s="15">
        <f>S757+T757</f>
        <v/>
      </c>
      <c r="V757" s="15">
        <f>INT((2^$J$12-1)*U757/100)/(2^$J$12-1)*100</f>
        <v/>
      </c>
      <c r="X757" s="15">
        <f>M757 * 1.05</f>
        <v/>
      </c>
      <c r="Y757" s="15">
        <f>M757 * 0.95</f>
        <v/>
      </c>
      <c r="Z757" s="15">
        <f>IF(AND(V757 &lt;= X757, V757 &gt;= Y757), 1, 0)</f>
        <v/>
      </c>
      <c r="AC757" s="15">
        <f>N757^2</f>
        <v/>
      </c>
      <c r="AD757" s="15">
        <f>ABS(N757)</f>
        <v/>
      </c>
      <c r="AE757" s="15">
        <f>IF(M757&gt;0, ABS(N757)*(L757-$D$16),0)</f>
        <v/>
      </c>
    </row>
    <row r="758">
      <c r="L758" s="15" t="n">
        <v>756</v>
      </c>
      <c r="M758" s="15">
        <f>IF(L758&lt;$D$16,$D$12,IF(L758&lt;$E$16,$E$12,$F$13))</f>
        <v/>
      </c>
      <c r="N758" s="15">
        <f>M758-V758</f>
        <v/>
      </c>
      <c r="O758" s="15">
        <f>IF(MOD(L758,$B$11)=0,OFFSET(O758,-$B$11,0)+ $E$2*N758+$E$3*OFFSET(N758,-$B$11,0)+ $E$4*OFFSET(N758,-2* $B$11,0), O757)</f>
        <v/>
      </c>
      <c r="P758" s="15">
        <f>INT((2^$J$12-1)*O758/100)/(2^$J$12-1)*100</f>
        <v/>
      </c>
      <c r="Q758" s="15" t="n">
        <v>0</v>
      </c>
      <c r="R758" s="15">
        <f>P758+Q758</f>
        <v/>
      </c>
      <c r="S758" s="15">
        <f>$I$1*S757-$I$2*S756+$I$3*R737+$I$4*R736</f>
        <v/>
      </c>
      <c r="T758" s="15" t="n">
        <v>0</v>
      </c>
      <c r="U758" s="15">
        <f>S758+T758</f>
        <v/>
      </c>
      <c r="V758" s="15">
        <f>INT((2^$J$12-1)*U758/100)/(2^$J$12-1)*100</f>
        <v/>
      </c>
      <c r="X758" s="15">
        <f>M758 * 1.05</f>
        <v/>
      </c>
      <c r="Y758" s="15">
        <f>M758 * 0.95</f>
        <v/>
      </c>
      <c r="Z758" s="15">
        <f>IF(AND(V758 &lt;= X758, V758 &gt;= Y758), 1, 0)</f>
        <v/>
      </c>
      <c r="AC758" s="15">
        <f>N758^2</f>
        <v/>
      </c>
      <c r="AD758" s="15">
        <f>ABS(N758)</f>
        <v/>
      </c>
      <c r="AE758" s="15">
        <f>IF(M758&gt;0, ABS(N758)*(L758-$D$16),0)</f>
        <v/>
      </c>
    </row>
    <row r="759">
      <c r="L759" s="15" t="n">
        <v>757</v>
      </c>
      <c r="M759" s="15">
        <f>IF(L759&lt;$D$16,$D$12,IF(L759&lt;$E$16,$E$12,$F$13))</f>
        <v/>
      </c>
      <c r="N759" s="15">
        <f>M759-V759</f>
        <v/>
      </c>
      <c r="O759" s="15">
        <f>IF(MOD(L759,$B$11)=0,OFFSET(O759,-$B$11,0)+ $E$2*N759+$E$3*OFFSET(N759,-$B$11,0)+ $E$4*OFFSET(N759,-2* $B$11,0), O758)</f>
        <v/>
      </c>
      <c r="P759" s="15">
        <f>INT((2^$J$12-1)*O759/100)/(2^$J$12-1)*100</f>
        <v/>
      </c>
      <c r="Q759" s="15" t="n">
        <v>0</v>
      </c>
      <c r="R759" s="15">
        <f>P759+Q759</f>
        <v/>
      </c>
      <c r="S759" s="15">
        <f>$I$1*S758-$I$2*S757+$I$3*R738+$I$4*R737</f>
        <v/>
      </c>
      <c r="T759" s="15" t="n">
        <v>0</v>
      </c>
      <c r="U759" s="15">
        <f>S759+T759</f>
        <v/>
      </c>
      <c r="V759" s="15">
        <f>INT((2^$J$12-1)*U759/100)/(2^$J$12-1)*100</f>
        <v/>
      </c>
      <c r="X759" s="15">
        <f>M759 * 1.05</f>
        <v/>
      </c>
      <c r="Y759" s="15">
        <f>M759 * 0.95</f>
        <v/>
      </c>
      <c r="Z759" s="15">
        <f>IF(AND(V759 &lt;= X759, V759 &gt;= Y759), 1, 0)</f>
        <v/>
      </c>
      <c r="AC759" s="15">
        <f>N759^2</f>
        <v/>
      </c>
      <c r="AD759" s="15">
        <f>ABS(N759)</f>
        <v/>
      </c>
      <c r="AE759" s="15">
        <f>IF(M759&gt;0, ABS(N759)*(L759-$D$16),0)</f>
        <v/>
      </c>
    </row>
    <row r="760">
      <c r="L760" s="15" t="n">
        <v>758</v>
      </c>
      <c r="M760" s="15">
        <f>IF(L760&lt;$D$16,$D$12,IF(L760&lt;$E$16,$E$12,$F$13))</f>
        <v/>
      </c>
      <c r="N760" s="15">
        <f>M760-V760</f>
        <v/>
      </c>
      <c r="O760" s="15">
        <f>IF(MOD(L760,$B$11)=0,OFFSET(O760,-$B$11,0)+ $E$2*N760+$E$3*OFFSET(N760,-$B$11,0)+ $E$4*OFFSET(N760,-2* $B$11,0), O759)</f>
        <v/>
      </c>
      <c r="P760" s="15">
        <f>INT((2^$J$12-1)*O760/100)/(2^$J$12-1)*100</f>
        <v/>
      </c>
      <c r="Q760" s="15" t="n">
        <v>0</v>
      </c>
      <c r="R760" s="15">
        <f>P760+Q760</f>
        <v/>
      </c>
      <c r="S760" s="15">
        <f>$I$1*S759-$I$2*S758+$I$3*R739+$I$4*R738</f>
        <v/>
      </c>
      <c r="T760" s="15" t="n">
        <v>0</v>
      </c>
      <c r="U760" s="15">
        <f>S760+T760</f>
        <v/>
      </c>
      <c r="V760" s="15">
        <f>INT((2^$J$12-1)*U760/100)/(2^$J$12-1)*100</f>
        <v/>
      </c>
      <c r="X760" s="15">
        <f>M760 * 1.05</f>
        <v/>
      </c>
      <c r="Y760" s="15">
        <f>M760 * 0.95</f>
        <v/>
      </c>
      <c r="Z760" s="15">
        <f>IF(AND(V760 &lt;= X760, V760 &gt;= Y760), 1, 0)</f>
        <v/>
      </c>
      <c r="AC760" s="15">
        <f>N760^2</f>
        <v/>
      </c>
      <c r="AD760" s="15">
        <f>ABS(N760)</f>
        <v/>
      </c>
      <c r="AE760" s="15">
        <f>IF(M760&gt;0, ABS(N760)*(L760-$D$16),0)</f>
        <v/>
      </c>
    </row>
    <row r="761">
      <c r="L761" s="15" t="n">
        <v>759</v>
      </c>
      <c r="M761" s="15">
        <f>IF(L761&lt;$D$16,$D$12,IF(L761&lt;$E$16,$E$12,$F$13))</f>
        <v/>
      </c>
      <c r="N761" s="15">
        <f>M761-V761</f>
        <v/>
      </c>
      <c r="O761" s="15">
        <f>IF(MOD(L761,$B$11)=0,OFFSET(O761,-$B$11,0)+ $E$2*N761+$E$3*OFFSET(N761,-$B$11,0)+ $E$4*OFFSET(N761,-2* $B$11,0), O760)</f>
        <v/>
      </c>
      <c r="P761" s="15">
        <f>INT((2^$J$12-1)*O761/100)/(2^$J$12-1)*100</f>
        <v/>
      </c>
      <c r="Q761" s="15" t="n">
        <v>0</v>
      </c>
      <c r="R761" s="15">
        <f>P761+Q761</f>
        <v/>
      </c>
      <c r="S761" s="15">
        <f>$I$1*S760-$I$2*S759+$I$3*R740+$I$4*R739</f>
        <v/>
      </c>
      <c r="T761" s="15" t="n">
        <v>0</v>
      </c>
      <c r="U761" s="15">
        <f>S761+T761</f>
        <v/>
      </c>
      <c r="V761" s="15">
        <f>INT((2^$J$12-1)*U761/100)/(2^$J$12-1)*100</f>
        <v/>
      </c>
      <c r="X761" s="15">
        <f>M761 * 1.05</f>
        <v/>
      </c>
      <c r="Y761" s="15">
        <f>M761 * 0.95</f>
        <v/>
      </c>
      <c r="Z761" s="15">
        <f>IF(AND(V761 &lt;= X761, V761 &gt;= Y761), 1, 0)</f>
        <v/>
      </c>
      <c r="AC761" s="15">
        <f>N761^2</f>
        <v/>
      </c>
      <c r="AD761" s="15">
        <f>ABS(N761)</f>
        <v/>
      </c>
      <c r="AE761" s="15">
        <f>IF(M761&gt;0, ABS(N761)*(L761-$D$16),0)</f>
        <v/>
      </c>
    </row>
    <row r="762">
      <c r="L762" s="15" t="n">
        <v>760</v>
      </c>
      <c r="M762" s="15">
        <f>IF(L762&lt;$D$16,$D$12,IF(L762&lt;$E$16,$E$12,$F$13))</f>
        <v/>
      </c>
      <c r="N762" s="15">
        <f>M762-V762</f>
        <v/>
      </c>
      <c r="O762" s="15">
        <f>IF(MOD(L762,$B$11)=0,OFFSET(O762,-$B$11,0)+ $E$2*N762+$E$3*OFFSET(N762,-$B$11,0)+ $E$4*OFFSET(N762,-2* $B$11,0), O761)</f>
        <v/>
      </c>
      <c r="P762" s="15">
        <f>INT((2^$J$12-1)*O762/100)/(2^$J$12-1)*100</f>
        <v/>
      </c>
      <c r="Q762" s="15" t="n">
        <v>0</v>
      </c>
      <c r="R762" s="15">
        <f>P762+Q762</f>
        <v/>
      </c>
      <c r="S762" s="15">
        <f>$I$1*S761-$I$2*S760+$I$3*R741+$I$4*R740</f>
        <v/>
      </c>
      <c r="T762" s="15" t="n">
        <v>0</v>
      </c>
      <c r="U762" s="15">
        <f>S762+T762</f>
        <v/>
      </c>
      <c r="V762" s="15">
        <f>INT((2^$J$12-1)*U762/100)/(2^$J$12-1)*100</f>
        <v/>
      </c>
      <c r="X762" s="15">
        <f>M762 * 1.05</f>
        <v/>
      </c>
      <c r="Y762" s="15">
        <f>M762 * 0.95</f>
        <v/>
      </c>
      <c r="Z762" s="15">
        <f>IF(AND(V762 &lt;= X762, V762 &gt;= Y762), 1, 0)</f>
        <v/>
      </c>
      <c r="AC762" s="15">
        <f>N762^2</f>
        <v/>
      </c>
      <c r="AD762" s="15">
        <f>ABS(N762)</f>
        <v/>
      </c>
      <c r="AE762" s="15">
        <f>IF(M762&gt;0, ABS(N762)*(L762-$D$16),0)</f>
        <v/>
      </c>
    </row>
    <row r="763">
      <c r="L763" s="15" t="n">
        <v>761</v>
      </c>
      <c r="M763" s="15">
        <f>IF(L763&lt;$D$16,$D$12,IF(L763&lt;$E$16,$E$12,$F$13))</f>
        <v/>
      </c>
      <c r="N763" s="15">
        <f>M763-V763</f>
        <v/>
      </c>
      <c r="O763" s="15">
        <f>IF(MOD(L763,$B$11)=0,OFFSET(O763,-$B$11,0)+ $E$2*N763+$E$3*OFFSET(N763,-$B$11,0)+ $E$4*OFFSET(N763,-2* $B$11,0), O762)</f>
        <v/>
      </c>
      <c r="P763" s="15">
        <f>INT((2^$J$12-1)*O763/100)/(2^$J$12-1)*100</f>
        <v/>
      </c>
      <c r="Q763" s="15" t="n">
        <v>0</v>
      </c>
      <c r="R763" s="15">
        <f>P763+Q763</f>
        <v/>
      </c>
      <c r="S763" s="15">
        <f>$I$1*S762-$I$2*S761+$I$3*R742+$I$4*R741</f>
        <v/>
      </c>
      <c r="T763" s="15" t="n">
        <v>0</v>
      </c>
      <c r="U763" s="15">
        <f>S763+T763</f>
        <v/>
      </c>
      <c r="V763" s="15">
        <f>INT((2^$J$12-1)*U763/100)/(2^$J$12-1)*100</f>
        <v/>
      </c>
      <c r="X763" s="15">
        <f>M763 * 1.05</f>
        <v/>
      </c>
      <c r="Y763" s="15">
        <f>M763 * 0.95</f>
        <v/>
      </c>
      <c r="Z763" s="15">
        <f>IF(AND(V763 &lt;= X763, V763 &gt;= Y763), 1, 0)</f>
        <v/>
      </c>
      <c r="AC763" s="15">
        <f>N763^2</f>
        <v/>
      </c>
      <c r="AD763" s="15">
        <f>ABS(N763)</f>
        <v/>
      </c>
      <c r="AE763" s="15">
        <f>IF(M763&gt;0, ABS(N763)*(L763-$D$16),0)</f>
        <v/>
      </c>
    </row>
    <row r="764">
      <c r="L764" s="15" t="n">
        <v>762</v>
      </c>
      <c r="M764" s="15">
        <f>IF(L764&lt;$D$16,$D$12,IF(L764&lt;$E$16,$E$12,$F$13))</f>
        <v/>
      </c>
      <c r="N764" s="15">
        <f>M764-V764</f>
        <v/>
      </c>
      <c r="O764" s="15">
        <f>IF(MOD(L764,$B$11)=0,OFFSET(O764,-$B$11,0)+ $E$2*N764+$E$3*OFFSET(N764,-$B$11,0)+ $E$4*OFFSET(N764,-2* $B$11,0), O763)</f>
        <v/>
      </c>
      <c r="P764" s="15">
        <f>INT((2^$J$12-1)*O764/100)/(2^$J$12-1)*100</f>
        <v/>
      </c>
      <c r="Q764" s="15" t="n">
        <v>0</v>
      </c>
      <c r="R764" s="15">
        <f>P764+Q764</f>
        <v/>
      </c>
      <c r="S764" s="15">
        <f>$I$1*S763-$I$2*S762+$I$3*R743+$I$4*R742</f>
        <v/>
      </c>
      <c r="T764" s="15" t="n">
        <v>0</v>
      </c>
      <c r="U764" s="15">
        <f>S764+T764</f>
        <v/>
      </c>
      <c r="V764" s="15">
        <f>INT((2^$J$12-1)*U764/100)/(2^$J$12-1)*100</f>
        <v/>
      </c>
      <c r="X764" s="15">
        <f>M764 * 1.05</f>
        <v/>
      </c>
      <c r="Y764" s="15">
        <f>M764 * 0.95</f>
        <v/>
      </c>
      <c r="Z764" s="15">
        <f>IF(AND(V764 &lt;= X764, V764 &gt;= Y764), 1, 0)</f>
        <v/>
      </c>
      <c r="AC764" s="15">
        <f>N764^2</f>
        <v/>
      </c>
      <c r="AD764" s="15">
        <f>ABS(N764)</f>
        <v/>
      </c>
      <c r="AE764" s="15">
        <f>IF(M764&gt;0, ABS(N764)*(L764-$D$16),0)</f>
        <v/>
      </c>
    </row>
    <row r="765">
      <c r="L765" s="15" t="n">
        <v>763</v>
      </c>
      <c r="M765" s="15">
        <f>IF(L765&lt;$D$16,$D$12,IF(L765&lt;$E$16,$E$12,$F$13))</f>
        <v/>
      </c>
      <c r="N765" s="15">
        <f>M765-V765</f>
        <v/>
      </c>
      <c r="O765" s="15">
        <f>IF(MOD(L765,$B$11)=0,OFFSET(O765,-$B$11,0)+ $E$2*N765+$E$3*OFFSET(N765,-$B$11,0)+ $E$4*OFFSET(N765,-2* $B$11,0), O764)</f>
        <v/>
      </c>
      <c r="P765" s="15">
        <f>INT((2^$J$12-1)*O765/100)/(2^$J$12-1)*100</f>
        <v/>
      </c>
      <c r="Q765" s="15" t="n">
        <v>0</v>
      </c>
      <c r="R765" s="15">
        <f>P765+Q765</f>
        <v/>
      </c>
      <c r="S765" s="15">
        <f>$I$1*S764-$I$2*S763+$I$3*R744+$I$4*R743</f>
        <v/>
      </c>
      <c r="T765" s="15" t="n">
        <v>0</v>
      </c>
      <c r="U765" s="15">
        <f>S765+T765</f>
        <v/>
      </c>
      <c r="V765" s="15">
        <f>INT((2^$J$12-1)*U765/100)/(2^$J$12-1)*100</f>
        <v/>
      </c>
      <c r="X765" s="15">
        <f>M765 * 1.05</f>
        <v/>
      </c>
      <c r="Y765" s="15">
        <f>M765 * 0.95</f>
        <v/>
      </c>
      <c r="Z765" s="15">
        <f>IF(AND(V765 &lt;= X765, V765 &gt;= Y765), 1, 0)</f>
        <v/>
      </c>
      <c r="AC765" s="15">
        <f>N765^2</f>
        <v/>
      </c>
      <c r="AD765" s="15">
        <f>ABS(N765)</f>
        <v/>
      </c>
      <c r="AE765" s="15">
        <f>IF(M765&gt;0, ABS(N765)*(L765-$D$16),0)</f>
        <v/>
      </c>
    </row>
    <row r="766">
      <c r="L766" s="15" t="n">
        <v>764</v>
      </c>
      <c r="M766" s="15">
        <f>IF(L766&lt;$D$16,$D$12,IF(L766&lt;$E$16,$E$12,$F$13))</f>
        <v/>
      </c>
      <c r="N766" s="15">
        <f>M766-V766</f>
        <v/>
      </c>
      <c r="O766" s="15">
        <f>IF(MOD(L766,$B$11)=0,OFFSET(O766,-$B$11,0)+ $E$2*N766+$E$3*OFFSET(N766,-$B$11,0)+ $E$4*OFFSET(N766,-2* $B$11,0), O765)</f>
        <v/>
      </c>
      <c r="P766" s="15">
        <f>INT((2^$J$12-1)*O766/100)/(2^$J$12-1)*100</f>
        <v/>
      </c>
      <c r="Q766" s="15" t="n">
        <v>0</v>
      </c>
      <c r="R766" s="15">
        <f>P766+Q766</f>
        <v/>
      </c>
      <c r="S766" s="15">
        <f>$I$1*S765-$I$2*S764+$I$3*R745+$I$4*R744</f>
        <v/>
      </c>
      <c r="T766" s="15" t="n">
        <v>0</v>
      </c>
      <c r="U766" s="15">
        <f>S766+T766</f>
        <v/>
      </c>
      <c r="V766" s="15">
        <f>INT((2^$J$12-1)*U766/100)/(2^$J$12-1)*100</f>
        <v/>
      </c>
      <c r="X766" s="15">
        <f>M766 * 1.05</f>
        <v/>
      </c>
      <c r="Y766" s="15">
        <f>M766 * 0.95</f>
        <v/>
      </c>
      <c r="Z766" s="15">
        <f>IF(AND(V766 &lt;= X766, V766 &gt;= Y766), 1, 0)</f>
        <v/>
      </c>
      <c r="AC766" s="15">
        <f>N766^2</f>
        <v/>
      </c>
      <c r="AD766" s="15">
        <f>ABS(N766)</f>
        <v/>
      </c>
      <c r="AE766" s="15">
        <f>IF(M766&gt;0, ABS(N766)*(L766-$D$16),0)</f>
        <v/>
      </c>
    </row>
    <row r="767">
      <c r="L767" s="15" t="n">
        <v>765</v>
      </c>
      <c r="M767" s="15">
        <f>IF(L767&lt;$D$16,$D$12,IF(L767&lt;$E$16,$E$12,$F$13))</f>
        <v/>
      </c>
      <c r="N767" s="15">
        <f>M767-V767</f>
        <v/>
      </c>
      <c r="O767" s="15">
        <f>IF(MOD(L767,$B$11)=0,OFFSET(O767,-$B$11,0)+ $E$2*N767+$E$3*OFFSET(N767,-$B$11,0)+ $E$4*OFFSET(N767,-2* $B$11,0), O766)</f>
        <v/>
      </c>
      <c r="P767" s="15">
        <f>INT((2^$J$12-1)*O767/100)/(2^$J$12-1)*100</f>
        <v/>
      </c>
      <c r="Q767" s="15" t="n">
        <v>0</v>
      </c>
      <c r="R767" s="15">
        <f>P767+Q767</f>
        <v/>
      </c>
      <c r="S767" s="15">
        <f>$I$1*S766-$I$2*S765+$I$3*R746+$I$4*R745</f>
        <v/>
      </c>
      <c r="T767" s="15" t="n">
        <v>0</v>
      </c>
      <c r="U767" s="15">
        <f>S767+T767</f>
        <v/>
      </c>
      <c r="V767" s="15">
        <f>INT((2^$J$12-1)*U767/100)/(2^$J$12-1)*100</f>
        <v/>
      </c>
      <c r="X767" s="15">
        <f>M767 * 1.05</f>
        <v/>
      </c>
      <c r="Y767" s="15">
        <f>M767 * 0.95</f>
        <v/>
      </c>
      <c r="Z767" s="15">
        <f>IF(AND(V767 &lt;= X767, V767 &gt;= Y767), 1, 0)</f>
        <v/>
      </c>
      <c r="AC767" s="15">
        <f>N767^2</f>
        <v/>
      </c>
      <c r="AD767" s="15">
        <f>ABS(N767)</f>
        <v/>
      </c>
      <c r="AE767" s="15">
        <f>IF(M767&gt;0, ABS(N767)*(L767-$D$16),0)</f>
        <v/>
      </c>
    </row>
    <row r="768">
      <c r="L768" s="15" t="n">
        <v>766</v>
      </c>
      <c r="M768" s="15">
        <f>IF(L768&lt;$D$16,$D$12,IF(L768&lt;$E$16,$E$12,$F$13))</f>
        <v/>
      </c>
      <c r="N768" s="15">
        <f>M768-V768</f>
        <v/>
      </c>
      <c r="O768" s="15">
        <f>IF(MOD(L768,$B$11)=0,OFFSET(O768,-$B$11,0)+ $E$2*N768+$E$3*OFFSET(N768,-$B$11,0)+ $E$4*OFFSET(N768,-2* $B$11,0), O767)</f>
        <v/>
      </c>
      <c r="P768" s="15">
        <f>INT((2^$J$12-1)*O768/100)/(2^$J$12-1)*100</f>
        <v/>
      </c>
      <c r="Q768" s="15" t="n">
        <v>0</v>
      </c>
      <c r="R768" s="15">
        <f>P768+Q768</f>
        <v/>
      </c>
      <c r="S768" s="15">
        <f>$I$1*S767-$I$2*S766+$I$3*R747+$I$4*R746</f>
        <v/>
      </c>
      <c r="T768" s="15" t="n">
        <v>0</v>
      </c>
      <c r="U768" s="15">
        <f>S768+T768</f>
        <v/>
      </c>
      <c r="V768" s="15">
        <f>INT((2^$J$12-1)*U768/100)/(2^$J$12-1)*100</f>
        <v/>
      </c>
      <c r="X768" s="15">
        <f>M768 * 1.05</f>
        <v/>
      </c>
      <c r="Y768" s="15">
        <f>M768 * 0.95</f>
        <v/>
      </c>
      <c r="Z768" s="15">
        <f>IF(AND(V768 &lt;= X768, V768 &gt;= Y768), 1, 0)</f>
        <v/>
      </c>
      <c r="AC768" s="15">
        <f>N768^2</f>
        <v/>
      </c>
      <c r="AD768" s="15">
        <f>ABS(N768)</f>
        <v/>
      </c>
      <c r="AE768" s="15">
        <f>IF(M768&gt;0, ABS(N768)*(L768-$D$16),0)</f>
        <v/>
      </c>
    </row>
    <row r="769">
      <c r="L769" s="15" t="n">
        <v>767</v>
      </c>
      <c r="M769" s="15">
        <f>IF(L769&lt;$D$16,$D$12,IF(L769&lt;$E$16,$E$12,$F$13))</f>
        <v/>
      </c>
      <c r="N769" s="15">
        <f>M769-V769</f>
        <v/>
      </c>
      <c r="O769" s="15">
        <f>IF(MOD(L769,$B$11)=0,OFFSET(O769,-$B$11,0)+ $E$2*N769+$E$3*OFFSET(N769,-$B$11,0)+ $E$4*OFFSET(N769,-2* $B$11,0), O768)</f>
        <v/>
      </c>
      <c r="P769" s="15">
        <f>INT((2^$J$12-1)*O769/100)/(2^$J$12-1)*100</f>
        <v/>
      </c>
      <c r="Q769" s="15" t="n">
        <v>0</v>
      </c>
      <c r="R769" s="15">
        <f>P769+Q769</f>
        <v/>
      </c>
      <c r="S769" s="15">
        <f>$I$1*S768-$I$2*S767+$I$3*R748+$I$4*R747</f>
        <v/>
      </c>
      <c r="T769" s="15" t="n">
        <v>0</v>
      </c>
      <c r="U769" s="15">
        <f>S769+T769</f>
        <v/>
      </c>
      <c r="V769" s="15">
        <f>INT((2^$J$12-1)*U769/100)/(2^$J$12-1)*100</f>
        <v/>
      </c>
      <c r="X769" s="15">
        <f>M769 * 1.05</f>
        <v/>
      </c>
      <c r="Y769" s="15">
        <f>M769 * 0.95</f>
        <v/>
      </c>
      <c r="Z769" s="15">
        <f>IF(AND(V769 &lt;= X769, V769 &gt;= Y769), 1, 0)</f>
        <v/>
      </c>
      <c r="AC769" s="15">
        <f>N769^2</f>
        <v/>
      </c>
      <c r="AD769" s="15">
        <f>ABS(N769)</f>
        <v/>
      </c>
      <c r="AE769" s="15">
        <f>IF(M769&gt;0, ABS(N769)*(L769-$D$16),0)</f>
        <v/>
      </c>
    </row>
    <row r="770">
      <c r="L770" s="15" t="n">
        <v>768</v>
      </c>
      <c r="M770" s="15">
        <f>IF(L770&lt;$D$16,$D$12,IF(L770&lt;$E$16,$E$12,$F$13))</f>
        <v/>
      </c>
      <c r="N770" s="15">
        <f>M770-V770</f>
        <v/>
      </c>
      <c r="O770" s="15">
        <f>IF(MOD(L770,$B$11)=0,OFFSET(O770,-$B$11,0)+ $E$2*N770+$E$3*OFFSET(N770,-$B$11,0)+ $E$4*OFFSET(N770,-2* $B$11,0), O769)</f>
        <v/>
      </c>
      <c r="P770" s="15">
        <f>INT((2^$J$12-1)*O770/100)/(2^$J$12-1)*100</f>
        <v/>
      </c>
      <c r="Q770" s="15" t="n">
        <v>0</v>
      </c>
      <c r="R770" s="15">
        <f>P770+Q770</f>
        <v/>
      </c>
      <c r="S770" s="15">
        <f>$I$1*S769-$I$2*S768+$I$3*R749+$I$4*R748</f>
        <v/>
      </c>
      <c r="T770" s="15" t="n">
        <v>0</v>
      </c>
      <c r="U770" s="15">
        <f>S770+T770</f>
        <v/>
      </c>
      <c r="V770" s="15">
        <f>INT((2^$J$12-1)*U770/100)/(2^$J$12-1)*100</f>
        <v/>
      </c>
      <c r="X770" s="15">
        <f>M770 * 1.05</f>
        <v/>
      </c>
      <c r="Y770" s="15">
        <f>M770 * 0.95</f>
        <v/>
      </c>
      <c r="Z770" s="15">
        <f>IF(AND(V770 &lt;= X770, V770 &gt;= Y770), 1, 0)</f>
        <v/>
      </c>
      <c r="AC770" s="15">
        <f>N770^2</f>
        <v/>
      </c>
      <c r="AD770" s="15">
        <f>ABS(N770)</f>
        <v/>
      </c>
      <c r="AE770" s="15">
        <f>IF(M770&gt;0, ABS(N770)*(L770-$D$16),0)</f>
        <v/>
      </c>
    </row>
    <row r="771">
      <c r="L771" s="15" t="n">
        <v>769</v>
      </c>
      <c r="M771" s="15">
        <f>IF(L771&lt;$D$16,$D$12,IF(L771&lt;$E$16,$E$12,$F$13))</f>
        <v/>
      </c>
      <c r="N771" s="15">
        <f>M771-V771</f>
        <v/>
      </c>
      <c r="O771" s="15">
        <f>IF(MOD(L771,$B$11)=0,OFFSET(O771,-$B$11,0)+ $E$2*N771+$E$3*OFFSET(N771,-$B$11,0)+ $E$4*OFFSET(N771,-2* $B$11,0), O770)</f>
        <v/>
      </c>
      <c r="P771" s="15">
        <f>INT((2^$J$12-1)*O771/100)/(2^$J$12-1)*100</f>
        <v/>
      </c>
      <c r="Q771" s="15" t="n">
        <v>0</v>
      </c>
      <c r="R771" s="15">
        <f>P771+Q771</f>
        <v/>
      </c>
      <c r="S771" s="15">
        <f>$I$1*S770-$I$2*S769+$I$3*R750+$I$4*R749</f>
        <v/>
      </c>
      <c r="T771" s="15" t="n">
        <v>0</v>
      </c>
      <c r="U771" s="15">
        <f>S771+T771</f>
        <v/>
      </c>
      <c r="V771" s="15">
        <f>INT((2^$J$12-1)*U771/100)/(2^$J$12-1)*100</f>
        <v/>
      </c>
      <c r="X771" s="15">
        <f>M771 * 1.05</f>
        <v/>
      </c>
      <c r="Y771" s="15">
        <f>M771 * 0.95</f>
        <v/>
      </c>
      <c r="Z771" s="15">
        <f>IF(AND(V771 &lt;= X771, V771 &gt;= Y771), 1, 0)</f>
        <v/>
      </c>
      <c r="AC771" s="15">
        <f>N771^2</f>
        <v/>
      </c>
      <c r="AD771" s="15">
        <f>ABS(N771)</f>
        <v/>
      </c>
      <c r="AE771" s="15">
        <f>IF(M771&gt;0, ABS(N771)*(L771-$D$16),0)</f>
        <v/>
      </c>
    </row>
    <row r="772">
      <c r="L772" s="15" t="n">
        <v>770</v>
      </c>
      <c r="M772" s="15">
        <f>IF(L772&lt;$D$16,$D$12,IF(L772&lt;$E$16,$E$12,$F$13))</f>
        <v/>
      </c>
      <c r="N772" s="15">
        <f>M772-V772</f>
        <v/>
      </c>
      <c r="O772" s="15">
        <f>IF(MOD(L772,$B$11)=0,OFFSET(O772,-$B$11,0)+ $E$2*N772+$E$3*OFFSET(N772,-$B$11,0)+ $E$4*OFFSET(N772,-2* $B$11,0), O771)</f>
        <v/>
      </c>
      <c r="P772" s="15">
        <f>INT((2^$J$12-1)*O772/100)/(2^$J$12-1)*100</f>
        <v/>
      </c>
      <c r="Q772" s="15" t="n">
        <v>0</v>
      </c>
      <c r="R772" s="15">
        <f>P772+Q772</f>
        <v/>
      </c>
      <c r="S772" s="15">
        <f>$I$1*S771-$I$2*S770+$I$3*R751+$I$4*R750</f>
        <v/>
      </c>
      <c r="T772" s="15" t="n">
        <v>0</v>
      </c>
      <c r="U772" s="15">
        <f>S772+T772</f>
        <v/>
      </c>
      <c r="V772" s="15">
        <f>INT((2^$J$12-1)*U772/100)/(2^$J$12-1)*100</f>
        <v/>
      </c>
      <c r="X772" s="15">
        <f>M772 * 1.05</f>
        <v/>
      </c>
      <c r="Y772" s="15">
        <f>M772 * 0.95</f>
        <v/>
      </c>
      <c r="Z772" s="15">
        <f>IF(AND(V772 &lt;= X772, V772 &gt;= Y772), 1, 0)</f>
        <v/>
      </c>
      <c r="AC772" s="15">
        <f>N772^2</f>
        <v/>
      </c>
      <c r="AD772" s="15">
        <f>ABS(N772)</f>
        <v/>
      </c>
      <c r="AE772" s="15">
        <f>IF(M772&gt;0, ABS(N772)*(L772-$D$16),0)</f>
        <v/>
      </c>
    </row>
    <row r="773">
      <c r="L773" s="15" t="n">
        <v>771</v>
      </c>
      <c r="M773" s="15">
        <f>IF(L773&lt;$D$16,$D$12,IF(L773&lt;$E$16,$E$12,$F$13))</f>
        <v/>
      </c>
      <c r="N773" s="15">
        <f>M773-V773</f>
        <v/>
      </c>
      <c r="O773" s="15">
        <f>IF(MOD(L773,$B$11)=0,OFFSET(O773,-$B$11,0)+ $E$2*N773+$E$3*OFFSET(N773,-$B$11,0)+ $E$4*OFFSET(N773,-2* $B$11,0), O772)</f>
        <v/>
      </c>
      <c r="P773" s="15">
        <f>INT((2^$J$12-1)*O773/100)/(2^$J$12-1)*100</f>
        <v/>
      </c>
      <c r="Q773" s="15" t="n">
        <v>0</v>
      </c>
      <c r="R773" s="15">
        <f>P773+Q773</f>
        <v/>
      </c>
      <c r="S773" s="15">
        <f>$I$1*S772-$I$2*S771+$I$3*R752+$I$4*R751</f>
        <v/>
      </c>
      <c r="T773" s="15" t="n">
        <v>0</v>
      </c>
      <c r="U773" s="15">
        <f>S773+T773</f>
        <v/>
      </c>
      <c r="V773" s="15">
        <f>INT((2^$J$12-1)*U773/100)/(2^$J$12-1)*100</f>
        <v/>
      </c>
      <c r="X773" s="15">
        <f>M773 * 1.05</f>
        <v/>
      </c>
      <c r="Y773" s="15">
        <f>M773 * 0.95</f>
        <v/>
      </c>
      <c r="Z773" s="15">
        <f>IF(AND(V773 &lt;= X773, V773 &gt;= Y773), 1, 0)</f>
        <v/>
      </c>
      <c r="AC773" s="15">
        <f>N773^2</f>
        <v/>
      </c>
      <c r="AD773" s="15">
        <f>ABS(N773)</f>
        <v/>
      </c>
      <c r="AE773" s="15">
        <f>IF(M773&gt;0, ABS(N773)*(L773-$D$16),0)</f>
        <v/>
      </c>
    </row>
    <row r="774">
      <c r="L774" s="15" t="n">
        <v>772</v>
      </c>
      <c r="M774" s="15">
        <f>IF(L774&lt;$D$16,$D$12,IF(L774&lt;$E$16,$E$12,$F$13))</f>
        <v/>
      </c>
      <c r="N774" s="15">
        <f>M774-V774</f>
        <v/>
      </c>
      <c r="O774" s="15">
        <f>IF(MOD(L774,$B$11)=0,OFFSET(O774,-$B$11,0)+ $E$2*N774+$E$3*OFFSET(N774,-$B$11,0)+ $E$4*OFFSET(N774,-2* $B$11,0), O773)</f>
        <v/>
      </c>
      <c r="P774" s="15">
        <f>INT((2^$J$12-1)*O774/100)/(2^$J$12-1)*100</f>
        <v/>
      </c>
      <c r="Q774" s="15" t="n">
        <v>0</v>
      </c>
      <c r="R774" s="15">
        <f>P774+Q774</f>
        <v/>
      </c>
      <c r="S774" s="15">
        <f>$I$1*S773-$I$2*S772+$I$3*R753+$I$4*R752</f>
        <v/>
      </c>
      <c r="T774" s="15" t="n">
        <v>0</v>
      </c>
      <c r="U774" s="15">
        <f>S774+T774</f>
        <v/>
      </c>
      <c r="V774" s="15">
        <f>INT((2^$J$12-1)*U774/100)/(2^$J$12-1)*100</f>
        <v/>
      </c>
      <c r="X774" s="15">
        <f>M774 * 1.05</f>
        <v/>
      </c>
      <c r="Y774" s="15">
        <f>M774 * 0.95</f>
        <v/>
      </c>
      <c r="Z774" s="15">
        <f>IF(AND(V774 &lt;= X774, V774 &gt;= Y774), 1, 0)</f>
        <v/>
      </c>
      <c r="AC774" s="15">
        <f>N774^2</f>
        <v/>
      </c>
      <c r="AD774" s="15">
        <f>ABS(N774)</f>
        <v/>
      </c>
      <c r="AE774" s="15">
        <f>IF(M774&gt;0, ABS(N774)*(L774-$D$16),0)</f>
        <v/>
      </c>
    </row>
    <row r="775">
      <c r="L775" s="15" t="n">
        <v>773</v>
      </c>
      <c r="M775" s="15">
        <f>IF(L775&lt;$D$16,$D$12,IF(L775&lt;$E$16,$E$12,$F$13))</f>
        <v/>
      </c>
      <c r="N775" s="15">
        <f>M775-V775</f>
        <v/>
      </c>
      <c r="O775" s="15">
        <f>IF(MOD(L775,$B$11)=0,OFFSET(O775,-$B$11,0)+ $E$2*N775+$E$3*OFFSET(N775,-$B$11,0)+ $E$4*OFFSET(N775,-2* $B$11,0), O774)</f>
        <v/>
      </c>
      <c r="P775" s="15">
        <f>INT((2^$J$12-1)*O775/100)/(2^$J$12-1)*100</f>
        <v/>
      </c>
      <c r="Q775" s="15" t="n">
        <v>0</v>
      </c>
      <c r="R775" s="15">
        <f>P775+Q775</f>
        <v/>
      </c>
      <c r="S775" s="15">
        <f>$I$1*S774-$I$2*S773+$I$3*R754+$I$4*R753</f>
        <v/>
      </c>
      <c r="T775" s="15" t="n">
        <v>0</v>
      </c>
      <c r="U775" s="15">
        <f>S775+T775</f>
        <v/>
      </c>
      <c r="V775" s="15">
        <f>INT((2^$J$12-1)*U775/100)/(2^$J$12-1)*100</f>
        <v/>
      </c>
      <c r="X775" s="15">
        <f>M775 * 1.05</f>
        <v/>
      </c>
      <c r="Y775" s="15">
        <f>M775 * 0.95</f>
        <v/>
      </c>
      <c r="Z775" s="15">
        <f>IF(AND(V775 &lt;= X775, V775 &gt;= Y775), 1, 0)</f>
        <v/>
      </c>
      <c r="AC775" s="15">
        <f>N775^2</f>
        <v/>
      </c>
      <c r="AD775" s="15">
        <f>ABS(N775)</f>
        <v/>
      </c>
      <c r="AE775" s="15">
        <f>IF(M775&gt;0, ABS(N775)*(L775-$D$16),0)</f>
        <v/>
      </c>
    </row>
    <row r="776">
      <c r="L776" s="15" t="n">
        <v>774</v>
      </c>
      <c r="M776" s="15">
        <f>IF(L776&lt;$D$16,$D$12,IF(L776&lt;$E$16,$E$12,$F$13))</f>
        <v/>
      </c>
      <c r="N776" s="15">
        <f>M776-V776</f>
        <v/>
      </c>
      <c r="O776" s="15">
        <f>IF(MOD(L776,$B$11)=0,OFFSET(O776,-$B$11,0)+ $E$2*N776+$E$3*OFFSET(N776,-$B$11,0)+ $E$4*OFFSET(N776,-2* $B$11,0), O775)</f>
        <v/>
      </c>
      <c r="P776" s="15">
        <f>INT((2^$J$12-1)*O776/100)/(2^$J$12-1)*100</f>
        <v/>
      </c>
      <c r="Q776" s="15" t="n">
        <v>0</v>
      </c>
      <c r="R776" s="15">
        <f>P776+Q776</f>
        <v/>
      </c>
      <c r="S776" s="15">
        <f>$I$1*S775-$I$2*S774+$I$3*R755+$I$4*R754</f>
        <v/>
      </c>
      <c r="T776" s="15" t="n">
        <v>0</v>
      </c>
      <c r="U776" s="15">
        <f>S776+T776</f>
        <v/>
      </c>
      <c r="V776" s="15">
        <f>INT((2^$J$12-1)*U776/100)/(2^$J$12-1)*100</f>
        <v/>
      </c>
      <c r="X776" s="15">
        <f>M776 * 1.05</f>
        <v/>
      </c>
      <c r="Y776" s="15">
        <f>M776 * 0.95</f>
        <v/>
      </c>
      <c r="Z776" s="15">
        <f>IF(AND(V776 &lt;= X776, V776 &gt;= Y776), 1, 0)</f>
        <v/>
      </c>
      <c r="AC776" s="15">
        <f>N776^2</f>
        <v/>
      </c>
      <c r="AD776" s="15">
        <f>ABS(N776)</f>
        <v/>
      </c>
      <c r="AE776" s="15">
        <f>IF(M776&gt;0, ABS(N776)*(L776-$D$16),0)</f>
        <v/>
      </c>
    </row>
    <row r="777">
      <c r="L777" s="15" t="n">
        <v>775</v>
      </c>
      <c r="M777" s="15">
        <f>IF(L777&lt;$D$16,$D$12,IF(L777&lt;$E$16,$E$12,$F$13))</f>
        <v/>
      </c>
      <c r="N777" s="15">
        <f>M777-V777</f>
        <v/>
      </c>
      <c r="O777" s="15">
        <f>IF(MOD(L777,$B$11)=0,OFFSET(O777,-$B$11,0)+ $E$2*N777+$E$3*OFFSET(N777,-$B$11,0)+ $E$4*OFFSET(N777,-2* $B$11,0), O776)</f>
        <v/>
      </c>
      <c r="P777" s="15">
        <f>INT((2^$J$12-1)*O777/100)/(2^$J$12-1)*100</f>
        <v/>
      </c>
      <c r="Q777" s="15" t="n">
        <v>0</v>
      </c>
      <c r="R777" s="15">
        <f>P777+Q777</f>
        <v/>
      </c>
      <c r="S777" s="15">
        <f>$I$1*S776-$I$2*S775+$I$3*R756+$I$4*R755</f>
        <v/>
      </c>
      <c r="T777" s="15" t="n">
        <v>0</v>
      </c>
      <c r="U777" s="15">
        <f>S777+T777</f>
        <v/>
      </c>
      <c r="V777" s="15">
        <f>INT((2^$J$12-1)*U777/100)/(2^$J$12-1)*100</f>
        <v/>
      </c>
      <c r="X777" s="15">
        <f>M777 * 1.05</f>
        <v/>
      </c>
      <c r="Y777" s="15">
        <f>M777 * 0.95</f>
        <v/>
      </c>
      <c r="Z777" s="15">
        <f>IF(AND(V777 &lt;= X777, V777 &gt;= Y777), 1, 0)</f>
        <v/>
      </c>
      <c r="AC777" s="15">
        <f>N777^2</f>
        <v/>
      </c>
      <c r="AD777" s="15">
        <f>ABS(N777)</f>
        <v/>
      </c>
      <c r="AE777" s="15">
        <f>IF(M777&gt;0, ABS(N777)*(L777-$D$16),0)</f>
        <v/>
      </c>
    </row>
    <row r="778">
      <c r="L778" s="15" t="n">
        <v>776</v>
      </c>
      <c r="M778" s="15">
        <f>IF(L778&lt;$D$16,$D$12,IF(L778&lt;$E$16,$E$12,$F$13))</f>
        <v/>
      </c>
      <c r="N778" s="15">
        <f>M778-V778</f>
        <v/>
      </c>
      <c r="O778" s="15">
        <f>IF(MOD(L778,$B$11)=0,OFFSET(O778,-$B$11,0)+ $E$2*N778+$E$3*OFFSET(N778,-$B$11,0)+ $E$4*OFFSET(N778,-2* $B$11,0), O777)</f>
        <v/>
      </c>
      <c r="P778" s="15">
        <f>INT((2^$J$12-1)*O778/100)/(2^$J$12-1)*100</f>
        <v/>
      </c>
      <c r="Q778" s="15" t="n">
        <v>0</v>
      </c>
      <c r="R778" s="15">
        <f>P778+Q778</f>
        <v/>
      </c>
      <c r="S778" s="15">
        <f>$I$1*S777-$I$2*S776+$I$3*R757+$I$4*R756</f>
        <v/>
      </c>
      <c r="T778" s="15" t="n">
        <v>0</v>
      </c>
      <c r="U778" s="15">
        <f>S778+T778</f>
        <v/>
      </c>
      <c r="V778" s="15">
        <f>INT((2^$J$12-1)*U778/100)/(2^$J$12-1)*100</f>
        <v/>
      </c>
      <c r="X778" s="15">
        <f>M778 * 1.05</f>
        <v/>
      </c>
      <c r="Y778" s="15">
        <f>M778 * 0.95</f>
        <v/>
      </c>
      <c r="Z778" s="15">
        <f>IF(AND(V778 &lt;= X778, V778 &gt;= Y778), 1, 0)</f>
        <v/>
      </c>
      <c r="AC778" s="15">
        <f>N778^2</f>
        <v/>
      </c>
      <c r="AD778" s="15">
        <f>ABS(N778)</f>
        <v/>
      </c>
      <c r="AE778" s="15">
        <f>IF(M778&gt;0, ABS(N778)*(L778-$D$16),0)</f>
        <v/>
      </c>
    </row>
    <row r="779">
      <c r="L779" s="15" t="n">
        <v>777</v>
      </c>
      <c r="M779" s="15">
        <f>IF(L779&lt;$D$16,$D$12,IF(L779&lt;$E$16,$E$12,$F$13))</f>
        <v/>
      </c>
      <c r="N779" s="15">
        <f>M779-V779</f>
        <v/>
      </c>
      <c r="O779" s="15">
        <f>IF(MOD(L779,$B$11)=0,OFFSET(O779,-$B$11,0)+ $E$2*N779+$E$3*OFFSET(N779,-$B$11,0)+ $E$4*OFFSET(N779,-2* $B$11,0), O778)</f>
        <v/>
      </c>
      <c r="P779" s="15">
        <f>INT((2^$J$12-1)*O779/100)/(2^$J$12-1)*100</f>
        <v/>
      </c>
      <c r="Q779" s="15" t="n">
        <v>0</v>
      </c>
      <c r="R779" s="15">
        <f>P779+Q779</f>
        <v/>
      </c>
      <c r="S779" s="15">
        <f>$I$1*S778-$I$2*S777+$I$3*R758+$I$4*R757</f>
        <v/>
      </c>
      <c r="T779" s="15" t="n">
        <v>0</v>
      </c>
      <c r="U779" s="15">
        <f>S779+T779</f>
        <v/>
      </c>
      <c r="V779" s="15">
        <f>INT((2^$J$12-1)*U779/100)/(2^$J$12-1)*100</f>
        <v/>
      </c>
      <c r="X779" s="15">
        <f>M779 * 1.05</f>
        <v/>
      </c>
      <c r="Y779" s="15">
        <f>M779 * 0.95</f>
        <v/>
      </c>
      <c r="Z779" s="15">
        <f>IF(AND(V779 &lt;= X779, V779 &gt;= Y779), 1, 0)</f>
        <v/>
      </c>
      <c r="AC779" s="15">
        <f>N779^2</f>
        <v/>
      </c>
      <c r="AD779" s="15">
        <f>ABS(N779)</f>
        <v/>
      </c>
      <c r="AE779" s="15">
        <f>IF(M779&gt;0, ABS(N779)*(L779-$D$16),0)</f>
        <v/>
      </c>
    </row>
    <row r="780">
      <c r="L780" s="15" t="n">
        <v>778</v>
      </c>
      <c r="M780" s="15">
        <f>IF(L780&lt;$D$16,$D$12,IF(L780&lt;$E$16,$E$12,$F$13))</f>
        <v/>
      </c>
      <c r="N780" s="15">
        <f>M780-V780</f>
        <v/>
      </c>
      <c r="O780" s="15">
        <f>IF(MOD(L780,$B$11)=0,OFFSET(O780,-$B$11,0)+ $E$2*N780+$E$3*OFFSET(N780,-$B$11,0)+ $E$4*OFFSET(N780,-2* $B$11,0), O779)</f>
        <v/>
      </c>
      <c r="P780" s="15">
        <f>INT((2^$J$12-1)*O780/100)/(2^$J$12-1)*100</f>
        <v/>
      </c>
      <c r="Q780" s="15" t="n">
        <v>0</v>
      </c>
      <c r="R780" s="15">
        <f>P780+Q780</f>
        <v/>
      </c>
      <c r="S780" s="15">
        <f>$I$1*S779-$I$2*S778+$I$3*R759+$I$4*R758</f>
        <v/>
      </c>
      <c r="T780" s="15" t="n">
        <v>0</v>
      </c>
      <c r="U780" s="15">
        <f>S780+T780</f>
        <v/>
      </c>
      <c r="V780" s="15">
        <f>INT((2^$J$12-1)*U780/100)/(2^$J$12-1)*100</f>
        <v/>
      </c>
      <c r="X780" s="15">
        <f>M780 * 1.05</f>
        <v/>
      </c>
      <c r="Y780" s="15">
        <f>M780 * 0.95</f>
        <v/>
      </c>
      <c r="Z780" s="15">
        <f>IF(AND(V780 &lt;= X780, V780 &gt;= Y780), 1, 0)</f>
        <v/>
      </c>
      <c r="AC780" s="15">
        <f>N780^2</f>
        <v/>
      </c>
      <c r="AD780" s="15">
        <f>ABS(N780)</f>
        <v/>
      </c>
      <c r="AE780" s="15">
        <f>IF(M780&gt;0, ABS(N780)*(L780-$D$16),0)</f>
        <v/>
      </c>
    </row>
    <row r="781">
      <c r="L781" s="15" t="n">
        <v>779</v>
      </c>
      <c r="M781" s="15">
        <f>IF(L781&lt;$D$16,$D$12,IF(L781&lt;$E$16,$E$12,$F$13))</f>
        <v/>
      </c>
      <c r="N781" s="15">
        <f>M781-V781</f>
        <v/>
      </c>
      <c r="O781" s="15">
        <f>IF(MOD(L781,$B$11)=0,OFFSET(O781,-$B$11,0)+ $E$2*N781+$E$3*OFFSET(N781,-$B$11,0)+ $E$4*OFFSET(N781,-2* $B$11,0), O780)</f>
        <v/>
      </c>
      <c r="P781" s="15">
        <f>INT((2^$J$12-1)*O781/100)/(2^$J$12-1)*100</f>
        <v/>
      </c>
      <c r="Q781" s="15" t="n">
        <v>0</v>
      </c>
      <c r="R781" s="15">
        <f>P781+Q781</f>
        <v/>
      </c>
      <c r="S781" s="15">
        <f>$I$1*S780-$I$2*S779+$I$3*R760+$I$4*R759</f>
        <v/>
      </c>
      <c r="T781" s="15" t="n">
        <v>0</v>
      </c>
      <c r="U781" s="15">
        <f>S781+T781</f>
        <v/>
      </c>
      <c r="V781" s="15">
        <f>INT((2^$J$12-1)*U781/100)/(2^$J$12-1)*100</f>
        <v/>
      </c>
      <c r="X781" s="15">
        <f>M781 * 1.05</f>
        <v/>
      </c>
      <c r="Y781" s="15">
        <f>M781 * 0.95</f>
        <v/>
      </c>
      <c r="Z781" s="15">
        <f>IF(AND(V781 &lt;= X781, V781 &gt;= Y781), 1, 0)</f>
        <v/>
      </c>
      <c r="AC781" s="15">
        <f>N781^2</f>
        <v/>
      </c>
      <c r="AD781" s="15">
        <f>ABS(N781)</f>
        <v/>
      </c>
      <c r="AE781" s="15">
        <f>IF(M781&gt;0, ABS(N781)*(L781-$D$16),0)</f>
        <v/>
      </c>
    </row>
    <row r="782">
      <c r="L782" s="15" t="n">
        <v>780</v>
      </c>
      <c r="M782" s="15">
        <f>IF(L782&lt;$D$16,$D$12,IF(L782&lt;$E$16,$E$12,$F$13))</f>
        <v/>
      </c>
      <c r="N782" s="15">
        <f>M782-V782</f>
        <v/>
      </c>
      <c r="O782" s="15">
        <f>IF(MOD(L782,$B$11)=0,OFFSET(O782,-$B$11,0)+ $E$2*N782+$E$3*OFFSET(N782,-$B$11,0)+ $E$4*OFFSET(N782,-2* $B$11,0), O781)</f>
        <v/>
      </c>
      <c r="P782" s="15">
        <f>INT((2^$J$12-1)*O782/100)/(2^$J$12-1)*100</f>
        <v/>
      </c>
      <c r="Q782" s="15" t="n">
        <v>0</v>
      </c>
      <c r="R782" s="15">
        <f>P782+Q782</f>
        <v/>
      </c>
      <c r="S782" s="15">
        <f>$I$1*S781-$I$2*S780+$I$3*R761+$I$4*R760</f>
        <v/>
      </c>
      <c r="T782" s="15" t="n">
        <v>0</v>
      </c>
      <c r="U782" s="15">
        <f>S782+T782</f>
        <v/>
      </c>
      <c r="V782" s="15">
        <f>INT((2^$J$12-1)*U782/100)/(2^$J$12-1)*100</f>
        <v/>
      </c>
      <c r="X782" s="15">
        <f>M782 * 1.05</f>
        <v/>
      </c>
      <c r="Y782" s="15">
        <f>M782 * 0.95</f>
        <v/>
      </c>
      <c r="Z782" s="15">
        <f>IF(AND(V782 &lt;= X782, V782 &gt;= Y782), 1, 0)</f>
        <v/>
      </c>
      <c r="AC782" s="15">
        <f>N782^2</f>
        <v/>
      </c>
      <c r="AD782" s="15">
        <f>ABS(N782)</f>
        <v/>
      </c>
      <c r="AE782" s="15">
        <f>IF(M782&gt;0, ABS(N782)*(L782-$D$16),0)</f>
        <v/>
      </c>
    </row>
    <row r="783">
      <c r="L783" s="15" t="n">
        <v>781</v>
      </c>
      <c r="M783" s="15">
        <f>IF(L783&lt;$D$16,$D$12,IF(L783&lt;$E$16,$E$12,$F$13))</f>
        <v/>
      </c>
      <c r="N783" s="15">
        <f>M783-V783</f>
        <v/>
      </c>
      <c r="O783" s="15">
        <f>IF(MOD(L783,$B$11)=0,OFFSET(O783,-$B$11,0)+ $E$2*N783+$E$3*OFFSET(N783,-$B$11,0)+ $E$4*OFFSET(N783,-2* $B$11,0), O782)</f>
        <v/>
      </c>
      <c r="P783" s="15">
        <f>INT((2^$J$12-1)*O783/100)/(2^$J$12-1)*100</f>
        <v/>
      </c>
      <c r="Q783" s="15" t="n">
        <v>0</v>
      </c>
      <c r="R783" s="15">
        <f>P783+Q783</f>
        <v/>
      </c>
      <c r="S783" s="15">
        <f>$I$1*S782-$I$2*S781+$I$3*R762+$I$4*R761</f>
        <v/>
      </c>
      <c r="T783" s="15" t="n">
        <v>0</v>
      </c>
      <c r="U783" s="15">
        <f>S783+T783</f>
        <v/>
      </c>
      <c r="V783" s="15">
        <f>INT((2^$J$12-1)*U783/100)/(2^$J$12-1)*100</f>
        <v/>
      </c>
      <c r="X783" s="15">
        <f>M783 * 1.05</f>
        <v/>
      </c>
      <c r="Y783" s="15">
        <f>M783 * 0.95</f>
        <v/>
      </c>
      <c r="Z783" s="15">
        <f>IF(AND(V783 &lt;= X783, V783 &gt;= Y783), 1, 0)</f>
        <v/>
      </c>
      <c r="AC783" s="15">
        <f>N783^2</f>
        <v/>
      </c>
      <c r="AD783" s="15">
        <f>ABS(N783)</f>
        <v/>
      </c>
      <c r="AE783" s="15">
        <f>IF(M783&gt;0, ABS(N783)*(L783-$D$16),0)</f>
        <v/>
      </c>
    </row>
    <row r="784">
      <c r="L784" s="15" t="n">
        <v>782</v>
      </c>
      <c r="M784" s="15">
        <f>IF(L784&lt;$D$16,$D$12,IF(L784&lt;$E$16,$E$12,$F$13))</f>
        <v/>
      </c>
      <c r="N784" s="15">
        <f>M784-V784</f>
        <v/>
      </c>
      <c r="O784" s="15">
        <f>IF(MOD(L784,$B$11)=0,OFFSET(O784,-$B$11,0)+ $E$2*N784+$E$3*OFFSET(N784,-$B$11,0)+ $E$4*OFFSET(N784,-2* $B$11,0), O783)</f>
        <v/>
      </c>
      <c r="P784" s="15">
        <f>INT((2^$J$12-1)*O784/100)/(2^$J$12-1)*100</f>
        <v/>
      </c>
      <c r="Q784" s="15" t="n">
        <v>0</v>
      </c>
      <c r="R784" s="15">
        <f>P784+Q784</f>
        <v/>
      </c>
      <c r="S784" s="15">
        <f>$I$1*S783-$I$2*S782+$I$3*R763+$I$4*R762</f>
        <v/>
      </c>
      <c r="T784" s="15" t="n">
        <v>0</v>
      </c>
      <c r="U784" s="15">
        <f>S784+T784</f>
        <v/>
      </c>
      <c r="V784" s="15">
        <f>INT((2^$J$12-1)*U784/100)/(2^$J$12-1)*100</f>
        <v/>
      </c>
      <c r="X784" s="15">
        <f>M784 * 1.05</f>
        <v/>
      </c>
      <c r="Y784" s="15">
        <f>M784 * 0.95</f>
        <v/>
      </c>
      <c r="Z784" s="15">
        <f>IF(AND(V784 &lt;= X784, V784 &gt;= Y784), 1, 0)</f>
        <v/>
      </c>
      <c r="AC784" s="15">
        <f>N784^2</f>
        <v/>
      </c>
      <c r="AD784" s="15">
        <f>ABS(N784)</f>
        <v/>
      </c>
      <c r="AE784" s="15">
        <f>IF(M784&gt;0, ABS(N784)*(L784-$D$16),0)</f>
        <v/>
      </c>
    </row>
    <row r="785">
      <c r="L785" s="15" t="n">
        <v>783</v>
      </c>
      <c r="M785" s="15">
        <f>IF(L785&lt;$D$16,$D$12,IF(L785&lt;$E$16,$E$12,$F$13))</f>
        <v/>
      </c>
      <c r="N785" s="15">
        <f>M785-V785</f>
        <v/>
      </c>
      <c r="O785" s="15">
        <f>IF(MOD(L785,$B$11)=0,OFFSET(O785,-$B$11,0)+ $E$2*N785+$E$3*OFFSET(N785,-$B$11,0)+ $E$4*OFFSET(N785,-2* $B$11,0), O784)</f>
        <v/>
      </c>
      <c r="P785" s="15">
        <f>INT((2^$J$12-1)*O785/100)/(2^$J$12-1)*100</f>
        <v/>
      </c>
      <c r="Q785" s="15" t="n">
        <v>0</v>
      </c>
      <c r="R785" s="15">
        <f>P785+Q785</f>
        <v/>
      </c>
      <c r="S785" s="15">
        <f>$I$1*S784-$I$2*S783+$I$3*R764+$I$4*R763</f>
        <v/>
      </c>
      <c r="T785" s="15" t="n">
        <v>0</v>
      </c>
      <c r="U785" s="15">
        <f>S785+T785</f>
        <v/>
      </c>
      <c r="V785" s="15">
        <f>INT((2^$J$12-1)*U785/100)/(2^$J$12-1)*100</f>
        <v/>
      </c>
      <c r="X785" s="15">
        <f>M785 * 1.05</f>
        <v/>
      </c>
      <c r="Y785" s="15">
        <f>M785 * 0.95</f>
        <v/>
      </c>
      <c r="Z785" s="15">
        <f>IF(AND(V785 &lt;= X785, V785 &gt;= Y785), 1, 0)</f>
        <v/>
      </c>
      <c r="AC785" s="15">
        <f>N785^2</f>
        <v/>
      </c>
      <c r="AD785" s="15">
        <f>ABS(N785)</f>
        <v/>
      </c>
      <c r="AE785" s="15">
        <f>IF(M785&gt;0, ABS(N785)*(L785-$D$16),0)</f>
        <v/>
      </c>
    </row>
    <row r="786">
      <c r="L786" s="15" t="n">
        <v>784</v>
      </c>
      <c r="M786" s="15">
        <f>IF(L786&lt;$D$16,$D$12,IF(L786&lt;$E$16,$E$12,$F$13))</f>
        <v/>
      </c>
      <c r="N786" s="15">
        <f>M786-V786</f>
        <v/>
      </c>
      <c r="O786" s="15">
        <f>IF(MOD(L786,$B$11)=0,OFFSET(O786,-$B$11,0)+ $E$2*N786+$E$3*OFFSET(N786,-$B$11,0)+ $E$4*OFFSET(N786,-2* $B$11,0), O785)</f>
        <v/>
      </c>
      <c r="P786" s="15">
        <f>INT((2^$J$12-1)*O786/100)/(2^$J$12-1)*100</f>
        <v/>
      </c>
      <c r="Q786" s="15" t="n">
        <v>0</v>
      </c>
      <c r="R786" s="15">
        <f>P786+Q786</f>
        <v/>
      </c>
      <c r="S786" s="15">
        <f>$I$1*S785-$I$2*S784+$I$3*R765+$I$4*R764</f>
        <v/>
      </c>
      <c r="T786" s="15" t="n">
        <v>0</v>
      </c>
      <c r="U786" s="15">
        <f>S786+T786</f>
        <v/>
      </c>
      <c r="V786" s="15">
        <f>INT((2^$J$12-1)*U786/100)/(2^$J$12-1)*100</f>
        <v/>
      </c>
      <c r="X786" s="15">
        <f>M786 * 1.05</f>
        <v/>
      </c>
      <c r="Y786" s="15">
        <f>M786 * 0.95</f>
        <v/>
      </c>
      <c r="Z786" s="15">
        <f>IF(AND(V786 &lt;= X786, V786 &gt;= Y786), 1, 0)</f>
        <v/>
      </c>
      <c r="AC786" s="15">
        <f>N786^2</f>
        <v/>
      </c>
      <c r="AD786" s="15">
        <f>ABS(N786)</f>
        <v/>
      </c>
      <c r="AE786" s="15">
        <f>IF(M786&gt;0, ABS(N786)*(L786-$D$16),0)</f>
        <v/>
      </c>
    </row>
    <row r="787">
      <c r="L787" s="15" t="n">
        <v>785</v>
      </c>
      <c r="M787" s="15">
        <f>IF(L787&lt;$D$16,$D$12,IF(L787&lt;$E$16,$E$12,$F$13))</f>
        <v/>
      </c>
      <c r="N787" s="15">
        <f>M787-V787</f>
        <v/>
      </c>
      <c r="O787" s="15">
        <f>IF(MOD(L787,$B$11)=0,OFFSET(O787,-$B$11,0)+ $E$2*N787+$E$3*OFFSET(N787,-$B$11,0)+ $E$4*OFFSET(N787,-2* $B$11,0), O786)</f>
        <v/>
      </c>
      <c r="P787" s="15">
        <f>INT((2^$J$12-1)*O787/100)/(2^$J$12-1)*100</f>
        <v/>
      </c>
      <c r="Q787" s="15" t="n">
        <v>0</v>
      </c>
      <c r="R787" s="15">
        <f>P787+Q787</f>
        <v/>
      </c>
      <c r="S787" s="15">
        <f>$I$1*S786-$I$2*S785+$I$3*R766+$I$4*R765</f>
        <v/>
      </c>
      <c r="T787" s="15" t="n">
        <v>0</v>
      </c>
      <c r="U787" s="15">
        <f>S787+T787</f>
        <v/>
      </c>
      <c r="V787" s="15">
        <f>INT((2^$J$12-1)*U787/100)/(2^$J$12-1)*100</f>
        <v/>
      </c>
      <c r="X787" s="15">
        <f>M787 * 1.05</f>
        <v/>
      </c>
      <c r="Y787" s="15">
        <f>M787 * 0.95</f>
        <v/>
      </c>
      <c r="Z787" s="15">
        <f>IF(AND(V787 &lt;= X787, V787 &gt;= Y787), 1, 0)</f>
        <v/>
      </c>
      <c r="AC787" s="15">
        <f>N787^2</f>
        <v/>
      </c>
      <c r="AD787" s="15">
        <f>ABS(N787)</f>
        <v/>
      </c>
      <c r="AE787" s="15">
        <f>IF(M787&gt;0, ABS(N787)*(L787-$D$16),0)</f>
        <v/>
      </c>
    </row>
    <row r="788">
      <c r="L788" s="15" t="n">
        <v>786</v>
      </c>
      <c r="M788" s="15">
        <f>IF(L788&lt;$D$16,$D$12,IF(L788&lt;$E$16,$E$12,$F$13))</f>
        <v/>
      </c>
      <c r="N788" s="15">
        <f>M788-V788</f>
        <v/>
      </c>
      <c r="O788" s="15">
        <f>IF(MOD(L788,$B$11)=0,OFFSET(O788,-$B$11,0)+ $E$2*N788+$E$3*OFFSET(N788,-$B$11,0)+ $E$4*OFFSET(N788,-2* $B$11,0), O787)</f>
        <v/>
      </c>
      <c r="P788" s="15">
        <f>INT((2^$J$12-1)*O788/100)/(2^$J$12-1)*100</f>
        <v/>
      </c>
      <c r="Q788" s="15" t="n">
        <v>0</v>
      </c>
      <c r="R788" s="15">
        <f>P788+Q788</f>
        <v/>
      </c>
      <c r="S788" s="15">
        <f>$I$1*S787-$I$2*S786+$I$3*R767+$I$4*R766</f>
        <v/>
      </c>
      <c r="T788" s="15" t="n">
        <v>0</v>
      </c>
      <c r="U788" s="15">
        <f>S788+T788</f>
        <v/>
      </c>
      <c r="V788" s="15">
        <f>INT((2^$J$12-1)*U788/100)/(2^$J$12-1)*100</f>
        <v/>
      </c>
      <c r="X788" s="15">
        <f>M788 * 1.05</f>
        <v/>
      </c>
      <c r="Y788" s="15">
        <f>M788 * 0.95</f>
        <v/>
      </c>
      <c r="Z788" s="15">
        <f>IF(AND(V788 &lt;= X788, V788 &gt;= Y788), 1, 0)</f>
        <v/>
      </c>
      <c r="AC788" s="15">
        <f>N788^2</f>
        <v/>
      </c>
      <c r="AD788" s="15">
        <f>ABS(N788)</f>
        <v/>
      </c>
      <c r="AE788" s="15">
        <f>IF(M788&gt;0, ABS(N788)*(L788-$D$16),0)</f>
        <v/>
      </c>
    </row>
    <row r="789">
      <c r="L789" s="15" t="n">
        <v>787</v>
      </c>
      <c r="M789" s="15">
        <f>IF(L789&lt;$D$16,$D$12,IF(L789&lt;$E$16,$E$12,$F$13))</f>
        <v/>
      </c>
      <c r="N789" s="15">
        <f>M789-V789</f>
        <v/>
      </c>
      <c r="O789" s="15">
        <f>IF(MOD(L789,$B$11)=0,OFFSET(O789,-$B$11,0)+ $E$2*N789+$E$3*OFFSET(N789,-$B$11,0)+ $E$4*OFFSET(N789,-2* $B$11,0), O788)</f>
        <v/>
      </c>
      <c r="P789" s="15">
        <f>INT((2^$J$12-1)*O789/100)/(2^$J$12-1)*100</f>
        <v/>
      </c>
      <c r="Q789" s="15" t="n">
        <v>0</v>
      </c>
      <c r="R789" s="15">
        <f>P789+Q789</f>
        <v/>
      </c>
      <c r="S789" s="15">
        <f>$I$1*S788-$I$2*S787+$I$3*R768+$I$4*R767</f>
        <v/>
      </c>
      <c r="T789" s="15" t="n">
        <v>0</v>
      </c>
      <c r="U789" s="15">
        <f>S789+T789</f>
        <v/>
      </c>
      <c r="V789" s="15">
        <f>INT((2^$J$12-1)*U789/100)/(2^$J$12-1)*100</f>
        <v/>
      </c>
      <c r="X789" s="15">
        <f>M789 * 1.05</f>
        <v/>
      </c>
      <c r="Y789" s="15">
        <f>M789 * 0.95</f>
        <v/>
      </c>
      <c r="Z789" s="15">
        <f>IF(AND(V789 &lt;= X789, V789 &gt;= Y789), 1, 0)</f>
        <v/>
      </c>
      <c r="AC789" s="15">
        <f>N789^2</f>
        <v/>
      </c>
      <c r="AD789" s="15">
        <f>ABS(N789)</f>
        <v/>
      </c>
      <c r="AE789" s="15">
        <f>IF(M789&gt;0, ABS(N789)*(L789-$D$16),0)</f>
        <v/>
      </c>
    </row>
    <row r="790">
      <c r="L790" s="15" t="n">
        <v>788</v>
      </c>
      <c r="M790" s="15">
        <f>IF(L790&lt;$D$16,$D$12,IF(L790&lt;$E$16,$E$12,$F$13))</f>
        <v/>
      </c>
      <c r="N790" s="15">
        <f>M790-V790</f>
        <v/>
      </c>
      <c r="O790" s="15">
        <f>IF(MOD(L790,$B$11)=0,OFFSET(O790,-$B$11,0)+ $E$2*N790+$E$3*OFFSET(N790,-$B$11,0)+ $E$4*OFFSET(N790,-2* $B$11,0), O789)</f>
        <v/>
      </c>
      <c r="P790" s="15">
        <f>INT((2^$J$12-1)*O790/100)/(2^$J$12-1)*100</f>
        <v/>
      </c>
      <c r="Q790" s="15" t="n">
        <v>0</v>
      </c>
      <c r="R790" s="15">
        <f>P790+Q790</f>
        <v/>
      </c>
      <c r="S790" s="15">
        <f>$I$1*S789-$I$2*S788+$I$3*R769+$I$4*R768</f>
        <v/>
      </c>
      <c r="T790" s="15" t="n">
        <v>0</v>
      </c>
      <c r="U790" s="15">
        <f>S790+T790</f>
        <v/>
      </c>
      <c r="V790" s="15">
        <f>INT((2^$J$12-1)*U790/100)/(2^$J$12-1)*100</f>
        <v/>
      </c>
      <c r="X790" s="15">
        <f>M790 * 1.05</f>
        <v/>
      </c>
      <c r="Y790" s="15">
        <f>M790 * 0.95</f>
        <v/>
      </c>
      <c r="Z790" s="15">
        <f>IF(AND(V790 &lt;= X790, V790 &gt;= Y790), 1, 0)</f>
        <v/>
      </c>
      <c r="AC790" s="15">
        <f>N790^2</f>
        <v/>
      </c>
      <c r="AD790" s="15">
        <f>ABS(N790)</f>
        <v/>
      </c>
      <c r="AE790" s="15">
        <f>IF(M790&gt;0, ABS(N790)*(L790-$D$16),0)</f>
        <v/>
      </c>
    </row>
    <row r="791">
      <c r="L791" s="15" t="n">
        <v>789</v>
      </c>
      <c r="M791" s="15">
        <f>IF(L791&lt;$D$16,$D$12,IF(L791&lt;$E$16,$E$12,$F$13))</f>
        <v/>
      </c>
      <c r="N791" s="15">
        <f>M791-V791</f>
        <v/>
      </c>
      <c r="O791" s="15">
        <f>IF(MOD(L791,$B$11)=0,OFFSET(O791,-$B$11,0)+ $E$2*N791+$E$3*OFFSET(N791,-$B$11,0)+ $E$4*OFFSET(N791,-2* $B$11,0), O790)</f>
        <v/>
      </c>
      <c r="P791" s="15">
        <f>INT((2^$J$12-1)*O791/100)/(2^$J$12-1)*100</f>
        <v/>
      </c>
      <c r="Q791" s="15" t="n">
        <v>0</v>
      </c>
      <c r="R791" s="15">
        <f>P791+Q791</f>
        <v/>
      </c>
      <c r="S791" s="15">
        <f>$I$1*S790-$I$2*S789+$I$3*R770+$I$4*R769</f>
        <v/>
      </c>
      <c r="T791" s="15" t="n">
        <v>0</v>
      </c>
      <c r="U791" s="15">
        <f>S791+T791</f>
        <v/>
      </c>
      <c r="V791" s="15">
        <f>INT((2^$J$12-1)*U791/100)/(2^$J$12-1)*100</f>
        <v/>
      </c>
      <c r="X791" s="15">
        <f>M791 * 1.05</f>
        <v/>
      </c>
      <c r="Y791" s="15">
        <f>M791 * 0.95</f>
        <v/>
      </c>
      <c r="Z791" s="15">
        <f>IF(AND(V791 &lt;= X791, V791 &gt;= Y791), 1, 0)</f>
        <v/>
      </c>
      <c r="AC791" s="15">
        <f>N791^2</f>
        <v/>
      </c>
      <c r="AD791" s="15">
        <f>ABS(N791)</f>
        <v/>
      </c>
      <c r="AE791" s="15">
        <f>IF(M791&gt;0, ABS(N791)*(L791-$D$16),0)</f>
        <v/>
      </c>
    </row>
    <row r="792">
      <c r="L792" s="15" t="n">
        <v>790</v>
      </c>
      <c r="M792" s="15">
        <f>IF(L792&lt;$D$16,$D$12,IF(L792&lt;$E$16,$E$12,$F$13))</f>
        <v/>
      </c>
      <c r="N792" s="15">
        <f>M792-V792</f>
        <v/>
      </c>
      <c r="O792" s="15">
        <f>IF(MOD(L792,$B$11)=0,OFFSET(O792,-$B$11,0)+ $E$2*N792+$E$3*OFFSET(N792,-$B$11,0)+ $E$4*OFFSET(N792,-2* $B$11,0), O791)</f>
        <v/>
      </c>
      <c r="P792" s="15">
        <f>INT((2^$J$12-1)*O792/100)/(2^$J$12-1)*100</f>
        <v/>
      </c>
      <c r="Q792" s="15" t="n">
        <v>0</v>
      </c>
      <c r="R792" s="15">
        <f>P792+Q792</f>
        <v/>
      </c>
      <c r="S792" s="15">
        <f>$I$1*S791-$I$2*S790+$I$3*R771+$I$4*R770</f>
        <v/>
      </c>
      <c r="T792" s="15" t="n">
        <v>0</v>
      </c>
      <c r="U792" s="15">
        <f>S792+T792</f>
        <v/>
      </c>
      <c r="V792" s="15">
        <f>INT((2^$J$12-1)*U792/100)/(2^$J$12-1)*100</f>
        <v/>
      </c>
      <c r="X792" s="15">
        <f>M792 * 1.05</f>
        <v/>
      </c>
      <c r="Y792" s="15">
        <f>M792 * 0.95</f>
        <v/>
      </c>
      <c r="Z792" s="15">
        <f>IF(AND(V792 &lt;= X792, V792 &gt;= Y792), 1, 0)</f>
        <v/>
      </c>
      <c r="AC792" s="15">
        <f>N792^2</f>
        <v/>
      </c>
      <c r="AD792" s="15">
        <f>ABS(N792)</f>
        <v/>
      </c>
      <c r="AE792" s="15">
        <f>IF(M792&gt;0, ABS(N792)*(L792-$D$16),0)</f>
        <v/>
      </c>
    </row>
    <row r="793">
      <c r="L793" s="15" t="n">
        <v>791</v>
      </c>
      <c r="M793" s="15">
        <f>IF(L793&lt;$D$16,$D$12,IF(L793&lt;$E$16,$E$12,$F$13))</f>
        <v/>
      </c>
      <c r="N793" s="15">
        <f>M793-V793</f>
        <v/>
      </c>
      <c r="O793" s="15">
        <f>IF(MOD(L793,$B$11)=0,OFFSET(O793,-$B$11,0)+ $E$2*N793+$E$3*OFFSET(N793,-$B$11,0)+ $E$4*OFFSET(N793,-2* $B$11,0), O792)</f>
        <v/>
      </c>
      <c r="P793" s="15">
        <f>INT((2^$J$12-1)*O793/100)/(2^$J$12-1)*100</f>
        <v/>
      </c>
      <c r="Q793" s="15" t="n">
        <v>0</v>
      </c>
      <c r="R793" s="15">
        <f>P793+Q793</f>
        <v/>
      </c>
      <c r="S793" s="15">
        <f>$I$1*S792-$I$2*S791+$I$3*R772+$I$4*R771</f>
        <v/>
      </c>
      <c r="T793" s="15" t="n">
        <v>0</v>
      </c>
      <c r="U793" s="15">
        <f>S793+T793</f>
        <v/>
      </c>
      <c r="V793" s="15">
        <f>INT((2^$J$12-1)*U793/100)/(2^$J$12-1)*100</f>
        <v/>
      </c>
      <c r="X793" s="15">
        <f>M793 * 1.05</f>
        <v/>
      </c>
      <c r="Y793" s="15">
        <f>M793 * 0.95</f>
        <v/>
      </c>
      <c r="Z793" s="15">
        <f>IF(AND(V793 &lt;= X793, V793 &gt;= Y793), 1, 0)</f>
        <v/>
      </c>
      <c r="AC793" s="15">
        <f>N793^2</f>
        <v/>
      </c>
      <c r="AD793" s="15">
        <f>ABS(N793)</f>
        <v/>
      </c>
      <c r="AE793" s="15">
        <f>IF(M793&gt;0, ABS(N793)*(L793-$D$16),0)</f>
        <v/>
      </c>
    </row>
    <row r="794">
      <c r="L794" s="15" t="n">
        <v>792</v>
      </c>
      <c r="M794" s="15">
        <f>IF(L794&lt;$D$16,$D$12,IF(L794&lt;$E$16,$E$12,$F$13))</f>
        <v/>
      </c>
      <c r="N794" s="15">
        <f>M794-V794</f>
        <v/>
      </c>
      <c r="O794" s="15">
        <f>IF(MOD(L794,$B$11)=0,OFFSET(O794,-$B$11,0)+ $E$2*N794+$E$3*OFFSET(N794,-$B$11,0)+ $E$4*OFFSET(N794,-2* $B$11,0), O793)</f>
        <v/>
      </c>
      <c r="P794" s="15">
        <f>INT((2^$J$12-1)*O794/100)/(2^$J$12-1)*100</f>
        <v/>
      </c>
      <c r="Q794" s="15" t="n">
        <v>0</v>
      </c>
      <c r="R794" s="15">
        <f>P794+Q794</f>
        <v/>
      </c>
      <c r="S794" s="15">
        <f>$I$1*S793-$I$2*S792+$I$3*R773+$I$4*R772</f>
        <v/>
      </c>
      <c r="T794" s="15" t="n">
        <v>0</v>
      </c>
      <c r="U794" s="15">
        <f>S794+T794</f>
        <v/>
      </c>
      <c r="V794" s="15">
        <f>INT((2^$J$12-1)*U794/100)/(2^$J$12-1)*100</f>
        <v/>
      </c>
      <c r="X794" s="15">
        <f>M794 * 1.05</f>
        <v/>
      </c>
      <c r="Y794" s="15">
        <f>M794 * 0.95</f>
        <v/>
      </c>
      <c r="Z794" s="15">
        <f>IF(AND(V794 &lt;= X794, V794 &gt;= Y794), 1, 0)</f>
        <v/>
      </c>
      <c r="AC794" s="15">
        <f>N794^2</f>
        <v/>
      </c>
      <c r="AD794" s="15">
        <f>ABS(N794)</f>
        <v/>
      </c>
      <c r="AE794" s="15">
        <f>IF(M794&gt;0, ABS(N794)*(L794-$D$16),0)</f>
        <v/>
      </c>
    </row>
    <row r="795">
      <c r="L795" s="15" t="n">
        <v>793</v>
      </c>
      <c r="M795" s="15">
        <f>IF(L795&lt;$D$16,$D$12,IF(L795&lt;$E$16,$E$12,$F$13))</f>
        <v/>
      </c>
      <c r="N795" s="15">
        <f>M795-V795</f>
        <v/>
      </c>
      <c r="O795" s="15">
        <f>IF(MOD(L795,$B$11)=0,OFFSET(O795,-$B$11,0)+ $E$2*N795+$E$3*OFFSET(N795,-$B$11,0)+ $E$4*OFFSET(N795,-2* $B$11,0), O794)</f>
        <v/>
      </c>
      <c r="P795" s="15">
        <f>INT((2^$J$12-1)*O795/100)/(2^$J$12-1)*100</f>
        <v/>
      </c>
      <c r="Q795" s="15" t="n">
        <v>0</v>
      </c>
      <c r="R795" s="15">
        <f>P795+Q795</f>
        <v/>
      </c>
      <c r="S795" s="15">
        <f>$I$1*S794-$I$2*S793+$I$3*R774+$I$4*R773</f>
        <v/>
      </c>
      <c r="T795" s="15" t="n">
        <v>0</v>
      </c>
      <c r="U795" s="15">
        <f>S795+T795</f>
        <v/>
      </c>
      <c r="V795" s="15">
        <f>INT((2^$J$12-1)*U795/100)/(2^$J$12-1)*100</f>
        <v/>
      </c>
      <c r="X795" s="15">
        <f>M795 * 1.05</f>
        <v/>
      </c>
      <c r="Y795" s="15">
        <f>M795 * 0.95</f>
        <v/>
      </c>
      <c r="Z795" s="15">
        <f>IF(AND(V795 &lt;= X795, V795 &gt;= Y795), 1, 0)</f>
        <v/>
      </c>
      <c r="AC795" s="15">
        <f>N795^2</f>
        <v/>
      </c>
      <c r="AD795" s="15">
        <f>ABS(N795)</f>
        <v/>
      </c>
      <c r="AE795" s="15">
        <f>IF(M795&gt;0, ABS(N795)*(L795-$D$16),0)</f>
        <v/>
      </c>
    </row>
    <row r="796">
      <c r="L796" s="15" t="n">
        <v>794</v>
      </c>
      <c r="M796" s="15">
        <f>IF(L796&lt;$D$16,$D$12,IF(L796&lt;$E$16,$E$12,$F$13))</f>
        <v/>
      </c>
      <c r="N796" s="15">
        <f>M796-V796</f>
        <v/>
      </c>
      <c r="O796" s="15">
        <f>IF(MOD(L796,$B$11)=0,OFFSET(O796,-$B$11,0)+ $E$2*N796+$E$3*OFFSET(N796,-$B$11,0)+ $E$4*OFFSET(N796,-2* $B$11,0), O795)</f>
        <v/>
      </c>
      <c r="P796" s="15">
        <f>INT((2^$J$12-1)*O796/100)/(2^$J$12-1)*100</f>
        <v/>
      </c>
      <c r="Q796" s="15" t="n">
        <v>0</v>
      </c>
      <c r="R796" s="15">
        <f>P796+Q796</f>
        <v/>
      </c>
      <c r="S796" s="15">
        <f>$I$1*S795-$I$2*S794+$I$3*R775+$I$4*R774</f>
        <v/>
      </c>
      <c r="T796" s="15" t="n">
        <v>0</v>
      </c>
      <c r="U796" s="15">
        <f>S796+T796</f>
        <v/>
      </c>
      <c r="V796" s="15">
        <f>INT((2^$J$12-1)*U796/100)/(2^$J$12-1)*100</f>
        <v/>
      </c>
      <c r="X796" s="15">
        <f>M796 * 1.05</f>
        <v/>
      </c>
      <c r="Y796" s="15">
        <f>M796 * 0.95</f>
        <v/>
      </c>
      <c r="Z796" s="15">
        <f>IF(AND(V796 &lt;= X796, V796 &gt;= Y796), 1, 0)</f>
        <v/>
      </c>
      <c r="AC796" s="15">
        <f>N796^2</f>
        <v/>
      </c>
      <c r="AD796" s="15">
        <f>ABS(N796)</f>
        <v/>
      </c>
      <c r="AE796" s="15">
        <f>IF(M796&gt;0, ABS(N796)*(L796-$D$16),0)</f>
        <v/>
      </c>
    </row>
    <row r="797">
      <c r="L797" s="15" t="n">
        <v>795</v>
      </c>
      <c r="M797" s="15">
        <f>IF(L797&lt;$D$16,$D$12,IF(L797&lt;$E$16,$E$12,$F$13))</f>
        <v/>
      </c>
      <c r="N797" s="15">
        <f>M797-V797</f>
        <v/>
      </c>
      <c r="O797" s="15">
        <f>IF(MOD(L797,$B$11)=0,OFFSET(O797,-$B$11,0)+ $E$2*N797+$E$3*OFFSET(N797,-$B$11,0)+ $E$4*OFFSET(N797,-2* $B$11,0), O796)</f>
        <v/>
      </c>
      <c r="P797" s="15">
        <f>INT((2^$J$12-1)*O797/100)/(2^$J$12-1)*100</f>
        <v/>
      </c>
      <c r="Q797" s="15" t="n">
        <v>0</v>
      </c>
      <c r="R797" s="15">
        <f>P797+Q797</f>
        <v/>
      </c>
      <c r="S797" s="15">
        <f>$I$1*S796-$I$2*S795+$I$3*R776+$I$4*R775</f>
        <v/>
      </c>
      <c r="T797" s="15" t="n">
        <v>0</v>
      </c>
      <c r="U797" s="15">
        <f>S797+T797</f>
        <v/>
      </c>
      <c r="V797" s="15">
        <f>INT((2^$J$12-1)*U797/100)/(2^$J$12-1)*100</f>
        <v/>
      </c>
      <c r="X797" s="15">
        <f>M797 * 1.05</f>
        <v/>
      </c>
      <c r="Y797" s="15">
        <f>M797 * 0.95</f>
        <v/>
      </c>
      <c r="Z797" s="15">
        <f>IF(AND(V797 &lt;= X797, V797 &gt;= Y797), 1, 0)</f>
        <v/>
      </c>
      <c r="AC797" s="15">
        <f>N797^2</f>
        <v/>
      </c>
      <c r="AD797" s="15">
        <f>ABS(N797)</f>
        <v/>
      </c>
      <c r="AE797" s="15">
        <f>IF(M797&gt;0, ABS(N797)*(L797-$D$16),0)</f>
        <v/>
      </c>
    </row>
    <row r="798">
      <c r="L798" s="15" t="n">
        <v>796</v>
      </c>
      <c r="M798" s="15">
        <f>IF(L798&lt;$D$16,$D$12,IF(L798&lt;$E$16,$E$12,$F$13))</f>
        <v/>
      </c>
      <c r="N798" s="15">
        <f>M798-V798</f>
        <v/>
      </c>
      <c r="O798" s="15">
        <f>IF(MOD(L798,$B$11)=0,OFFSET(O798,-$B$11,0)+ $E$2*N798+$E$3*OFFSET(N798,-$B$11,0)+ $E$4*OFFSET(N798,-2* $B$11,0), O797)</f>
        <v/>
      </c>
      <c r="P798" s="15">
        <f>INT((2^$J$12-1)*O798/100)/(2^$J$12-1)*100</f>
        <v/>
      </c>
      <c r="Q798" s="15" t="n">
        <v>0</v>
      </c>
      <c r="R798" s="15">
        <f>P798+Q798</f>
        <v/>
      </c>
      <c r="S798" s="15">
        <f>$I$1*S797-$I$2*S796+$I$3*R777+$I$4*R776</f>
        <v/>
      </c>
      <c r="T798" s="15" t="n">
        <v>0</v>
      </c>
      <c r="U798" s="15">
        <f>S798+T798</f>
        <v/>
      </c>
      <c r="V798" s="15">
        <f>INT((2^$J$12-1)*U798/100)/(2^$J$12-1)*100</f>
        <v/>
      </c>
      <c r="X798" s="15">
        <f>M798 * 1.05</f>
        <v/>
      </c>
      <c r="Y798" s="15">
        <f>M798 * 0.95</f>
        <v/>
      </c>
      <c r="Z798" s="15">
        <f>IF(AND(V798 &lt;= X798, V798 &gt;= Y798), 1, 0)</f>
        <v/>
      </c>
      <c r="AC798" s="15">
        <f>N798^2</f>
        <v/>
      </c>
      <c r="AD798" s="15">
        <f>ABS(N798)</f>
        <v/>
      </c>
      <c r="AE798" s="15">
        <f>IF(M798&gt;0, ABS(N798)*(L798-$D$16),0)</f>
        <v/>
      </c>
    </row>
    <row r="799">
      <c r="L799" s="15" t="n">
        <v>797</v>
      </c>
      <c r="M799" s="15">
        <f>IF(L799&lt;$D$16,$D$12,IF(L799&lt;$E$16,$E$12,$F$13))</f>
        <v/>
      </c>
      <c r="N799" s="15">
        <f>M799-V799</f>
        <v/>
      </c>
      <c r="O799" s="15">
        <f>IF(MOD(L799,$B$11)=0,OFFSET(O799,-$B$11,0)+ $E$2*N799+$E$3*OFFSET(N799,-$B$11,0)+ $E$4*OFFSET(N799,-2* $B$11,0), O798)</f>
        <v/>
      </c>
      <c r="P799" s="15">
        <f>INT((2^$J$12-1)*O799/100)/(2^$J$12-1)*100</f>
        <v/>
      </c>
      <c r="Q799" s="15" t="n">
        <v>0</v>
      </c>
      <c r="R799" s="15">
        <f>P799+Q799</f>
        <v/>
      </c>
      <c r="S799" s="15">
        <f>$I$1*S798-$I$2*S797+$I$3*R778+$I$4*R777</f>
        <v/>
      </c>
      <c r="T799" s="15" t="n">
        <v>0</v>
      </c>
      <c r="U799" s="15">
        <f>S799+T799</f>
        <v/>
      </c>
      <c r="V799" s="15">
        <f>INT((2^$J$12-1)*U799/100)/(2^$J$12-1)*100</f>
        <v/>
      </c>
      <c r="X799" s="15">
        <f>M799 * 1.05</f>
        <v/>
      </c>
      <c r="Y799" s="15">
        <f>M799 * 0.95</f>
        <v/>
      </c>
      <c r="Z799" s="15">
        <f>IF(AND(V799 &lt;= X799, V799 &gt;= Y799), 1, 0)</f>
        <v/>
      </c>
      <c r="AC799" s="15">
        <f>N799^2</f>
        <v/>
      </c>
      <c r="AD799" s="15">
        <f>ABS(N799)</f>
        <v/>
      </c>
      <c r="AE799" s="15">
        <f>IF(M799&gt;0, ABS(N799)*(L799-$D$16),0)</f>
        <v/>
      </c>
    </row>
    <row r="800">
      <c r="L800" s="15" t="n">
        <v>798</v>
      </c>
      <c r="M800" s="15">
        <f>IF(L800&lt;$D$16,$D$12,IF(L800&lt;$E$16,$E$12,$F$13))</f>
        <v/>
      </c>
      <c r="N800" s="15">
        <f>M800-V800</f>
        <v/>
      </c>
      <c r="O800" s="15">
        <f>IF(MOD(L800,$B$11)=0,OFFSET(O800,-$B$11,0)+ $E$2*N800+$E$3*OFFSET(N800,-$B$11,0)+ $E$4*OFFSET(N800,-2* $B$11,0), O799)</f>
        <v/>
      </c>
      <c r="P800" s="15">
        <f>INT((2^$J$12-1)*O800/100)/(2^$J$12-1)*100</f>
        <v/>
      </c>
      <c r="Q800" s="15" t="n">
        <v>0</v>
      </c>
      <c r="R800" s="15">
        <f>P800+Q800</f>
        <v/>
      </c>
      <c r="S800" s="15">
        <f>$I$1*S799-$I$2*S798+$I$3*R779+$I$4*R778</f>
        <v/>
      </c>
      <c r="T800" s="15" t="n">
        <v>0</v>
      </c>
      <c r="U800" s="15">
        <f>S800+T800</f>
        <v/>
      </c>
      <c r="V800" s="15">
        <f>INT((2^$J$12-1)*U800/100)/(2^$J$12-1)*100</f>
        <v/>
      </c>
      <c r="X800" s="15">
        <f>M800 * 1.05</f>
        <v/>
      </c>
      <c r="Y800" s="15">
        <f>M800 * 0.95</f>
        <v/>
      </c>
      <c r="Z800" s="15">
        <f>IF(AND(V800 &lt;= X800, V800 &gt;= Y800), 1, 0)</f>
        <v/>
      </c>
      <c r="AC800" s="15">
        <f>N800^2</f>
        <v/>
      </c>
      <c r="AD800" s="15">
        <f>ABS(N800)</f>
        <v/>
      </c>
      <c r="AE800" s="15">
        <f>IF(M800&gt;0, ABS(N800)*(L800-$D$16),0)</f>
        <v/>
      </c>
    </row>
    <row r="801">
      <c r="L801" s="15" t="n">
        <v>799</v>
      </c>
      <c r="M801" s="15">
        <f>IF(L801&lt;$D$16,$D$12,IF(L801&lt;$E$16,$E$12,$F$13))</f>
        <v/>
      </c>
      <c r="N801" s="15">
        <f>M801-V801</f>
        <v/>
      </c>
      <c r="O801" s="15">
        <f>IF(MOD(L801,$B$11)=0,OFFSET(O801,-$B$11,0)+ $E$2*N801+$E$3*OFFSET(N801,-$B$11,0)+ $E$4*OFFSET(N801,-2* $B$11,0), O800)</f>
        <v/>
      </c>
      <c r="P801" s="15">
        <f>INT((2^$J$12-1)*O801/100)/(2^$J$12-1)*100</f>
        <v/>
      </c>
      <c r="Q801" s="15" t="n">
        <v>0</v>
      </c>
      <c r="R801" s="15">
        <f>P801+Q801</f>
        <v/>
      </c>
      <c r="S801" s="15">
        <f>$I$1*S800-$I$2*S799+$I$3*R780+$I$4*R779</f>
        <v/>
      </c>
      <c r="T801" s="15" t="n">
        <v>0</v>
      </c>
      <c r="U801" s="15">
        <f>S801+T801</f>
        <v/>
      </c>
      <c r="V801" s="15">
        <f>INT((2^$J$12-1)*U801/100)/(2^$J$12-1)*100</f>
        <v/>
      </c>
      <c r="X801" s="15">
        <f>M801 * 1.05</f>
        <v/>
      </c>
      <c r="Y801" s="15">
        <f>M801 * 0.95</f>
        <v/>
      </c>
      <c r="Z801" s="15">
        <f>IF(AND(V801 &lt;= X801, V801 &gt;= Y801), 1, 0)</f>
        <v/>
      </c>
      <c r="AC801" s="15">
        <f>N801^2</f>
        <v/>
      </c>
      <c r="AD801" s="15">
        <f>ABS(N801)</f>
        <v/>
      </c>
      <c r="AE801" s="15">
        <f>IF(M801&gt;0, ABS(N801)*(L801-$D$16),0)</f>
        <v/>
      </c>
    </row>
    <row r="802">
      <c r="L802" s="15" t="n">
        <v>800</v>
      </c>
      <c r="M802" s="15">
        <f>IF(L802&lt;$D$16,$D$12,IF(L802&lt;$E$16,$E$12,$F$13))</f>
        <v/>
      </c>
      <c r="N802" s="15">
        <f>M802-V802</f>
        <v/>
      </c>
      <c r="O802" s="15">
        <f>IF(MOD(L802,$B$11)=0,OFFSET(O802,-$B$11,0)+ $E$2*N802+$E$3*OFFSET(N802,-$B$11,0)+ $E$4*OFFSET(N802,-2* $B$11,0), O801)</f>
        <v/>
      </c>
      <c r="P802" s="15">
        <f>INT((2^$J$12-1)*O802/100)/(2^$J$12-1)*100</f>
        <v/>
      </c>
      <c r="Q802" s="15" t="n">
        <v>0</v>
      </c>
      <c r="R802" s="15">
        <f>P802+Q802</f>
        <v/>
      </c>
      <c r="S802" s="15">
        <f>$I$1*S801-$I$2*S800+$I$3*R781+$I$4*R780</f>
        <v/>
      </c>
      <c r="T802" s="15" t="n">
        <v>0</v>
      </c>
      <c r="U802" s="15">
        <f>S802+T802</f>
        <v/>
      </c>
      <c r="V802" s="15">
        <f>INT((2^$J$12-1)*U802/100)/(2^$J$12-1)*100</f>
        <v/>
      </c>
      <c r="X802" s="15">
        <f>M802 * 1.05</f>
        <v/>
      </c>
      <c r="Y802" s="15">
        <f>M802 * 0.95</f>
        <v/>
      </c>
      <c r="Z802" s="15">
        <f>IF(AND(V802 &lt;= X802, V802 &gt;= Y802), 1, 0)</f>
        <v/>
      </c>
      <c r="AC802" s="15">
        <f>N802^2</f>
        <v/>
      </c>
      <c r="AD802" s="15">
        <f>ABS(N802)</f>
        <v/>
      </c>
      <c r="AE802" s="15">
        <f>IF(M802&gt;0, ABS(N802)*(L802-$D$16),0)</f>
        <v/>
      </c>
    </row>
    <row r="803">
      <c r="L803" s="15" t="n">
        <v>801</v>
      </c>
      <c r="M803" s="15">
        <f>IF(L803&lt;$D$16,$D$12,IF(L803&lt;$E$16,$E$12,$F$13))</f>
        <v/>
      </c>
      <c r="N803" s="15">
        <f>M803-V803</f>
        <v/>
      </c>
      <c r="O803" s="15">
        <f>IF(MOD(L803,$B$11)=0,OFFSET(O803,-$B$11,0)+ $E$2*N803+$E$3*OFFSET(N803,-$B$11,0)+ $E$4*OFFSET(N803,-2* $B$11,0), O802)</f>
        <v/>
      </c>
      <c r="P803" s="15">
        <f>INT((2^$J$12-1)*O803/100)/(2^$J$12-1)*100</f>
        <v/>
      </c>
      <c r="Q803" s="15" t="n">
        <v>0</v>
      </c>
      <c r="R803" s="15">
        <f>P803+Q803</f>
        <v/>
      </c>
      <c r="S803" s="15">
        <f>$I$1*S802-$I$2*S801+$I$3*R782+$I$4*R781</f>
        <v/>
      </c>
      <c r="T803" s="15" t="n">
        <v>0</v>
      </c>
      <c r="U803" s="15">
        <f>S803+T803</f>
        <v/>
      </c>
      <c r="V803" s="15">
        <f>INT((2^$J$12-1)*U803/100)/(2^$J$12-1)*100</f>
        <v/>
      </c>
      <c r="X803" s="15">
        <f>M803 * 1.05</f>
        <v/>
      </c>
      <c r="Y803" s="15">
        <f>M803 * 0.95</f>
        <v/>
      </c>
      <c r="Z803" s="15">
        <f>IF(AND(V803 &lt;= X803, V803 &gt;= Y803), 1, 0)</f>
        <v/>
      </c>
      <c r="AC803" s="15">
        <f>N803^2</f>
        <v/>
      </c>
      <c r="AD803" s="15">
        <f>ABS(N803)</f>
        <v/>
      </c>
      <c r="AE803" s="15">
        <f>IF(M803&gt;0, ABS(N803)*(L803-$D$16),0)</f>
        <v/>
      </c>
    </row>
    <row r="804">
      <c r="L804" s="15" t="n">
        <v>802</v>
      </c>
      <c r="M804" s="15">
        <f>IF(L804&lt;$D$16,$D$12,IF(L804&lt;$E$16,$E$12,$F$13))</f>
        <v/>
      </c>
      <c r="N804" s="15">
        <f>M804-V804</f>
        <v/>
      </c>
      <c r="O804" s="15">
        <f>IF(MOD(L804,$B$11)=0,OFFSET(O804,-$B$11,0)+ $E$2*N804+$E$3*OFFSET(N804,-$B$11,0)+ $E$4*OFFSET(N804,-2* $B$11,0), O803)</f>
        <v/>
      </c>
      <c r="P804" s="15">
        <f>INT((2^$J$12-1)*O804/100)/(2^$J$12-1)*100</f>
        <v/>
      </c>
      <c r="Q804" s="15" t="n">
        <v>0</v>
      </c>
      <c r="R804" s="15">
        <f>P804+Q804</f>
        <v/>
      </c>
      <c r="S804" s="15">
        <f>$I$1*S803-$I$2*S802+$I$3*R783+$I$4*R782</f>
        <v/>
      </c>
      <c r="T804" s="15" t="n">
        <v>0</v>
      </c>
      <c r="U804" s="15">
        <f>S804+T804</f>
        <v/>
      </c>
      <c r="V804" s="15">
        <f>INT((2^$J$12-1)*U804/100)/(2^$J$12-1)*100</f>
        <v/>
      </c>
      <c r="X804" s="15">
        <f>M804 * 1.05</f>
        <v/>
      </c>
      <c r="Y804" s="15">
        <f>M804 * 0.95</f>
        <v/>
      </c>
      <c r="Z804" s="15">
        <f>IF(AND(V804 &lt;= X804, V804 &gt;= Y804), 1, 0)</f>
        <v/>
      </c>
      <c r="AC804" s="15">
        <f>N804^2</f>
        <v/>
      </c>
      <c r="AD804" s="15">
        <f>ABS(N804)</f>
        <v/>
      </c>
      <c r="AE804" s="15">
        <f>IF(M804&gt;0, ABS(N804)*(L804-$D$16),0)</f>
        <v/>
      </c>
    </row>
    <row r="805">
      <c r="L805" s="15" t="n">
        <v>803</v>
      </c>
      <c r="M805" s="15">
        <f>IF(L805&lt;$D$16,$D$12,IF(L805&lt;$E$16,$E$12,$F$13))</f>
        <v/>
      </c>
      <c r="N805" s="15">
        <f>M805-V805</f>
        <v/>
      </c>
      <c r="O805" s="15">
        <f>IF(MOD(L805,$B$11)=0,OFFSET(O805,-$B$11,0)+ $E$2*N805+$E$3*OFFSET(N805,-$B$11,0)+ $E$4*OFFSET(N805,-2* $B$11,0), O804)</f>
        <v/>
      </c>
      <c r="P805" s="15">
        <f>INT((2^$J$12-1)*O805/100)/(2^$J$12-1)*100</f>
        <v/>
      </c>
      <c r="Q805" s="15" t="n">
        <v>0</v>
      </c>
      <c r="R805" s="15">
        <f>P805+Q805</f>
        <v/>
      </c>
      <c r="S805" s="15">
        <f>$I$1*S804-$I$2*S803+$I$3*R784+$I$4*R783</f>
        <v/>
      </c>
      <c r="T805" s="15" t="n">
        <v>0</v>
      </c>
      <c r="U805" s="15">
        <f>S805+T805</f>
        <v/>
      </c>
      <c r="V805" s="15">
        <f>INT((2^$J$12-1)*U805/100)/(2^$J$12-1)*100</f>
        <v/>
      </c>
      <c r="X805" s="15">
        <f>M805 * 1.05</f>
        <v/>
      </c>
      <c r="Y805" s="15">
        <f>M805 * 0.95</f>
        <v/>
      </c>
      <c r="Z805" s="15">
        <f>IF(AND(V805 &lt;= X805, V805 &gt;= Y805), 1, 0)</f>
        <v/>
      </c>
      <c r="AC805" s="15">
        <f>N805^2</f>
        <v/>
      </c>
      <c r="AD805" s="15">
        <f>ABS(N805)</f>
        <v/>
      </c>
      <c r="AE805" s="15">
        <f>IF(M805&gt;0, ABS(N805)*(L805-$D$16),0)</f>
        <v/>
      </c>
    </row>
    <row r="806">
      <c r="L806" s="15" t="n">
        <v>804</v>
      </c>
      <c r="M806" s="15">
        <f>IF(L806&lt;$D$16,$D$12,IF(L806&lt;$E$16,$E$12,$F$13))</f>
        <v/>
      </c>
      <c r="N806" s="15">
        <f>M806-V806</f>
        <v/>
      </c>
      <c r="O806" s="15">
        <f>IF(MOD(L806,$B$11)=0,OFFSET(O806,-$B$11,0)+ $E$2*N806+$E$3*OFFSET(N806,-$B$11,0)+ $E$4*OFFSET(N806,-2* $B$11,0), O805)</f>
        <v/>
      </c>
      <c r="P806" s="15">
        <f>INT((2^$J$12-1)*O806/100)/(2^$J$12-1)*100</f>
        <v/>
      </c>
      <c r="Q806" s="15" t="n">
        <v>0</v>
      </c>
      <c r="R806" s="15">
        <f>P806+Q806</f>
        <v/>
      </c>
      <c r="S806" s="15">
        <f>$I$1*S805-$I$2*S804+$I$3*R785+$I$4*R784</f>
        <v/>
      </c>
      <c r="T806" s="15" t="n">
        <v>0</v>
      </c>
      <c r="U806" s="15">
        <f>S806+T806</f>
        <v/>
      </c>
      <c r="V806" s="15">
        <f>INT((2^$J$12-1)*U806/100)/(2^$J$12-1)*100</f>
        <v/>
      </c>
      <c r="X806" s="15">
        <f>M806 * 1.05</f>
        <v/>
      </c>
      <c r="Y806" s="15">
        <f>M806 * 0.95</f>
        <v/>
      </c>
      <c r="Z806" s="15">
        <f>IF(AND(V806 &lt;= X806, V806 &gt;= Y806), 1, 0)</f>
        <v/>
      </c>
      <c r="AC806" s="15">
        <f>N806^2</f>
        <v/>
      </c>
      <c r="AD806" s="15">
        <f>ABS(N806)</f>
        <v/>
      </c>
      <c r="AE806" s="15">
        <f>IF(M806&gt;0, ABS(N806)*(L806-$D$16),0)</f>
        <v/>
      </c>
    </row>
    <row r="807">
      <c r="L807" s="15" t="n">
        <v>805</v>
      </c>
      <c r="M807" s="15">
        <f>IF(L807&lt;$D$16,$D$12,IF(L807&lt;$E$16,$E$12,$F$13))</f>
        <v/>
      </c>
      <c r="N807" s="15">
        <f>M807-V807</f>
        <v/>
      </c>
      <c r="O807" s="15">
        <f>IF(MOD(L807,$B$11)=0,OFFSET(O807,-$B$11,0)+ $E$2*N807+$E$3*OFFSET(N807,-$B$11,0)+ $E$4*OFFSET(N807,-2* $B$11,0), O806)</f>
        <v/>
      </c>
      <c r="P807" s="15">
        <f>INT((2^$J$12-1)*O807/100)/(2^$J$12-1)*100</f>
        <v/>
      </c>
      <c r="Q807" s="15" t="n">
        <v>0</v>
      </c>
      <c r="R807" s="15">
        <f>P807+Q807</f>
        <v/>
      </c>
      <c r="S807" s="15">
        <f>$I$1*S806-$I$2*S805+$I$3*R786+$I$4*R785</f>
        <v/>
      </c>
      <c r="T807" s="15" t="n">
        <v>0</v>
      </c>
      <c r="U807" s="15">
        <f>S807+T807</f>
        <v/>
      </c>
      <c r="V807" s="15">
        <f>INT((2^$J$12-1)*U807/100)/(2^$J$12-1)*100</f>
        <v/>
      </c>
      <c r="X807" s="15">
        <f>M807 * 1.05</f>
        <v/>
      </c>
      <c r="Y807" s="15">
        <f>M807 * 0.95</f>
        <v/>
      </c>
      <c r="Z807" s="15">
        <f>IF(AND(V807 &lt;= X807, V807 &gt;= Y807), 1, 0)</f>
        <v/>
      </c>
      <c r="AC807" s="15">
        <f>N807^2</f>
        <v/>
      </c>
      <c r="AD807" s="15">
        <f>ABS(N807)</f>
        <v/>
      </c>
      <c r="AE807" s="15">
        <f>IF(M807&gt;0, ABS(N807)*(L807-$D$16),0)</f>
        <v/>
      </c>
    </row>
    <row r="808">
      <c r="L808" s="15" t="n">
        <v>806</v>
      </c>
      <c r="M808" s="15">
        <f>IF(L808&lt;$D$16,$D$12,IF(L808&lt;$E$16,$E$12,$F$13))</f>
        <v/>
      </c>
      <c r="N808" s="15">
        <f>M808-V808</f>
        <v/>
      </c>
      <c r="O808" s="15">
        <f>IF(MOD(L808,$B$11)=0,OFFSET(O808,-$B$11,0)+ $E$2*N808+$E$3*OFFSET(N808,-$B$11,0)+ $E$4*OFFSET(N808,-2* $B$11,0), O807)</f>
        <v/>
      </c>
      <c r="P808" s="15">
        <f>INT((2^$J$12-1)*O808/100)/(2^$J$12-1)*100</f>
        <v/>
      </c>
      <c r="Q808" s="15" t="n">
        <v>0</v>
      </c>
      <c r="R808" s="15">
        <f>P808+Q808</f>
        <v/>
      </c>
      <c r="S808" s="15">
        <f>$I$1*S807-$I$2*S806+$I$3*R787+$I$4*R786</f>
        <v/>
      </c>
      <c r="T808" s="15" t="n">
        <v>0</v>
      </c>
      <c r="U808" s="15">
        <f>S808+T808</f>
        <v/>
      </c>
      <c r="V808" s="15">
        <f>INT((2^$J$12-1)*U808/100)/(2^$J$12-1)*100</f>
        <v/>
      </c>
      <c r="X808" s="15">
        <f>M808 * 1.05</f>
        <v/>
      </c>
      <c r="Y808" s="15">
        <f>M808 * 0.95</f>
        <v/>
      </c>
      <c r="Z808" s="15">
        <f>IF(AND(V808 &lt;= X808, V808 &gt;= Y808), 1, 0)</f>
        <v/>
      </c>
      <c r="AC808" s="15">
        <f>N808^2</f>
        <v/>
      </c>
      <c r="AD808" s="15">
        <f>ABS(N808)</f>
        <v/>
      </c>
      <c r="AE808" s="15">
        <f>IF(M808&gt;0, ABS(N808)*(L808-$D$16),0)</f>
        <v/>
      </c>
    </row>
    <row r="809">
      <c r="L809" s="15" t="n">
        <v>807</v>
      </c>
      <c r="M809" s="15">
        <f>IF(L809&lt;$D$16,$D$12,IF(L809&lt;$E$16,$E$12,$F$13))</f>
        <v/>
      </c>
      <c r="N809" s="15">
        <f>M809-V809</f>
        <v/>
      </c>
      <c r="O809" s="15">
        <f>IF(MOD(L809,$B$11)=0,OFFSET(O809,-$B$11,0)+ $E$2*N809+$E$3*OFFSET(N809,-$B$11,0)+ $E$4*OFFSET(N809,-2* $B$11,0), O808)</f>
        <v/>
      </c>
      <c r="P809" s="15">
        <f>INT((2^$J$12-1)*O809/100)/(2^$J$12-1)*100</f>
        <v/>
      </c>
      <c r="Q809" s="15" t="n">
        <v>0</v>
      </c>
      <c r="R809" s="15">
        <f>P809+Q809</f>
        <v/>
      </c>
      <c r="S809" s="15">
        <f>$I$1*S808-$I$2*S807+$I$3*R788+$I$4*R787</f>
        <v/>
      </c>
      <c r="T809" s="15" t="n">
        <v>0</v>
      </c>
      <c r="U809" s="15">
        <f>S809+T809</f>
        <v/>
      </c>
      <c r="V809" s="15">
        <f>INT((2^$J$12-1)*U809/100)/(2^$J$12-1)*100</f>
        <v/>
      </c>
      <c r="X809" s="15">
        <f>M809 * 1.05</f>
        <v/>
      </c>
      <c r="Y809" s="15">
        <f>M809 * 0.95</f>
        <v/>
      </c>
      <c r="Z809" s="15">
        <f>IF(AND(V809 &lt;= X809, V809 &gt;= Y809), 1, 0)</f>
        <v/>
      </c>
      <c r="AC809" s="15">
        <f>N809^2</f>
        <v/>
      </c>
      <c r="AD809" s="15">
        <f>ABS(N809)</f>
        <v/>
      </c>
      <c r="AE809" s="15">
        <f>IF(M809&gt;0, ABS(N809)*(L809-$D$16),0)</f>
        <v/>
      </c>
    </row>
    <row r="810">
      <c r="L810" s="15" t="n">
        <v>808</v>
      </c>
      <c r="M810" s="15">
        <f>IF(L810&lt;$D$16,$D$12,IF(L810&lt;$E$16,$E$12,$F$13))</f>
        <v/>
      </c>
      <c r="N810" s="15">
        <f>M810-V810</f>
        <v/>
      </c>
      <c r="O810" s="15">
        <f>IF(MOD(L810,$B$11)=0,OFFSET(O810,-$B$11,0)+ $E$2*N810+$E$3*OFFSET(N810,-$B$11,0)+ $E$4*OFFSET(N810,-2* $B$11,0), O809)</f>
        <v/>
      </c>
      <c r="P810" s="15">
        <f>INT((2^$J$12-1)*O810/100)/(2^$J$12-1)*100</f>
        <v/>
      </c>
      <c r="Q810" s="15" t="n">
        <v>0</v>
      </c>
      <c r="R810" s="15">
        <f>P810+Q810</f>
        <v/>
      </c>
      <c r="S810" s="15">
        <f>$I$1*S809-$I$2*S808+$I$3*R789+$I$4*R788</f>
        <v/>
      </c>
      <c r="T810" s="15" t="n">
        <v>0</v>
      </c>
      <c r="U810" s="15">
        <f>S810+T810</f>
        <v/>
      </c>
      <c r="V810" s="15">
        <f>INT((2^$J$12-1)*U810/100)/(2^$J$12-1)*100</f>
        <v/>
      </c>
      <c r="X810" s="15">
        <f>M810 * 1.05</f>
        <v/>
      </c>
      <c r="Y810" s="15">
        <f>M810 * 0.95</f>
        <v/>
      </c>
      <c r="Z810" s="15">
        <f>IF(AND(V810 &lt;= X810, V810 &gt;= Y810), 1, 0)</f>
        <v/>
      </c>
      <c r="AC810" s="15">
        <f>N810^2</f>
        <v/>
      </c>
      <c r="AD810" s="15">
        <f>ABS(N810)</f>
        <v/>
      </c>
      <c r="AE810" s="15">
        <f>IF(M810&gt;0, ABS(N810)*(L810-$D$16),0)</f>
        <v/>
      </c>
    </row>
    <row r="811">
      <c r="L811" s="15" t="n">
        <v>809</v>
      </c>
      <c r="M811" s="15">
        <f>IF(L811&lt;$D$16,$D$12,IF(L811&lt;$E$16,$E$12,$F$13))</f>
        <v/>
      </c>
      <c r="N811" s="15">
        <f>M811-V811</f>
        <v/>
      </c>
      <c r="O811" s="15">
        <f>IF(MOD(L811,$B$11)=0,OFFSET(O811,-$B$11,0)+ $E$2*N811+$E$3*OFFSET(N811,-$B$11,0)+ $E$4*OFFSET(N811,-2* $B$11,0), O810)</f>
        <v/>
      </c>
      <c r="P811" s="15">
        <f>INT((2^$J$12-1)*O811/100)/(2^$J$12-1)*100</f>
        <v/>
      </c>
      <c r="Q811" s="15" t="n">
        <v>0</v>
      </c>
      <c r="R811" s="15">
        <f>P811+Q811</f>
        <v/>
      </c>
      <c r="S811" s="15">
        <f>$I$1*S810-$I$2*S809+$I$3*R790+$I$4*R789</f>
        <v/>
      </c>
      <c r="T811" s="15" t="n">
        <v>0</v>
      </c>
      <c r="U811" s="15">
        <f>S811+T811</f>
        <v/>
      </c>
      <c r="V811" s="15">
        <f>INT((2^$J$12-1)*U811/100)/(2^$J$12-1)*100</f>
        <v/>
      </c>
      <c r="X811" s="15">
        <f>M811 * 1.05</f>
        <v/>
      </c>
      <c r="Y811" s="15">
        <f>M811 * 0.95</f>
        <v/>
      </c>
      <c r="Z811" s="15">
        <f>IF(AND(V811 &lt;= X811, V811 &gt;= Y811), 1, 0)</f>
        <v/>
      </c>
      <c r="AC811" s="15">
        <f>N811^2</f>
        <v/>
      </c>
      <c r="AD811" s="15">
        <f>ABS(N811)</f>
        <v/>
      </c>
      <c r="AE811" s="15">
        <f>IF(M811&gt;0, ABS(N811)*(L811-$D$16),0)</f>
        <v/>
      </c>
    </row>
    <row r="812">
      <c r="L812" s="15" t="n">
        <v>810</v>
      </c>
      <c r="M812" s="15">
        <f>IF(L812&lt;$D$16,$D$12,IF(L812&lt;$E$16,$E$12,$F$13))</f>
        <v/>
      </c>
      <c r="N812" s="15">
        <f>M812-V812</f>
        <v/>
      </c>
      <c r="O812" s="15">
        <f>IF(MOD(L812,$B$11)=0,OFFSET(O812,-$B$11,0)+ $E$2*N812+$E$3*OFFSET(N812,-$B$11,0)+ $E$4*OFFSET(N812,-2* $B$11,0), O811)</f>
        <v/>
      </c>
      <c r="P812" s="15">
        <f>INT((2^$J$12-1)*O812/100)/(2^$J$12-1)*100</f>
        <v/>
      </c>
      <c r="Q812" s="15" t="n">
        <v>0</v>
      </c>
      <c r="R812" s="15">
        <f>P812+Q812</f>
        <v/>
      </c>
      <c r="S812" s="15">
        <f>$I$1*S811-$I$2*S810+$I$3*R791+$I$4*R790</f>
        <v/>
      </c>
      <c r="T812" s="15" t="n">
        <v>0</v>
      </c>
      <c r="U812" s="15">
        <f>S812+T812</f>
        <v/>
      </c>
      <c r="V812" s="15">
        <f>INT((2^$J$12-1)*U812/100)/(2^$J$12-1)*100</f>
        <v/>
      </c>
      <c r="X812" s="15">
        <f>M812 * 1.05</f>
        <v/>
      </c>
      <c r="Y812" s="15">
        <f>M812 * 0.95</f>
        <v/>
      </c>
      <c r="Z812" s="15">
        <f>IF(AND(V812 &lt;= X812, V812 &gt;= Y812), 1, 0)</f>
        <v/>
      </c>
      <c r="AC812" s="15">
        <f>N812^2</f>
        <v/>
      </c>
      <c r="AD812" s="15">
        <f>ABS(N812)</f>
        <v/>
      </c>
      <c r="AE812" s="15">
        <f>IF(M812&gt;0, ABS(N812)*(L812-$D$16),0)</f>
        <v/>
      </c>
    </row>
    <row r="813">
      <c r="L813" s="15" t="n">
        <v>811</v>
      </c>
      <c r="M813" s="15">
        <f>IF(L813&lt;$D$16,$D$12,IF(L813&lt;$E$16,$E$12,$F$13))</f>
        <v/>
      </c>
      <c r="N813" s="15">
        <f>M813-V813</f>
        <v/>
      </c>
      <c r="O813" s="15">
        <f>IF(MOD(L813,$B$11)=0,OFFSET(O813,-$B$11,0)+ $E$2*N813+$E$3*OFFSET(N813,-$B$11,0)+ $E$4*OFFSET(N813,-2* $B$11,0), O812)</f>
        <v/>
      </c>
      <c r="P813" s="15">
        <f>INT((2^$J$12-1)*O813/100)/(2^$J$12-1)*100</f>
        <v/>
      </c>
      <c r="Q813" s="15" t="n">
        <v>0</v>
      </c>
      <c r="R813" s="15">
        <f>P813+Q813</f>
        <v/>
      </c>
      <c r="S813" s="15">
        <f>$I$1*S812-$I$2*S811+$I$3*R792+$I$4*R791</f>
        <v/>
      </c>
      <c r="T813" s="15" t="n">
        <v>0</v>
      </c>
      <c r="U813" s="15">
        <f>S813+T813</f>
        <v/>
      </c>
      <c r="V813" s="15">
        <f>INT((2^$J$12-1)*U813/100)/(2^$J$12-1)*100</f>
        <v/>
      </c>
      <c r="X813" s="15">
        <f>M813 * 1.05</f>
        <v/>
      </c>
      <c r="Y813" s="15">
        <f>M813 * 0.95</f>
        <v/>
      </c>
      <c r="Z813" s="15">
        <f>IF(AND(V813 &lt;= X813, V813 &gt;= Y813), 1, 0)</f>
        <v/>
      </c>
      <c r="AC813" s="15">
        <f>N813^2</f>
        <v/>
      </c>
      <c r="AD813" s="15">
        <f>ABS(N813)</f>
        <v/>
      </c>
      <c r="AE813" s="15">
        <f>IF(M813&gt;0, ABS(N813)*(L813-$D$16),0)</f>
        <v/>
      </c>
    </row>
    <row r="814">
      <c r="L814" s="15" t="n">
        <v>812</v>
      </c>
      <c r="M814" s="15">
        <f>IF(L814&lt;$D$16,$D$12,IF(L814&lt;$E$16,$E$12,$F$13))</f>
        <v/>
      </c>
      <c r="N814" s="15">
        <f>M814-V814</f>
        <v/>
      </c>
      <c r="O814" s="15">
        <f>IF(MOD(L814,$B$11)=0,OFFSET(O814,-$B$11,0)+ $E$2*N814+$E$3*OFFSET(N814,-$B$11,0)+ $E$4*OFFSET(N814,-2* $B$11,0), O813)</f>
        <v/>
      </c>
      <c r="P814" s="15">
        <f>INT((2^$J$12-1)*O814/100)/(2^$J$12-1)*100</f>
        <v/>
      </c>
      <c r="Q814" s="15" t="n">
        <v>0</v>
      </c>
      <c r="R814" s="15">
        <f>P814+Q814</f>
        <v/>
      </c>
      <c r="S814" s="15">
        <f>$I$1*S813-$I$2*S812+$I$3*R793+$I$4*R792</f>
        <v/>
      </c>
      <c r="T814" s="15" t="n">
        <v>0</v>
      </c>
      <c r="U814" s="15">
        <f>S814+T814</f>
        <v/>
      </c>
      <c r="V814" s="15">
        <f>INT((2^$J$12-1)*U814/100)/(2^$J$12-1)*100</f>
        <v/>
      </c>
      <c r="X814" s="15">
        <f>M814 * 1.05</f>
        <v/>
      </c>
      <c r="Y814" s="15">
        <f>M814 * 0.95</f>
        <v/>
      </c>
      <c r="Z814" s="15">
        <f>IF(AND(V814 &lt;= X814, V814 &gt;= Y814), 1, 0)</f>
        <v/>
      </c>
      <c r="AC814" s="15">
        <f>N814^2</f>
        <v/>
      </c>
      <c r="AD814" s="15">
        <f>ABS(N814)</f>
        <v/>
      </c>
      <c r="AE814" s="15">
        <f>IF(M814&gt;0, ABS(N814)*(L814-$D$16),0)</f>
        <v/>
      </c>
    </row>
    <row r="815">
      <c r="L815" s="15" t="n">
        <v>813</v>
      </c>
      <c r="M815" s="15">
        <f>IF(L815&lt;$D$16,$D$12,IF(L815&lt;$E$16,$E$12,$F$13))</f>
        <v/>
      </c>
      <c r="N815" s="15">
        <f>M815-V815</f>
        <v/>
      </c>
      <c r="O815" s="15">
        <f>IF(MOD(L815,$B$11)=0,OFFSET(O815,-$B$11,0)+ $E$2*N815+$E$3*OFFSET(N815,-$B$11,0)+ $E$4*OFFSET(N815,-2* $B$11,0), O814)</f>
        <v/>
      </c>
      <c r="P815" s="15">
        <f>INT((2^$J$12-1)*O815/100)/(2^$J$12-1)*100</f>
        <v/>
      </c>
      <c r="Q815" s="15" t="n">
        <v>0</v>
      </c>
      <c r="R815" s="15">
        <f>P815+Q815</f>
        <v/>
      </c>
      <c r="S815" s="15">
        <f>$I$1*S814-$I$2*S813+$I$3*R794+$I$4*R793</f>
        <v/>
      </c>
      <c r="T815" s="15" t="n">
        <v>0</v>
      </c>
      <c r="U815" s="15">
        <f>S815+T815</f>
        <v/>
      </c>
      <c r="V815" s="15">
        <f>INT((2^$J$12-1)*U815/100)/(2^$J$12-1)*100</f>
        <v/>
      </c>
      <c r="X815" s="15">
        <f>M815 * 1.05</f>
        <v/>
      </c>
      <c r="Y815" s="15">
        <f>M815 * 0.95</f>
        <v/>
      </c>
      <c r="Z815" s="15">
        <f>IF(AND(V815 &lt;= X815, V815 &gt;= Y815), 1, 0)</f>
        <v/>
      </c>
      <c r="AC815" s="15">
        <f>N815^2</f>
        <v/>
      </c>
      <c r="AD815" s="15">
        <f>ABS(N815)</f>
        <v/>
      </c>
      <c r="AE815" s="15">
        <f>IF(M815&gt;0, ABS(N815)*(L815-$D$16),0)</f>
        <v/>
      </c>
    </row>
    <row r="816">
      <c r="L816" s="15" t="n">
        <v>814</v>
      </c>
      <c r="M816" s="15">
        <f>IF(L816&lt;$D$16,$D$12,IF(L816&lt;$E$16,$E$12,$F$13))</f>
        <v/>
      </c>
      <c r="N816" s="15">
        <f>M816-V816</f>
        <v/>
      </c>
      <c r="O816" s="15">
        <f>IF(MOD(L816,$B$11)=0,OFFSET(O816,-$B$11,0)+ $E$2*N816+$E$3*OFFSET(N816,-$B$11,0)+ $E$4*OFFSET(N816,-2* $B$11,0), O815)</f>
        <v/>
      </c>
      <c r="P816" s="15">
        <f>INT((2^$J$12-1)*O816/100)/(2^$J$12-1)*100</f>
        <v/>
      </c>
      <c r="Q816" s="15" t="n">
        <v>0</v>
      </c>
      <c r="R816" s="15">
        <f>P816+Q816</f>
        <v/>
      </c>
      <c r="S816" s="15">
        <f>$I$1*S815-$I$2*S814+$I$3*R795+$I$4*R794</f>
        <v/>
      </c>
      <c r="T816" s="15" t="n">
        <v>0</v>
      </c>
      <c r="U816" s="15">
        <f>S816+T816</f>
        <v/>
      </c>
      <c r="V816" s="15">
        <f>INT((2^$J$12-1)*U816/100)/(2^$J$12-1)*100</f>
        <v/>
      </c>
      <c r="X816" s="15">
        <f>M816 * 1.05</f>
        <v/>
      </c>
      <c r="Y816" s="15">
        <f>M816 * 0.95</f>
        <v/>
      </c>
      <c r="Z816" s="15">
        <f>IF(AND(V816 &lt;= X816, V816 &gt;= Y816), 1, 0)</f>
        <v/>
      </c>
      <c r="AC816" s="15">
        <f>N816^2</f>
        <v/>
      </c>
      <c r="AD816" s="15">
        <f>ABS(N816)</f>
        <v/>
      </c>
      <c r="AE816" s="15">
        <f>IF(M816&gt;0, ABS(N816)*(L816-$D$16),0)</f>
        <v/>
      </c>
    </row>
    <row r="817">
      <c r="L817" s="15" t="n">
        <v>815</v>
      </c>
      <c r="M817" s="15">
        <f>IF(L817&lt;$D$16,$D$12,IF(L817&lt;$E$16,$E$12,$F$13))</f>
        <v/>
      </c>
      <c r="N817" s="15">
        <f>M817-V817</f>
        <v/>
      </c>
      <c r="O817" s="15">
        <f>IF(MOD(L817,$B$11)=0,OFFSET(O817,-$B$11,0)+ $E$2*N817+$E$3*OFFSET(N817,-$B$11,0)+ $E$4*OFFSET(N817,-2* $B$11,0), O816)</f>
        <v/>
      </c>
      <c r="P817" s="15">
        <f>INT((2^$J$12-1)*O817/100)/(2^$J$12-1)*100</f>
        <v/>
      </c>
      <c r="Q817" s="15" t="n">
        <v>0</v>
      </c>
      <c r="R817" s="15">
        <f>P817+Q817</f>
        <v/>
      </c>
      <c r="S817" s="15">
        <f>$I$1*S816-$I$2*S815+$I$3*R796+$I$4*R795</f>
        <v/>
      </c>
      <c r="T817" s="15" t="n">
        <v>0</v>
      </c>
      <c r="U817" s="15">
        <f>S817+T817</f>
        <v/>
      </c>
      <c r="V817" s="15">
        <f>INT((2^$J$12-1)*U817/100)/(2^$J$12-1)*100</f>
        <v/>
      </c>
      <c r="X817" s="15">
        <f>M817 * 1.05</f>
        <v/>
      </c>
      <c r="Y817" s="15">
        <f>M817 * 0.95</f>
        <v/>
      </c>
      <c r="Z817" s="15">
        <f>IF(AND(V817 &lt;= X817, V817 &gt;= Y817), 1, 0)</f>
        <v/>
      </c>
      <c r="AC817" s="15">
        <f>N817^2</f>
        <v/>
      </c>
      <c r="AD817" s="15">
        <f>ABS(N817)</f>
        <v/>
      </c>
      <c r="AE817" s="15">
        <f>IF(M817&gt;0, ABS(N817)*(L817-$D$16),0)</f>
        <v/>
      </c>
    </row>
    <row r="818">
      <c r="L818" s="15" t="n">
        <v>816</v>
      </c>
      <c r="M818" s="15">
        <f>IF(L818&lt;$D$16,$D$12,IF(L818&lt;$E$16,$E$12,$F$13))</f>
        <v/>
      </c>
      <c r="N818" s="15">
        <f>M818-V818</f>
        <v/>
      </c>
      <c r="O818" s="15">
        <f>IF(MOD(L818,$B$11)=0,OFFSET(O818,-$B$11,0)+ $E$2*N818+$E$3*OFFSET(N818,-$B$11,0)+ $E$4*OFFSET(N818,-2* $B$11,0), O817)</f>
        <v/>
      </c>
      <c r="P818" s="15">
        <f>INT((2^$J$12-1)*O818/100)/(2^$J$12-1)*100</f>
        <v/>
      </c>
      <c r="Q818" s="15" t="n">
        <v>0</v>
      </c>
      <c r="R818" s="15">
        <f>P818+Q818</f>
        <v/>
      </c>
      <c r="S818" s="15">
        <f>$I$1*S817-$I$2*S816+$I$3*R797+$I$4*R796</f>
        <v/>
      </c>
      <c r="T818" s="15" t="n">
        <v>0</v>
      </c>
      <c r="U818" s="15">
        <f>S818+T818</f>
        <v/>
      </c>
      <c r="V818" s="15">
        <f>INT((2^$J$12-1)*U818/100)/(2^$J$12-1)*100</f>
        <v/>
      </c>
      <c r="X818" s="15">
        <f>M818 * 1.05</f>
        <v/>
      </c>
      <c r="Y818" s="15">
        <f>M818 * 0.95</f>
        <v/>
      </c>
      <c r="Z818" s="15">
        <f>IF(AND(V818 &lt;= X818, V818 &gt;= Y818), 1, 0)</f>
        <v/>
      </c>
      <c r="AC818" s="15">
        <f>N818^2</f>
        <v/>
      </c>
      <c r="AD818" s="15">
        <f>ABS(N818)</f>
        <v/>
      </c>
      <c r="AE818" s="15">
        <f>IF(M818&gt;0, ABS(N818)*(L818-$D$16),0)</f>
        <v/>
      </c>
    </row>
    <row r="819">
      <c r="L819" s="15" t="n">
        <v>817</v>
      </c>
      <c r="M819" s="15">
        <f>IF(L819&lt;$D$16,$D$12,IF(L819&lt;$E$16,$E$12,$F$13))</f>
        <v/>
      </c>
      <c r="N819" s="15">
        <f>M819-V819</f>
        <v/>
      </c>
      <c r="O819" s="15">
        <f>IF(MOD(L819,$B$11)=0,OFFSET(O819,-$B$11,0)+ $E$2*N819+$E$3*OFFSET(N819,-$B$11,0)+ $E$4*OFFSET(N819,-2* $B$11,0), O818)</f>
        <v/>
      </c>
      <c r="P819" s="15">
        <f>INT((2^$J$12-1)*O819/100)/(2^$J$12-1)*100</f>
        <v/>
      </c>
      <c r="Q819" s="15" t="n">
        <v>0</v>
      </c>
      <c r="R819" s="15">
        <f>P819+Q819</f>
        <v/>
      </c>
      <c r="S819" s="15">
        <f>$I$1*S818-$I$2*S817+$I$3*R798+$I$4*R797</f>
        <v/>
      </c>
      <c r="T819" s="15" t="n">
        <v>0</v>
      </c>
      <c r="U819" s="15">
        <f>S819+T819</f>
        <v/>
      </c>
      <c r="V819" s="15">
        <f>INT((2^$J$12-1)*U819/100)/(2^$J$12-1)*100</f>
        <v/>
      </c>
      <c r="X819" s="15">
        <f>M819 * 1.05</f>
        <v/>
      </c>
      <c r="Y819" s="15">
        <f>M819 * 0.95</f>
        <v/>
      </c>
      <c r="Z819" s="15">
        <f>IF(AND(V819 &lt;= X819, V819 &gt;= Y819), 1, 0)</f>
        <v/>
      </c>
      <c r="AC819" s="15">
        <f>N819^2</f>
        <v/>
      </c>
      <c r="AD819" s="15">
        <f>ABS(N819)</f>
        <v/>
      </c>
      <c r="AE819" s="15">
        <f>IF(M819&gt;0, ABS(N819)*(L819-$D$16),0)</f>
        <v/>
      </c>
    </row>
    <row r="820">
      <c r="L820" s="15" t="n">
        <v>818</v>
      </c>
      <c r="M820" s="15">
        <f>IF(L820&lt;$D$16,$D$12,IF(L820&lt;$E$16,$E$12,$F$13))</f>
        <v/>
      </c>
      <c r="N820" s="15">
        <f>M820-V820</f>
        <v/>
      </c>
      <c r="O820" s="15">
        <f>IF(MOD(L820,$B$11)=0,OFFSET(O820,-$B$11,0)+ $E$2*N820+$E$3*OFFSET(N820,-$B$11,0)+ $E$4*OFFSET(N820,-2* $B$11,0), O819)</f>
        <v/>
      </c>
      <c r="P820" s="15">
        <f>INT((2^$J$12-1)*O820/100)/(2^$J$12-1)*100</f>
        <v/>
      </c>
      <c r="Q820" s="15" t="n">
        <v>0</v>
      </c>
      <c r="R820" s="15">
        <f>P820+Q820</f>
        <v/>
      </c>
      <c r="S820" s="15">
        <f>$I$1*S819-$I$2*S818+$I$3*R799+$I$4*R798</f>
        <v/>
      </c>
      <c r="T820" s="15" t="n">
        <v>0</v>
      </c>
      <c r="U820" s="15">
        <f>S820+T820</f>
        <v/>
      </c>
      <c r="V820" s="15">
        <f>INT((2^$J$12-1)*U820/100)/(2^$J$12-1)*100</f>
        <v/>
      </c>
      <c r="X820" s="15">
        <f>M820 * 1.05</f>
        <v/>
      </c>
      <c r="Y820" s="15">
        <f>M820 * 0.95</f>
        <v/>
      </c>
      <c r="Z820" s="15">
        <f>IF(AND(V820 &lt;= X820, V820 &gt;= Y820), 1, 0)</f>
        <v/>
      </c>
      <c r="AC820" s="15">
        <f>N820^2</f>
        <v/>
      </c>
      <c r="AD820" s="15">
        <f>ABS(N820)</f>
        <v/>
      </c>
      <c r="AE820" s="15">
        <f>IF(M820&gt;0, ABS(N820)*(L820-$D$16),0)</f>
        <v/>
      </c>
    </row>
    <row r="821">
      <c r="L821" s="15" t="n">
        <v>819</v>
      </c>
      <c r="M821" s="15">
        <f>IF(L821&lt;$D$16,$D$12,IF(L821&lt;$E$16,$E$12,$F$13))</f>
        <v/>
      </c>
      <c r="N821" s="15">
        <f>M821-V821</f>
        <v/>
      </c>
      <c r="O821" s="15">
        <f>IF(MOD(L821,$B$11)=0,OFFSET(O821,-$B$11,0)+ $E$2*N821+$E$3*OFFSET(N821,-$B$11,0)+ $E$4*OFFSET(N821,-2* $B$11,0), O820)</f>
        <v/>
      </c>
      <c r="P821" s="15">
        <f>INT((2^$J$12-1)*O821/100)/(2^$J$12-1)*100</f>
        <v/>
      </c>
      <c r="Q821" s="15" t="n">
        <v>0</v>
      </c>
      <c r="R821" s="15">
        <f>P821+Q821</f>
        <v/>
      </c>
      <c r="S821" s="15">
        <f>$I$1*S820-$I$2*S819+$I$3*R800+$I$4*R799</f>
        <v/>
      </c>
      <c r="T821" s="15" t="n">
        <v>0</v>
      </c>
      <c r="U821" s="15">
        <f>S821+T821</f>
        <v/>
      </c>
      <c r="V821" s="15">
        <f>INT((2^$J$12-1)*U821/100)/(2^$J$12-1)*100</f>
        <v/>
      </c>
      <c r="X821" s="15">
        <f>M821 * 1.05</f>
        <v/>
      </c>
      <c r="Y821" s="15">
        <f>M821 * 0.95</f>
        <v/>
      </c>
      <c r="Z821" s="15">
        <f>IF(AND(V821 &lt;= X821, V821 &gt;= Y821), 1, 0)</f>
        <v/>
      </c>
      <c r="AC821" s="15">
        <f>N821^2</f>
        <v/>
      </c>
      <c r="AD821" s="15">
        <f>ABS(N821)</f>
        <v/>
      </c>
      <c r="AE821" s="15">
        <f>IF(M821&gt;0, ABS(N821)*(L821-$D$16),0)</f>
        <v/>
      </c>
    </row>
    <row r="822">
      <c r="L822" s="15" t="n">
        <v>820</v>
      </c>
      <c r="M822" s="15">
        <f>IF(L822&lt;$D$16,$D$12,IF(L822&lt;$E$16,$E$12,$F$13))</f>
        <v/>
      </c>
      <c r="N822" s="15">
        <f>M822-V822</f>
        <v/>
      </c>
      <c r="O822" s="15">
        <f>IF(MOD(L822,$B$11)=0,OFFSET(O822,-$B$11,0)+ $E$2*N822+$E$3*OFFSET(N822,-$B$11,0)+ $E$4*OFFSET(N822,-2* $B$11,0), O821)</f>
        <v/>
      </c>
      <c r="P822" s="15">
        <f>INT((2^$J$12-1)*O822/100)/(2^$J$12-1)*100</f>
        <v/>
      </c>
      <c r="Q822" s="15" t="n">
        <v>0</v>
      </c>
      <c r="R822" s="15">
        <f>P822+Q822</f>
        <v/>
      </c>
      <c r="S822" s="15">
        <f>$I$1*S821-$I$2*S820+$I$3*R801+$I$4*R800</f>
        <v/>
      </c>
      <c r="T822" s="15" t="n">
        <v>0</v>
      </c>
      <c r="U822" s="15">
        <f>S822+T822</f>
        <v/>
      </c>
      <c r="V822" s="15">
        <f>INT((2^$J$12-1)*U822/100)/(2^$J$12-1)*100</f>
        <v/>
      </c>
      <c r="X822" s="15">
        <f>M822 * 1.05</f>
        <v/>
      </c>
      <c r="Y822" s="15">
        <f>M822 * 0.95</f>
        <v/>
      </c>
      <c r="Z822" s="15">
        <f>IF(AND(V822 &lt;= X822, V822 &gt;= Y822), 1, 0)</f>
        <v/>
      </c>
      <c r="AC822" s="15">
        <f>N822^2</f>
        <v/>
      </c>
      <c r="AD822" s="15">
        <f>ABS(N822)</f>
        <v/>
      </c>
      <c r="AE822" s="15">
        <f>IF(M822&gt;0, ABS(N822)*(L822-$D$16),0)</f>
        <v/>
      </c>
    </row>
    <row r="823">
      <c r="L823" s="15" t="n">
        <v>821</v>
      </c>
      <c r="M823" s="15">
        <f>IF(L823&lt;$D$16,$D$12,IF(L823&lt;$E$16,$E$12,$F$13))</f>
        <v/>
      </c>
      <c r="N823" s="15">
        <f>M823-V823</f>
        <v/>
      </c>
      <c r="O823" s="15">
        <f>IF(MOD(L823,$B$11)=0,OFFSET(O823,-$B$11,0)+ $E$2*N823+$E$3*OFFSET(N823,-$B$11,0)+ $E$4*OFFSET(N823,-2* $B$11,0), O822)</f>
        <v/>
      </c>
      <c r="P823" s="15">
        <f>INT((2^$J$12-1)*O823/100)/(2^$J$12-1)*100</f>
        <v/>
      </c>
      <c r="Q823" s="15" t="n">
        <v>0</v>
      </c>
      <c r="R823" s="15">
        <f>P823+Q823</f>
        <v/>
      </c>
      <c r="S823" s="15">
        <f>$I$1*S822-$I$2*S821+$I$3*R802+$I$4*R801</f>
        <v/>
      </c>
      <c r="T823" s="15" t="n">
        <v>0</v>
      </c>
      <c r="U823" s="15">
        <f>S823+T823</f>
        <v/>
      </c>
      <c r="V823" s="15">
        <f>INT((2^$J$12-1)*U823/100)/(2^$J$12-1)*100</f>
        <v/>
      </c>
      <c r="X823" s="15">
        <f>M823 * 1.05</f>
        <v/>
      </c>
      <c r="Y823" s="15">
        <f>M823 * 0.95</f>
        <v/>
      </c>
      <c r="Z823" s="15">
        <f>IF(AND(V823 &lt;= X823, V823 &gt;= Y823), 1, 0)</f>
        <v/>
      </c>
      <c r="AC823" s="15">
        <f>N823^2</f>
        <v/>
      </c>
      <c r="AD823" s="15">
        <f>ABS(N823)</f>
        <v/>
      </c>
      <c r="AE823" s="15">
        <f>IF(M823&gt;0, ABS(N823)*(L823-$D$16),0)</f>
        <v/>
      </c>
    </row>
    <row r="824">
      <c r="L824" s="15" t="n">
        <v>822</v>
      </c>
      <c r="M824" s="15">
        <f>IF(L824&lt;$D$16,$D$12,IF(L824&lt;$E$16,$E$12,$F$13))</f>
        <v/>
      </c>
      <c r="N824" s="15">
        <f>M824-V824</f>
        <v/>
      </c>
      <c r="O824" s="15">
        <f>IF(MOD(L824,$B$11)=0,OFFSET(O824,-$B$11,0)+ $E$2*N824+$E$3*OFFSET(N824,-$B$11,0)+ $E$4*OFFSET(N824,-2* $B$11,0), O823)</f>
        <v/>
      </c>
      <c r="P824" s="15">
        <f>INT((2^$J$12-1)*O824/100)/(2^$J$12-1)*100</f>
        <v/>
      </c>
      <c r="Q824" s="15" t="n">
        <v>0</v>
      </c>
      <c r="R824" s="15">
        <f>P824+Q824</f>
        <v/>
      </c>
      <c r="S824" s="15">
        <f>$I$1*S823-$I$2*S822+$I$3*R803+$I$4*R802</f>
        <v/>
      </c>
      <c r="T824" s="15" t="n">
        <v>0</v>
      </c>
      <c r="U824" s="15">
        <f>S824+T824</f>
        <v/>
      </c>
      <c r="V824" s="15">
        <f>INT((2^$J$12-1)*U824/100)/(2^$J$12-1)*100</f>
        <v/>
      </c>
      <c r="X824" s="15">
        <f>M824 * 1.05</f>
        <v/>
      </c>
      <c r="Y824" s="15">
        <f>M824 * 0.95</f>
        <v/>
      </c>
      <c r="Z824" s="15">
        <f>IF(AND(V824 &lt;= X824, V824 &gt;= Y824), 1, 0)</f>
        <v/>
      </c>
      <c r="AC824" s="15">
        <f>N824^2</f>
        <v/>
      </c>
      <c r="AD824" s="15">
        <f>ABS(N824)</f>
        <v/>
      </c>
      <c r="AE824" s="15">
        <f>IF(M824&gt;0, ABS(N824)*(L824-$D$16),0)</f>
        <v/>
      </c>
    </row>
    <row r="825">
      <c r="L825" s="15" t="n">
        <v>823</v>
      </c>
      <c r="M825" s="15">
        <f>IF(L825&lt;$D$16,$D$12,IF(L825&lt;$E$16,$E$12,$F$13))</f>
        <v/>
      </c>
      <c r="N825" s="15">
        <f>M825-V825</f>
        <v/>
      </c>
      <c r="O825" s="15">
        <f>IF(MOD(L825,$B$11)=0,OFFSET(O825,-$B$11,0)+ $E$2*N825+$E$3*OFFSET(N825,-$B$11,0)+ $E$4*OFFSET(N825,-2* $B$11,0), O824)</f>
        <v/>
      </c>
      <c r="P825" s="15">
        <f>INT((2^$J$12-1)*O825/100)/(2^$J$12-1)*100</f>
        <v/>
      </c>
      <c r="Q825" s="15" t="n">
        <v>0</v>
      </c>
      <c r="R825" s="15">
        <f>P825+Q825</f>
        <v/>
      </c>
      <c r="S825" s="15">
        <f>$I$1*S824-$I$2*S823+$I$3*R804+$I$4*R803</f>
        <v/>
      </c>
      <c r="T825" s="15" t="n">
        <v>0</v>
      </c>
      <c r="U825" s="15">
        <f>S825+T825</f>
        <v/>
      </c>
      <c r="V825" s="15">
        <f>INT((2^$J$12-1)*U825/100)/(2^$J$12-1)*100</f>
        <v/>
      </c>
      <c r="X825" s="15">
        <f>M825 * 1.05</f>
        <v/>
      </c>
      <c r="Y825" s="15">
        <f>M825 * 0.95</f>
        <v/>
      </c>
      <c r="Z825" s="15">
        <f>IF(AND(V825 &lt;= X825, V825 &gt;= Y825), 1, 0)</f>
        <v/>
      </c>
      <c r="AC825" s="15">
        <f>N825^2</f>
        <v/>
      </c>
      <c r="AD825" s="15">
        <f>ABS(N825)</f>
        <v/>
      </c>
      <c r="AE825" s="15">
        <f>IF(M825&gt;0, ABS(N825)*(L825-$D$16),0)</f>
        <v/>
      </c>
    </row>
    <row r="826">
      <c r="L826" s="15" t="n">
        <v>824</v>
      </c>
      <c r="M826" s="15">
        <f>IF(L826&lt;$D$16,$D$12,IF(L826&lt;$E$16,$E$12,$F$13))</f>
        <v/>
      </c>
      <c r="N826" s="15">
        <f>M826-V826</f>
        <v/>
      </c>
      <c r="O826" s="15">
        <f>IF(MOD(L826,$B$11)=0,OFFSET(O826,-$B$11,0)+ $E$2*N826+$E$3*OFFSET(N826,-$B$11,0)+ $E$4*OFFSET(N826,-2* $B$11,0), O825)</f>
        <v/>
      </c>
      <c r="P826" s="15">
        <f>INT((2^$J$12-1)*O826/100)/(2^$J$12-1)*100</f>
        <v/>
      </c>
      <c r="Q826" s="15" t="n">
        <v>0</v>
      </c>
      <c r="R826" s="15">
        <f>P826+Q826</f>
        <v/>
      </c>
      <c r="S826" s="15">
        <f>$I$1*S825-$I$2*S824+$I$3*R805+$I$4*R804</f>
        <v/>
      </c>
      <c r="T826" s="15" t="n">
        <v>0</v>
      </c>
      <c r="U826" s="15">
        <f>S826+T826</f>
        <v/>
      </c>
      <c r="V826" s="15">
        <f>INT((2^$J$12-1)*U826/100)/(2^$J$12-1)*100</f>
        <v/>
      </c>
      <c r="X826" s="15">
        <f>M826 * 1.05</f>
        <v/>
      </c>
      <c r="Y826" s="15">
        <f>M826 * 0.95</f>
        <v/>
      </c>
      <c r="Z826" s="15">
        <f>IF(AND(V826 &lt;= X826, V826 &gt;= Y826), 1, 0)</f>
        <v/>
      </c>
      <c r="AC826" s="15">
        <f>N826^2</f>
        <v/>
      </c>
      <c r="AD826" s="15">
        <f>ABS(N826)</f>
        <v/>
      </c>
      <c r="AE826" s="15">
        <f>IF(M826&gt;0, ABS(N826)*(L826-$D$16),0)</f>
        <v/>
      </c>
    </row>
    <row r="827">
      <c r="L827" s="15" t="n">
        <v>825</v>
      </c>
      <c r="M827" s="15">
        <f>IF(L827&lt;$D$16,$D$12,IF(L827&lt;$E$16,$E$12,$F$13))</f>
        <v/>
      </c>
      <c r="N827" s="15">
        <f>M827-V827</f>
        <v/>
      </c>
      <c r="O827" s="15">
        <f>IF(MOD(L827,$B$11)=0,OFFSET(O827,-$B$11,0)+ $E$2*N827+$E$3*OFFSET(N827,-$B$11,0)+ $E$4*OFFSET(N827,-2* $B$11,0), O826)</f>
        <v/>
      </c>
      <c r="P827" s="15">
        <f>INT((2^$J$12-1)*O827/100)/(2^$J$12-1)*100</f>
        <v/>
      </c>
      <c r="Q827" s="15" t="n">
        <v>0</v>
      </c>
      <c r="R827" s="15">
        <f>P827+Q827</f>
        <v/>
      </c>
      <c r="S827" s="15">
        <f>$I$1*S826-$I$2*S825+$I$3*R806+$I$4*R805</f>
        <v/>
      </c>
      <c r="T827" s="15" t="n">
        <v>0</v>
      </c>
      <c r="U827" s="15">
        <f>S827+T827</f>
        <v/>
      </c>
      <c r="V827" s="15">
        <f>INT((2^$J$12-1)*U827/100)/(2^$J$12-1)*100</f>
        <v/>
      </c>
      <c r="X827" s="15">
        <f>M827 * 1.05</f>
        <v/>
      </c>
      <c r="Y827" s="15">
        <f>M827 * 0.95</f>
        <v/>
      </c>
      <c r="Z827" s="15">
        <f>IF(AND(V827 &lt;= X827, V827 &gt;= Y827), 1, 0)</f>
        <v/>
      </c>
      <c r="AC827" s="15">
        <f>N827^2</f>
        <v/>
      </c>
      <c r="AD827" s="15">
        <f>ABS(N827)</f>
        <v/>
      </c>
      <c r="AE827" s="15">
        <f>IF(M827&gt;0, ABS(N827)*(L827-$D$16),0)</f>
        <v/>
      </c>
    </row>
    <row r="828">
      <c r="L828" s="15" t="n">
        <v>826</v>
      </c>
      <c r="M828" s="15">
        <f>IF(L828&lt;$D$16,$D$12,IF(L828&lt;$E$16,$E$12,$F$13))</f>
        <v/>
      </c>
      <c r="N828" s="15">
        <f>M828-V828</f>
        <v/>
      </c>
      <c r="O828" s="15">
        <f>IF(MOD(L828,$B$11)=0,OFFSET(O828,-$B$11,0)+ $E$2*N828+$E$3*OFFSET(N828,-$B$11,0)+ $E$4*OFFSET(N828,-2* $B$11,0), O827)</f>
        <v/>
      </c>
      <c r="P828" s="15">
        <f>INT((2^$J$12-1)*O828/100)/(2^$J$12-1)*100</f>
        <v/>
      </c>
      <c r="Q828" s="15" t="n">
        <v>0</v>
      </c>
      <c r="R828" s="15">
        <f>P828+Q828</f>
        <v/>
      </c>
      <c r="S828" s="15">
        <f>$I$1*S827-$I$2*S826+$I$3*R807+$I$4*R806</f>
        <v/>
      </c>
      <c r="T828" s="15" t="n">
        <v>0</v>
      </c>
      <c r="U828" s="15">
        <f>S828+T828</f>
        <v/>
      </c>
      <c r="V828" s="15">
        <f>INT((2^$J$12-1)*U828/100)/(2^$J$12-1)*100</f>
        <v/>
      </c>
      <c r="X828" s="15">
        <f>M828 * 1.05</f>
        <v/>
      </c>
      <c r="Y828" s="15">
        <f>M828 * 0.95</f>
        <v/>
      </c>
      <c r="Z828" s="15">
        <f>IF(AND(V828 &lt;= X828, V828 &gt;= Y828), 1, 0)</f>
        <v/>
      </c>
      <c r="AC828" s="15">
        <f>N828^2</f>
        <v/>
      </c>
      <c r="AD828" s="15">
        <f>ABS(N828)</f>
        <v/>
      </c>
      <c r="AE828" s="15">
        <f>IF(M828&gt;0, ABS(N828)*(L828-$D$16),0)</f>
        <v/>
      </c>
    </row>
    <row r="829">
      <c r="L829" s="15" t="n">
        <v>827</v>
      </c>
      <c r="M829" s="15">
        <f>IF(L829&lt;$D$16,$D$12,IF(L829&lt;$E$16,$E$12,$F$13))</f>
        <v/>
      </c>
      <c r="N829" s="15">
        <f>M829-V829</f>
        <v/>
      </c>
      <c r="O829" s="15">
        <f>IF(MOD(L829,$B$11)=0,OFFSET(O829,-$B$11,0)+ $E$2*N829+$E$3*OFFSET(N829,-$B$11,0)+ $E$4*OFFSET(N829,-2* $B$11,0), O828)</f>
        <v/>
      </c>
      <c r="P829" s="15">
        <f>INT((2^$J$12-1)*O829/100)/(2^$J$12-1)*100</f>
        <v/>
      </c>
      <c r="Q829" s="15" t="n">
        <v>0</v>
      </c>
      <c r="R829" s="15">
        <f>P829+Q829</f>
        <v/>
      </c>
      <c r="S829" s="15">
        <f>$I$1*S828-$I$2*S827+$I$3*R808+$I$4*R807</f>
        <v/>
      </c>
      <c r="T829" s="15" t="n">
        <v>0</v>
      </c>
      <c r="U829" s="15">
        <f>S829+T829</f>
        <v/>
      </c>
      <c r="V829" s="15">
        <f>INT((2^$J$12-1)*U829/100)/(2^$J$12-1)*100</f>
        <v/>
      </c>
      <c r="X829" s="15">
        <f>M829 * 1.05</f>
        <v/>
      </c>
      <c r="Y829" s="15">
        <f>M829 * 0.95</f>
        <v/>
      </c>
      <c r="Z829" s="15">
        <f>IF(AND(V829 &lt;= X829, V829 &gt;= Y829), 1, 0)</f>
        <v/>
      </c>
      <c r="AC829" s="15">
        <f>N829^2</f>
        <v/>
      </c>
      <c r="AD829" s="15">
        <f>ABS(N829)</f>
        <v/>
      </c>
      <c r="AE829" s="15">
        <f>IF(M829&gt;0, ABS(N829)*(L829-$D$16),0)</f>
        <v/>
      </c>
    </row>
    <row r="830">
      <c r="L830" s="15" t="n">
        <v>828</v>
      </c>
      <c r="M830" s="15">
        <f>IF(L830&lt;$D$16,$D$12,IF(L830&lt;$E$16,$E$12,$F$13))</f>
        <v/>
      </c>
      <c r="N830" s="15">
        <f>M830-V830</f>
        <v/>
      </c>
      <c r="O830" s="15">
        <f>IF(MOD(L830,$B$11)=0,OFFSET(O830,-$B$11,0)+ $E$2*N830+$E$3*OFFSET(N830,-$B$11,0)+ $E$4*OFFSET(N830,-2* $B$11,0), O829)</f>
        <v/>
      </c>
      <c r="P830" s="15">
        <f>INT((2^$J$12-1)*O830/100)/(2^$J$12-1)*100</f>
        <v/>
      </c>
      <c r="Q830" s="15" t="n">
        <v>0</v>
      </c>
      <c r="R830" s="15">
        <f>P830+Q830</f>
        <v/>
      </c>
      <c r="S830" s="15">
        <f>$I$1*S829-$I$2*S828+$I$3*R809+$I$4*R808</f>
        <v/>
      </c>
      <c r="T830" s="15" t="n">
        <v>0</v>
      </c>
      <c r="U830" s="15">
        <f>S830+T830</f>
        <v/>
      </c>
      <c r="V830" s="15">
        <f>INT((2^$J$12-1)*U830/100)/(2^$J$12-1)*100</f>
        <v/>
      </c>
      <c r="X830" s="15">
        <f>M830 * 1.05</f>
        <v/>
      </c>
      <c r="Y830" s="15">
        <f>M830 * 0.95</f>
        <v/>
      </c>
      <c r="Z830" s="15">
        <f>IF(AND(V830 &lt;= X830, V830 &gt;= Y830), 1, 0)</f>
        <v/>
      </c>
      <c r="AC830" s="15">
        <f>N830^2</f>
        <v/>
      </c>
      <c r="AD830" s="15">
        <f>ABS(N830)</f>
        <v/>
      </c>
      <c r="AE830" s="15">
        <f>IF(M830&gt;0, ABS(N830)*(L830-$D$16),0)</f>
        <v/>
      </c>
    </row>
    <row r="831">
      <c r="L831" s="15" t="n">
        <v>829</v>
      </c>
      <c r="M831" s="15">
        <f>IF(L831&lt;$D$16,$D$12,IF(L831&lt;$E$16,$E$12,$F$13))</f>
        <v/>
      </c>
      <c r="N831" s="15">
        <f>M831-V831</f>
        <v/>
      </c>
      <c r="O831" s="15">
        <f>IF(MOD(L831,$B$11)=0,OFFSET(O831,-$B$11,0)+ $E$2*N831+$E$3*OFFSET(N831,-$B$11,0)+ $E$4*OFFSET(N831,-2* $B$11,0), O830)</f>
        <v/>
      </c>
      <c r="P831" s="15">
        <f>INT((2^$J$12-1)*O831/100)/(2^$J$12-1)*100</f>
        <v/>
      </c>
      <c r="Q831" s="15" t="n">
        <v>0</v>
      </c>
      <c r="R831" s="15">
        <f>P831+Q831</f>
        <v/>
      </c>
      <c r="S831" s="15">
        <f>$I$1*S830-$I$2*S829+$I$3*R810+$I$4*R809</f>
        <v/>
      </c>
      <c r="T831" s="15" t="n">
        <v>0</v>
      </c>
      <c r="U831" s="15">
        <f>S831+T831</f>
        <v/>
      </c>
      <c r="V831" s="15">
        <f>INT((2^$J$12-1)*U831/100)/(2^$J$12-1)*100</f>
        <v/>
      </c>
      <c r="X831" s="15">
        <f>M831 * 1.05</f>
        <v/>
      </c>
      <c r="Y831" s="15">
        <f>M831 * 0.95</f>
        <v/>
      </c>
      <c r="Z831" s="15">
        <f>IF(AND(V831 &lt;= X831, V831 &gt;= Y831), 1, 0)</f>
        <v/>
      </c>
      <c r="AC831" s="15">
        <f>N831^2</f>
        <v/>
      </c>
      <c r="AD831" s="15">
        <f>ABS(N831)</f>
        <v/>
      </c>
      <c r="AE831" s="15">
        <f>IF(M831&gt;0, ABS(N831)*(L831-$D$16),0)</f>
        <v/>
      </c>
    </row>
    <row r="832">
      <c r="L832" s="15" t="n">
        <v>830</v>
      </c>
      <c r="M832" s="15">
        <f>IF(L832&lt;$D$16,$D$12,IF(L832&lt;$E$16,$E$12,$F$13))</f>
        <v/>
      </c>
      <c r="N832" s="15">
        <f>M832-V832</f>
        <v/>
      </c>
      <c r="O832" s="15">
        <f>IF(MOD(L832,$B$11)=0,OFFSET(O832,-$B$11,0)+ $E$2*N832+$E$3*OFFSET(N832,-$B$11,0)+ $E$4*OFFSET(N832,-2* $B$11,0), O831)</f>
        <v/>
      </c>
      <c r="P832" s="15">
        <f>INT((2^$J$12-1)*O832/100)/(2^$J$12-1)*100</f>
        <v/>
      </c>
      <c r="Q832" s="15" t="n">
        <v>0</v>
      </c>
      <c r="R832" s="15">
        <f>P832+Q832</f>
        <v/>
      </c>
      <c r="S832" s="15">
        <f>$I$1*S831-$I$2*S830+$I$3*R811+$I$4*R810</f>
        <v/>
      </c>
      <c r="T832" s="15" t="n">
        <v>0</v>
      </c>
      <c r="U832" s="15">
        <f>S832+T832</f>
        <v/>
      </c>
      <c r="V832" s="15">
        <f>INT((2^$J$12-1)*U832/100)/(2^$J$12-1)*100</f>
        <v/>
      </c>
      <c r="X832" s="15">
        <f>M832 * 1.05</f>
        <v/>
      </c>
      <c r="Y832" s="15">
        <f>M832 * 0.95</f>
        <v/>
      </c>
      <c r="Z832" s="15">
        <f>IF(AND(V832 &lt;= X832, V832 &gt;= Y832), 1, 0)</f>
        <v/>
      </c>
      <c r="AC832" s="15">
        <f>N832^2</f>
        <v/>
      </c>
      <c r="AD832" s="15">
        <f>ABS(N832)</f>
        <v/>
      </c>
      <c r="AE832" s="15">
        <f>IF(M832&gt;0, ABS(N832)*(L832-$D$16),0)</f>
        <v/>
      </c>
    </row>
    <row r="833">
      <c r="L833" s="15" t="n">
        <v>831</v>
      </c>
      <c r="M833" s="15">
        <f>IF(L833&lt;$D$16,$D$12,IF(L833&lt;$E$16,$E$12,$F$13))</f>
        <v/>
      </c>
      <c r="N833" s="15">
        <f>M833-V833</f>
        <v/>
      </c>
      <c r="O833" s="15">
        <f>IF(MOD(L833,$B$11)=0,OFFSET(O833,-$B$11,0)+ $E$2*N833+$E$3*OFFSET(N833,-$B$11,0)+ $E$4*OFFSET(N833,-2* $B$11,0), O832)</f>
        <v/>
      </c>
      <c r="P833" s="15">
        <f>INT((2^$J$12-1)*O833/100)/(2^$J$12-1)*100</f>
        <v/>
      </c>
      <c r="Q833" s="15" t="n">
        <v>0</v>
      </c>
      <c r="R833" s="15">
        <f>P833+Q833</f>
        <v/>
      </c>
      <c r="S833" s="15">
        <f>$I$1*S832-$I$2*S831+$I$3*R812+$I$4*R811</f>
        <v/>
      </c>
      <c r="T833" s="15" t="n">
        <v>0</v>
      </c>
      <c r="U833" s="15">
        <f>S833+T833</f>
        <v/>
      </c>
      <c r="V833" s="15">
        <f>INT((2^$J$12-1)*U833/100)/(2^$J$12-1)*100</f>
        <v/>
      </c>
      <c r="X833" s="15">
        <f>M833 * 1.05</f>
        <v/>
      </c>
      <c r="Y833" s="15">
        <f>M833 * 0.95</f>
        <v/>
      </c>
      <c r="Z833" s="15">
        <f>IF(AND(V833 &lt;= X833, V833 &gt;= Y833), 1, 0)</f>
        <v/>
      </c>
      <c r="AC833" s="15">
        <f>N833^2</f>
        <v/>
      </c>
      <c r="AD833" s="15">
        <f>ABS(N833)</f>
        <v/>
      </c>
      <c r="AE833" s="15">
        <f>IF(M833&gt;0, ABS(N833)*(L833-$D$16),0)</f>
        <v/>
      </c>
    </row>
    <row r="834">
      <c r="L834" s="15" t="n">
        <v>832</v>
      </c>
      <c r="M834" s="15">
        <f>IF(L834&lt;$D$16,$D$12,IF(L834&lt;$E$16,$E$12,$F$13))</f>
        <v/>
      </c>
      <c r="N834" s="15">
        <f>M834-V834</f>
        <v/>
      </c>
      <c r="O834" s="15">
        <f>IF(MOD(L834,$B$11)=0,OFFSET(O834,-$B$11,0)+ $E$2*N834+$E$3*OFFSET(N834,-$B$11,0)+ $E$4*OFFSET(N834,-2* $B$11,0), O833)</f>
        <v/>
      </c>
      <c r="P834" s="15">
        <f>INT((2^$J$12-1)*O834/100)/(2^$J$12-1)*100</f>
        <v/>
      </c>
      <c r="Q834" s="15" t="n">
        <v>0</v>
      </c>
      <c r="R834" s="15">
        <f>P834+Q834</f>
        <v/>
      </c>
      <c r="S834" s="15">
        <f>$I$1*S833-$I$2*S832+$I$3*R813+$I$4*R812</f>
        <v/>
      </c>
      <c r="T834" s="15" t="n">
        <v>0</v>
      </c>
      <c r="U834" s="15">
        <f>S834+T834</f>
        <v/>
      </c>
      <c r="V834" s="15">
        <f>INT((2^$J$12-1)*U834/100)/(2^$J$12-1)*100</f>
        <v/>
      </c>
      <c r="X834" s="15">
        <f>M834 * 1.05</f>
        <v/>
      </c>
      <c r="Y834" s="15">
        <f>M834 * 0.95</f>
        <v/>
      </c>
      <c r="Z834" s="15">
        <f>IF(AND(V834 &lt;= X834, V834 &gt;= Y834), 1, 0)</f>
        <v/>
      </c>
      <c r="AC834" s="15">
        <f>N834^2</f>
        <v/>
      </c>
      <c r="AD834" s="15">
        <f>ABS(N834)</f>
        <v/>
      </c>
      <c r="AE834" s="15">
        <f>IF(M834&gt;0, ABS(N834)*(L834-$D$16),0)</f>
        <v/>
      </c>
    </row>
    <row r="835">
      <c r="L835" s="15" t="n">
        <v>833</v>
      </c>
      <c r="M835" s="15">
        <f>IF(L835&lt;$D$16,$D$12,IF(L835&lt;$E$16,$E$12,$F$13))</f>
        <v/>
      </c>
      <c r="N835" s="15">
        <f>M835-V835</f>
        <v/>
      </c>
      <c r="O835" s="15">
        <f>IF(MOD(L835,$B$11)=0,OFFSET(O835,-$B$11,0)+ $E$2*N835+$E$3*OFFSET(N835,-$B$11,0)+ $E$4*OFFSET(N835,-2* $B$11,0), O834)</f>
        <v/>
      </c>
      <c r="P835" s="15">
        <f>INT((2^$J$12-1)*O835/100)/(2^$J$12-1)*100</f>
        <v/>
      </c>
      <c r="Q835" s="15" t="n">
        <v>0</v>
      </c>
      <c r="R835" s="15">
        <f>P835+Q835</f>
        <v/>
      </c>
      <c r="S835" s="15">
        <f>$I$1*S834-$I$2*S833+$I$3*R814+$I$4*R813</f>
        <v/>
      </c>
      <c r="T835" s="15" t="n">
        <v>0</v>
      </c>
      <c r="U835" s="15">
        <f>S835+T835</f>
        <v/>
      </c>
      <c r="V835" s="15">
        <f>INT((2^$J$12-1)*U835/100)/(2^$J$12-1)*100</f>
        <v/>
      </c>
      <c r="X835" s="15">
        <f>M835 * 1.05</f>
        <v/>
      </c>
      <c r="Y835" s="15">
        <f>M835 * 0.95</f>
        <v/>
      </c>
      <c r="Z835" s="15">
        <f>IF(AND(V835 &lt;= X835, V835 &gt;= Y835), 1, 0)</f>
        <v/>
      </c>
      <c r="AC835" s="15">
        <f>N835^2</f>
        <v/>
      </c>
      <c r="AD835" s="15">
        <f>ABS(N835)</f>
        <v/>
      </c>
      <c r="AE835" s="15">
        <f>IF(M835&gt;0, ABS(N835)*(L835-$D$16),0)</f>
        <v/>
      </c>
    </row>
    <row r="836">
      <c r="L836" s="15" t="n">
        <v>834</v>
      </c>
      <c r="M836" s="15">
        <f>IF(L836&lt;$D$16,$D$12,IF(L836&lt;$E$16,$E$12,$F$13))</f>
        <v/>
      </c>
      <c r="N836" s="15">
        <f>M836-V836</f>
        <v/>
      </c>
      <c r="O836" s="15">
        <f>IF(MOD(L836,$B$11)=0,OFFSET(O836,-$B$11,0)+ $E$2*N836+$E$3*OFFSET(N836,-$B$11,0)+ $E$4*OFFSET(N836,-2* $B$11,0), O835)</f>
        <v/>
      </c>
      <c r="P836" s="15">
        <f>INT((2^$J$12-1)*O836/100)/(2^$J$12-1)*100</f>
        <v/>
      </c>
      <c r="Q836" s="15" t="n">
        <v>0</v>
      </c>
      <c r="R836" s="15">
        <f>P836+Q836</f>
        <v/>
      </c>
      <c r="S836" s="15">
        <f>$I$1*S835-$I$2*S834+$I$3*R815+$I$4*R814</f>
        <v/>
      </c>
      <c r="T836" s="15" t="n">
        <v>0</v>
      </c>
      <c r="U836" s="15">
        <f>S836+T836</f>
        <v/>
      </c>
      <c r="V836" s="15">
        <f>INT((2^$J$12-1)*U836/100)/(2^$J$12-1)*100</f>
        <v/>
      </c>
      <c r="X836" s="15">
        <f>M836 * 1.05</f>
        <v/>
      </c>
      <c r="Y836" s="15">
        <f>M836 * 0.95</f>
        <v/>
      </c>
      <c r="Z836" s="15">
        <f>IF(AND(V836 &lt;= X836, V836 &gt;= Y836), 1, 0)</f>
        <v/>
      </c>
      <c r="AC836" s="15">
        <f>N836^2</f>
        <v/>
      </c>
      <c r="AD836" s="15">
        <f>ABS(N836)</f>
        <v/>
      </c>
      <c r="AE836" s="15">
        <f>IF(M836&gt;0, ABS(N836)*(L836-$D$16),0)</f>
        <v/>
      </c>
    </row>
    <row r="837">
      <c r="L837" s="15" t="n">
        <v>835</v>
      </c>
      <c r="M837" s="15">
        <f>IF(L837&lt;$D$16,$D$12,IF(L837&lt;$E$16,$E$12,$F$13))</f>
        <v/>
      </c>
      <c r="N837" s="15">
        <f>M837-V837</f>
        <v/>
      </c>
      <c r="O837" s="15">
        <f>IF(MOD(L837,$B$11)=0,OFFSET(O837,-$B$11,0)+ $E$2*N837+$E$3*OFFSET(N837,-$B$11,0)+ $E$4*OFFSET(N837,-2* $B$11,0), O836)</f>
        <v/>
      </c>
      <c r="P837" s="15">
        <f>INT((2^$J$12-1)*O837/100)/(2^$J$12-1)*100</f>
        <v/>
      </c>
      <c r="Q837" s="15" t="n">
        <v>0</v>
      </c>
      <c r="R837" s="15">
        <f>P837+Q837</f>
        <v/>
      </c>
      <c r="S837" s="15">
        <f>$I$1*S836-$I$2*S835+$I$3*R816+$I$4*R815</f>
        <v/>
      </c>
      <c r="T837" s="15" t="n">
        <v>0</v>
      </c>
      <c r="U837" s="15">
        <f>S837+T837</f>
        <v/>
      </c>
      <c r="V837" s="15">
        <f>INT((2^$J$12-1)*U837/100)/(2^$J$12-1)*100</f>
        <v/>
      </c>
      <c r="X837" s="15">
        <f>M837 * 1.05</f>
        <v/>
      </c>
      <c r="Y837" s="15">
        <f>M837 * 0.95</f>
        <v/>
      </c>
      <c r="Z837" s="15">
        <f>IF(AND(V837 &lt;= X837, V837 &gt;= Y837), 1, 0)</f>
        <v/>
      </c>
      <c r="AC837" s="15">
        <f>N837^2</f>
        <v/>
      </c>
      <c r="AD837" s="15">
        <f>ABS(N837)</f>
        <v/>
      </c>
      <c r="AE837" s="15">
        <f>IF(M837&gt;0, ABS(N837)*(L837-$D$16),0)</f>
        <v/>
      </c>
    </row>
    <row r="838">
      <c r="L838" s="15" t="n">
        <v>836</v>
      </c>
      <c r="M838" s="15">
        <f>IF(L838&lt;$D$16,$D$12,IF(L838&lt;$E$16,$E$12,$F$13))</f>
        <v/>
      </c>
      <c r="N838" s="15">
        <f>M838-V838</f>
        <v/>
      </c>
      <c r="O838" s="15">
        <f>IF(MOD(L838,$B$11)=0,OFFSET(O838,-$B$11,0)+ $E$2*N838+$E$3*OFFSET(N838,-$B$11,0)+ $E$4*OFFSET(N838,-2* $B$11,0), O837)</f>
        <v/>
      </c>
      <c r="P838" s="15">
        <f>INT((2^$J$12-1)*O838/100)/(2^$J$12-1)*100</f>
        <v/>
      </c>
      <c r="Q838" s="15" t="n">
        <v>0</v>
      </c>
      <c r="R838" s="15">
        <f>P838+Q838</f>
        <v/>
      </c>
      <c r="S838" s="15">
        <f>$I$1*S837-$I$2*S836+$I$3*R817+$I$4*R816</f>
        <v/>
      </c>
      <c r="T838" s="15" t="n">
        <v>0</v>
      </c>
      <c r="U838" s="15">
        <f>S838+T838</f>
        <v/>
      </c>
      <c r="V838" s="15">
        <f>INT((2^$J$12-1)*U838/100)/(2^$J$12-1)*100</f>
        <v/>
      </c>
      <c r="X838" s="15">
        <f>M838 * 1.05</f>
        <v/>
      </c>
      <c r="Y838" s="15">
        <f>M838 * 0.95</f>
        <v/>
      </c>
      <c r="Z838" s="15">
        <f>IF(AND(V838 &lt;= X838, V838 &gt;= Y838), 1, 0)</f>
        <v/>
      </c>
      <c r="AC838" s="15">
        <f>N838^2</f>
        <v/>
      </c>
      <c r="AD838" s="15">
        <f>ABS(N838)</f>
        <v/>
      </c>
      <c r="AE838" s="15">
        <f>IF(M838&gt;0, ABS(N838)*(L838-$D$16),0)</f>
        <v/>
      </c>
    </row>
    <row r="839">
      <c r="L839" s="15" t="n">
        <v>837</v>
      </c>
      <c r="M839" s="15">
        <f>IF(L839&lt;$D$16,$D$12,IF(L839&lt;$E$16,$E$12,$F$13))</f>
        <v/>
      </c>
      <c r="N839" s="15">
        <f>M839-V839</f>
        <v/>
      </c>
      <c r="O839" s="15">
        <f>IF(MOD(L839,$B$11)=0,OFFSET(O839,-$B$11,0)+ $E$2*N839+$E$3*OFFSET(N839,-$B$11,0)+ $E$4*OFFSET(N839,-2* $B$11,0), O838)</f>
        <v/>
      </c>
      <c r="P839" s="15">
        <f>INT((2^$J$12-1)*O839/100)/(2^$J$12-1)*100</f>
        <v/>
      </c>
      <c r="Q839" s="15" t="n">
        <v>0</v>
      </c>
      <c r="R839" s="15">
        <f>P839+Q839</f>
        <v/>
      </c>
      <c r="S839" s="15">
        <f>$I$1*S838-$I$2*S837+$I$3*R818+$I$4*R817</f>
        <v/>
      </c>
      <c r="T839" s="15" t="n">
        <v>0</v>
      </c>
      <c r="U839" s="15">
        <f>S839+T839</f>
        <v/>
      </c>
      <c r="V839" s="15">
        <f>INT((2^$J$12-1)*U839/100)/(2^$J$12-1)*100</f>
        <v/>
      </c>
      <c r="X839" s="15">
        <f>M839 * 1.05</f>
        <v/>
      </c>
      <c r="Y839" s="15">
        <f>M839 * 0.95</f>
        <v/>
      </c>
      <c r="Z839" s="15">
        <f>IF(AND(V839 &lt;= X839, V839 &gt;= Y839), 1, 0)</f>
        <v/>
      </c>
      <c r="AC839" s="15">
        <f>N839^2</f>
        <v/>
      </c>
      <c r="AD839" s="15">
        <f>ABS(N839)</f>
        <v/>
      </c>
      <c r="AE839" s="15">
        <f>IF(M839&gt;0, ABS(N839)*(L839-$D$16),0)</f>
        <v/>
      </c>
    </row>
    <row r="840">
      <c r="L840" s="15" t="n">
        <v>838</v>
      </c>
      <c r="M840" s="15">
        <f>IF(L840&lt;$D$16,$D$12,IF(L840&lt;$E$16,$E$12,$F$13))</f>
        <v/>
      </c>
      <c r="N840" s="15">
        <f>M840-V840</f>
        <v/>
      </c>
      <c r="O840" s="15">
        <f>IF(MOD(L840,$B$11)=0,OFFSET(O840,-$B$11,0)+ $E$2*N840+$E$3*OFFSET(N840,-$B$11,0)+ $E$4*OFFSET(N840,-2* $B$11,0), O839)</f>
        <v/>
      </c>
      <c r="P840" s="15">
        <f>INT((2^$J$12-1)*O840/100)/(2^$J$12-1)*100</f>
        <v/>
      </c>
      <c r="Q840" s="15" t="n">
        <v>0</v>
      </c>
      <c r="R840" s="15">
        <f>P840+Q840</f>
        <v/>
      </c>
      <c r="S840" s="15">
        <f>$I$1*S839-$I$2*S838+$I$3*R819+$I$4*R818</f>
        <v/>
      </c>
      <c r="T840" s="15" t="n">
        <v>0</v>
      </c>
      <c r="U840" s="15">
        <f>S840+T840</f>
        <v/>
      </c>
      <c r="V840" s="15">
        <f>INT((2^$J$12-1)*U840/100)/(2^$J$12-1)*100</f>
        <v/>
      </c>
      <c r="X840" s="15">
        <f>M840 * 1.05</f>
        <v/>
      </c>
      <c r="Y840" s="15">
        <f>M840 * 0.95</f>
        <v/>
      </c>
      <c r="Z840" s="15">
        <f>IF(AND(V840 &lt;= X840, V840 &gt;= Y840), 1, 0)</f>
        <v/>
      </c>
      <c r="AC840" s="15">
        <f>N840^2</f>
        <v/>
      </c>
      <c r="AD840" s="15">
        <f>ABS(N840)</f>
        <v/>
      </c>
      <c r="AE840" s="15">
        <f>IF(M840&gt;0, ABS(N840)*(L840-$D$16),0)</f>
        <v/>
      </c>
    </row>
    <row r="841">
      <c r="L841" s="15" t="n">
        <v>839</v>
      </c>
      <c r="M841" s="15">
        <f>IF(L841&lt;$D$16,$D$12,IF(L841&lt;$E$16,$E$12,$F$13))</f>
        <v/>
      </c>
      <c r="N841" s="15">
        <f>M841-V841</f>
        <v/>
      </c>
      <c r="O841" s="15">
        <f>IF(MOD(L841,$B$11)=0,OFFSET(O841,-$B$11,0)+ $E$2*N841+$E$3*OFFSET(N841,-$B$11,0)+ $E$4*OFFSET(N841,-2* $B$11,0), O840)</f>
        <v/>
      </c>
      <c r="P841" s="15">
        <f>INT((2^$J$12-1)*O841/100)/(2^$J$12-1)*100</f>
        <v/>
      </c>
      <c r="Q841" s="15" t="n">
        <v>0</v>
      </c>
      <c r="R841" s="15">
        <f>P841+Q841</f>
        <v/>
      </c>
      <c r="S841" s="15">
        <f>$I$1*S840-$I$2*S839+$I$3*R820+$I$4*R819</f>
        <v/>
      </c>
      <c r="T841" s="15" t="n">
        <v>0</v>
      </c>
      <c r="U841" s="15">
        <f>S841+T841</f>
        <v/>
      </c>
      <c r="V841" s="15">
        <f>INT((2^$J$12-1)*U841/100)/(2^$J$12-1)*100</f>
        <v/>
      </c>
      <c r="X841" s="15">
        <f>M841 * 1.05</f>
        <v/>
      </c>
      <c r="Y841" s="15">
        <f>M841 * 0.95</f>
        <v/>
      </c>
      <c r="Z841" s="15">
        <f>IF(AND(V841 &lt;= X841, V841 &gt;= Y841), 1, 0)</f>
        <v/>
      </c>
      <c r="AC841" s="15">
        <f>N841^2</f>
        <v/>
      </c>
      <c r="AD841" s="15">
        <f>ABS(N841)</f>
        <v/>
      </c>
      <c r="AE841" s="15">
        <f>IF(M841&gt;0, ABS(N841)*(L841-$D$16),0)</f>
        <v/>
      </c>
    </row>
    <row r="842">
      <c r="L842" s="15" t="n">
        <v>840</v>
      </c>
      <c r="M842" s="15">
        <f>IF(L842&lt;$D$16,$D$12,IF(L842&lt;$E$16,$E$12,$F$13))</f>
        <v/>
      </c>
      <c r="N842" s="15">
        <f>M842-V842</f>
        <v/>
      </c>
      <c r="O842" s="15">
        <f>IF(MOD(L842,$B$11)=0,OFFSET(O842,-$B$11,0)+ $E$2*N842+$E$3*OFFSET(N842,-$B$11,0)+ $E$4*OFFSET(N842,-2* $B$11,0), O841)</f>
        <v/>
      </c>
      <c r="P842" s="15">
        <f>INT((2^$J$12-1)*O842/100)/(2^$J$12-1)*100</f>
        <v/>
      </c>
      <c r="Q842" s="15" t="n">
        <v>0</v>
      </c>
      <c r="R842" s="15">
        <f>P842+Q842</f>
        <v/>
      </c>
      <c r="S842" s="15">
        <f>$I$1*S841-$I$2*S840+$I$3*R821+$I$4*R820</f>
        <v/>
      </c>
      <c r="T842" s="15" t="n">
        <v>0</v>
      </c>
      <c r="U842" s="15">
        <f>S842+T842</f>
        <v/>
      </c>
      <c r="V842" s="15">
        <f>INT((2^$J$12-1)*U842/100)/(2^$J$12-1)*100</f>
        <v/>
      </c>
      <c r="X842" s="15">
        <f>M842 * 1.05</f>
        <v/>
      </c>
      <c r="Y842" s="15">
        <f>M842 * 0.95</f>
        <v/>
      </c>
      <c r="Z842" s="15">
        <f>IF(AND(V842 &lt;= X842, V842 &gt;= Y842), 1, 0)</f>
        <v/>
      </c>
      <c r="AC842" s="15">
        <f>N842^2</f>
        <v/>
      </c>
      <c r="AD842" s="15">
        <f>ABS(N842)</f>
        <v/>
      </c>
      <c r="AE842" s="15">
        <f>IF(M842&gt;0, ABS(N842)*(L842-$D$16),0)</f>
        <v/>
      </c>
    </row>
    <row r="843">
      <c r="L843" s="15" t="n">
        <v>841</v>
      </c>
      <c r="M843" s="15">
        <f>IF(L843&lt;$D$16,$D$12,IF(L843&lt;$E$16,$E$12,$F$13))</f>
        <v/>
      </c>
      <c r="N843" s="15">
        <f>M843-V843</f>
        <v/>
      </c>
      <c r="O843" s="15">
        <f>IF(MOD(L843,$B$11)=0,OFFSET(O843,-$B$11,0)+ $E$2*N843+$E$3*OFFSET(N843,-$B$11,0)+ $E$4*OFFSET(N843,-2* $B$11,0), O842)</f>
        <v/>
      </c>
      <c r="P843" s="15">
        <f>INT((2^$J$12-1)*O843/100)/(2^$J$12-1)*100</f>
        <v/>
      </c>
      <c r="Q843" s="15" t="n">
        <v>0</v>
      </c>
      <c r="R843" s="15">
        <f>P843+Q843</f>
        <v/>
      </c>
      <c r="S843" s="15">
        <f>$I$1*S842-$I$2*S841+$I$3*R822+$I$4*R821</f>
        <v/>
      </c>
      <c r="T843" s="15" t="n">
        <v>0</v>
      </c>
      <c r="U843" s="15">
        <f>S843+T843</f>
        <v/>
      </c>
      <c r="V843" s="15">
        <f>INT((2^$J$12-1)*U843/100)/(2^$J$12-1)*100</f>
        <v/>
      </c>
      <c r="X843" s="15">
        <f>M843 * 1.05</f>
        <v/>
      </c>
      <c r="Y843" s="15">
        <f>M843 * 0.95</f>
        <v/>
      </c>
      <c r="Z843" s="15">
        <f>IF(AND(V843 &lt;= X843, V843 &gt;= Y843), 1, 0)</f>
        <v/>
      </c>
      <c r="AC843" s="15">
        <f>N843^2</f>
        <v/>
      </c>
      <c r="AD843" s="15">
        <f>ABS(N843)</f>
        <v/>
      </c>
      <c r="AE843" s="15">
        <f>IF(M843&gt;0, ABS(N843)*(L843-$D$16),0)</f>
        <v/>
      </c>
    </row>
    <row r="844">
      <c r="L844" s="15" t="n">
        <v>842</v>
      </c>
      <c r="M844" s="15">
        <f>IF(L844&lt;$D$16,$D$12,IF(L844&lt;$E$16,$E$12,$F$13))</f>
        <v/>
      </c>
      <c r="N844" s="15">
        <f>M844-V844</f>
        <v/>
      </c>
      <c r="O844" s="15">
        <f>IF(MOD(L844,$B$11)=0,OFFSET(O844,-$B$11,0)+ $E$2*N844+$E$3*OFFSET(N844,-$B$11,0)+ $E$4*OFFSET(N844,-2* $B$11,0), O843)</f>
        <v/>
      </c>
      <c r="P844" s="15">
        <f>INT((2^$J$12-1)*O844/100)/(2^$J$12-1)*100</f>
        <v/>
      </c>
      <c r="Q844" s="15" t="n">
        <v>0</v>
      </c>
      <c r="R844" s="15">
        <f>P844+Q844</f>
        <v/>
      </c>
      <c r="S844" s="15">
        <f>$I$1*S843-$I$2*S842+$I$3*R823+$I$4*R822</f>
        <v/>
      </c>
      <c r="T844" s="15" t="n">
        <v>0</v>
      </c>
      <c r="U844" s="15">
        <f>S844+T844</f>
        <v/>
      </c>
      <c r="V844" s="15">
        <f>INT((2^$J$12-1)*U844/100)/(2^$J$12-1)*100</f>
        <v/>
      </c>
      <c r="X844" s="15">
        <f>M844 * 1.05</f>
        <v/>
      </c>
      <c r="Y844" s="15">
        <f>M844 * 0.95</f>
        <v/>
      </c>
      <c r="Z844" s="15">
        <f>IF(AND(V844 &lt;= X844, V844 &gt;= Y844), 1, 0)</f>
        <v/>
      </c>
      <c r="AC844" s="15">
        <f>N844^2</f>
        <v/>
      </c>
      <c r="AD844" s="15">
        <f>ABS(N844)</f>
        <v/>
      </c>
      <c r="AE844" s="15">
        <f>IF(M844&gt;0, ABS(N844)*(L844-$D$16),0)</f>
        <v/>
      </c>
    </row>
    <row r="845">
      <c r="L845" s="15" t="n">
        <v>843</v>
      </c>
      <c r="M845" s="15">
        <f>IF(L845&lt;$D$16,$D$12,IF(L845&lt;$E$16,$E$12,$F$13))</f>
        <v/>
      </c>
      <c r="N845" s="15">
        <f>M845-V845</f>
        <v/>
      </c>
      <c r="O845" s="15">
        <f>IF(MOD(L845,$B$11)=0,OFFSET(O845,-$B$11,0)+ $E$2*N845+$E$3*OFFSET(N845,-$B$11,0)+ $E$4*OFFSET(N845,-2* $B$11,0), O844)</f>
        <v/>
      </c>
      <c r="P845" s="15">
        <f>INT((2^$J$12-1)*O845/100)/(2^$J$12-1)*100</f>
        <v/>
      </c>
      <c r="Q845" s="15" t="n">
        <v>0</v>
      </c>
      <c r="R845" s="15">
        <f>P845+Q845</f>
        <v/>
      </c>
      <c r="S845" s="15">
        <f>$I$1*S844-$I$2*S843+$I$3*R824+$I$4*R823</f>
        <v/>
      </c>
      <c r="T845" s="15" t="n">
        <v>0</v>
      </c>
      <c r="U845" s="15">
        <f>S845+T845</f>
        <v/>
      </c>
      <c r="V845" s="15">
        <f>INT((2^$J$12-1)*U845/100)/(2^$J$12-1)*100</f>
        <v/>
      </c>
      <c r="X845" s="15">
        <f>M845 * 1.05</f>
        <v/>
      </c>
      <c r="Y845" s="15">
        <f>M845 * 0.95</f>
        <v/>
      </c>
      <c r="Z845" s="15">
        <f>IF(AND(V845 &lt;= X845, V845 &gt;= Y845), 1, 0)</f>
        <v/>
      </c>
      <c r="AC845" s="15">
        <f>N845^2</f>
        <v/>
      </c>
      <c r="AD845" s="15">
        <f>ABS(N845)</f>
        <v/>
      </c>
      <c r="AE845" s="15">
        <f>IF(M845&gt;0, ABS(N845)*(L845-$D$16),0)</f>
        <v/>
      </c>
    </row>
    <row r="846">
      <c r="L846" s="15" t="n">
        <v>844</v>
      </c>
      <c r="M846" s="15">
        <f>IF(L846&lt;$D$16,$D$12,IF(L846&lt;$E$16,$E$12,$F$13))</f>
        <v/>
      </c>
      <c r="N846" s="15">
        <f>M846-V846</f>
        <v/>
      </c>
      <c r="O846" s="15">
        <f>IF(MOD(L846,$B$11)=0,OFFSET(O846,-$B$11,0)+ $E$2*N846+$E$3*OFFSET(N846,-$B$11,0)+ $E$4*OFFSET(N846,-2* $B$11,0), O845)</f>
        <v/>
      </c>
      <c r="P846" s="15">
        <f>INT((2^$J$12-1)*O846/100)/(2^$J$12-1)*100</f>
        <v/>
      </c>
      <c r="Q846" s="15" t="n">
        <v>0</v>
      </c>
      <c r="R846" s="15">
        <f>P846+Q846</f>
        <v/>
      </c>
      <c r="S846" s="15">
        <f>$I$1*S845-$I$2*S844+$I$3*R825+$I$4*R824</f>
        <v/>
      </c>
      <c r="T846" s="15" t="n">
        <v>0</v>
      </c>
      <c r="U846" s="15">
        <f>S846+T846</f>
        <v/>
      </c>
      <c r="V846" s="15">
        <f>INT((2^$J$12-1)*U846/100)/(2^$J$12-1)*100</f>
        <v/>
      </c>
      <c r="X846" s="15">
        <f>M846 * 1.05</f>
        <v/>
      </c>
      <c r="Y846" s="15">
        <f>M846 * 0.95</f>
        <v/>
      </c>
      <c r="Z846" s="15">
        <f>IF(AND(V846 &lt;= X846, V846 &gt;= Y846), 1, 0)</f>
        <v/>
      </c>
      <c r="AC846" s="15">
        <f>N846^2</f>
        <v/>
      </c>
      <c r="AD846" s="15">
        <f>ABS(N846)</f>
        <v/>
      </c>
      <c r="AE846" s="15">
        <f>IF(M846&gt;0, ABS(N846)*(L846-$D$16),0)</f>
        <v/>
      </c>
    </row>
    <row r="847">
      <c r="L847" s="15" t="n">
        <v>845</v>
      </c>
      <c r="M847" s="15">
        <f>IF(L847&lt;$D$16,$D$12,IF(L847&lt;$E$16,$E$12,$F$13))</f>
        <v/>
      </c>
      <c r="N847" s="15">
        <f>M847-V847</f>
        <v/>
      </c>
      <c r="O847" s="15">
        <f>IF(MOD(L847,$B$11)=0,OFFSET(O847,-$B$11,0)+ $E$2*N847+$E$3*OFFSET(N847,-$B$11,0)+ $E$4*OFFSET(N847,-2* $B$11,0), O846)</f>
        <v/>
      </c>
      <c r="P847" s="15">
        <f>INT((2^$J$12-1)*O847/100)/(2^$J$12-1)*100</f>
        <v/>
      </c>
      <c r="Q847" s="15" t="n">
        <v>0</v>
      </c>
      <c r="R847" s="15">
        <f>P847+Q847</f>
        <v/>
      </c>
      <c r="S847" s="15">
        <f>$I$1*S846-$I$2*S845+$I$3*R826+$I$4*R825</f>
        <v/>
      </c>
      <c r="T847" s="15" t="n">
        <v>0</v>
      </c>
      <c r="U847" s="15">
        <f>S847+T847</f>
        <v/>
      </c>
      <c r="V847" s="15">
        <f>INT((2^$J$12-1)*U847/100)/(2^$J$12-1)*100</f>
        <v/>
      </c>
      <c r="X847" s="15">
        <f>M847 * 1.05</f>
        <v/>
      </c>
      <c r="Y847" s="15">
        <f>M847 * 0.95</f>
        <v/>
      </c>
      <c r="Z847" s="15">
        <f>IF(AND(V847 &lt;= X847, V847 &gt;= Y847), 1, 0)</f>
        <v/>
      </c>
      <c r="AC847" s="15">
        <f>N847^2</f>
        <v/>
      </c>
      <c r="AD847" s="15">
        <f>ABS(N847)</f>
        <v/>
      </c>
      <c r="AE847" s="15">
        <f>IF(M847&gt;0, ABS(N847)*(L847-$D$16),0)</f>
        <v/>
      </c>
    </row>
    <row r="848">
      <c r="L848" s="15" t="n">
        <v>846</v>
      </c>
      <c r="M848" s="15">
        <f>IF(L848&lt;$D$16,$D$12,IF(L848&lt;$E$16,$E$12,$F$13))</f>
        <v/>
      </c>
      <c r="N848" s="15">
        <f>M848-V848</f>
        <v/>
      </c>
      <c r="O848" s="15">
        <f>IF(MOD(L848,$B$11)=0,OFFSET(O848,-$B$11,0)+ $E$2*N848+$E$3*OFFSET(N848,-$B$11,0)+ $E$4*OFFSET(N848,-2* $B$11,0), O847)</f>
        <v/>
      </c>
      <c r="P848" s="15">
        <f>INT((2^$J$12-1)*O848/100)/(2^$J$12-1)*100</f>
        <v/>
      </c>
      <c r="Q848" s="15" t="n">
        <v>0</v>
      </c>
      <c r="R848" s="15">
        <f>P848+Q848</f>
        <v/>
      </c>
      <c r="S848" s="15">
        <f>$I$1*S847-$I$2*S846+$I$3*R827+$I$4*R826</f>
        <v/>
      </c>
      <c r="T848" s="15" t="n">
        <v>0</v>
      </c>
      <c r="U848" s="15">
        <f>S848+T848</f>
        <v/>
      </c>
      <c r="V848" s="15">
        <f>INT((2^$J$12-1)*U848/100)/(2^$J$12-1)*100</f>
        <v/>
      </c>
      <c r="X848" s="15">
        <f>M848 * 1.05</f>
        <v/>
      </c>
      <c r="Y848" s="15">
        <f>M848 * 0.95</f>
        <v/>
      </c>
      <c r="Z848" s="15">
        <f>IF(AND(V848 &lt;= X848, V848 &gt;= Y848), 1, 0)</f>
        <v/>
      </c>
      <c r="AC848" s="15">
        <f>N848^2</f>
        <v/>
      </c>
      <c r="AD848" s="15">
        <f>ABS(N848)</f>
        <v/>
      </c>
      <c r="AE848" s="15">
        <f>IF(M848&gt;0, ABS(N848)*(L848-$D$16),0)</f>
        <v/>
      </c>
    </row>
    <row r="849">
      <c r="L849" s="15" t="n">
        <v>847</v>
      </c>
      <c r="M849" s="15">
        <f>IF(L849&lt;$D$16,$D$12,IF(L849&lt;$E$16,$E$12,$F$13))</f>
        <v/>
      </c>
      <c r="N849" s="15">
        <f>M849-V849</f>
        <v/>
      </c>
      <c r="O849" s="15">
        <f>IF(MOD(L849,$B$11)=0,OFFSET(O849,-$B$11,0)+ $E$2*N849+$E$3*OFFSET(N849,-$B$11,0)+ $E$4*OFFSET(N849,-2* $B$11,0), O848)</f>
        <v/>
      </c>
      <c r="P849" s="15">
        <f>INT((2^$J$12-1)*O849/100)/(2^$J$12-1)*100</f>
        <v/>
      </c>
      <c r="Q849" s="15" t="n">
        <v>0</v>
      </c>
      <c r="R849" s="15">
        <f>P849+Q849</f>
        <v/>
      </c>
      <c r="S849" s="15">
        <f>$I$1*S848-$I$2*S847+$I$3*R828+$I$4*R827</f>
        <v/>
      </c>
      <c r="T849" s="15" t="n">
        <v>0</v>
      </c>
      <c r="U849" s="15">
        <f>S849+T849</f>
        <v/>
      </c>
      <c r="V849" s="15">
        <f>INT((2^$J$12-1)*U849/100)/(2^$J$12-1)*100</f>
        <v/>
      </c>
      <c r="X849" s="15">
        <f>M849 * 1.05</f>
        <v/>
      </c>
      <c r="Y849" s="15">
        <f>M849 * 0.95</f>
        <v/>
      </c>
      <c r="Z849" s="15">
        <f>IF(AND(V849 &lt;= X849, V849 &gt;= Y849), 1, 0)</f>
        <v/>
      </c>
      <c r="AC849" s="15">
        <f>N849^2</f>
        <v/>
      </c>
      <c r="AD849" s="15">
        <f>ABS(N849)</f>
        <v/>
      </c>
      <c r="AE849" s="15">
        <f>IF(M849&gt;0, ABS(N849)*(L849-$D$16),0)</f>
        <v/>
      </c>
    </row>
    <row r="850">
      <c r="L850" s="15" t="n">
        <v>848</v>
      </c>
      <c r="M850" s="15">
        <f>IF(L850&lt;$D$16,$D$12,IF(L850&lt;$E$16,$E$12,$F$13))</f>
        <v/>
      </c>
      <c r="N850" s="15">
        <f>M850-V850</f>
        <v/>
      </c>
      <c r="O850" s="15">
        <f>IF(MOD(L850,$B$11)=0,OFFSET(O850,-$B$11,0)+ $E$2*N850+$E$3*OFFSET(N850,-$B$11,0)+ $E$4*OFFSET(N850,-2* $B$11,0), O849)</f>
        <v/>
      </c>
      <c r="P850" s="15">
        <f>INT((2^$J$12-1)*O850/100)/(2^$J$12-1)*100</f>
        <v/>
      </c>
      <c r="Q850" s="15" t="n">
        <v>0</v>
      </c>
      <c r="R850" s="15">
        <f>P850+Q850</f>
        <v/>
      </c>
      <c r="S850" s="15">
        <f>$I$1*S849-$I$2*S848+$I$3*R829+$I$4*R828</f>
        <v/>
      </c>
      <c r="T850" s="15" t="n">
        <v>0</v>
      </c>
      <c r="U850" s="15">
        <f>S850+T850</f>
        <v/>
      </c>
      <c r="V850" s="15">
        <f>INT((2^$J$12-1)*U850/100)/(2^$J$12-1)*100</f>
        <v/>
      </c>
      <c r="X850" s="15">
        <f>M850 * 1.05</f>
        <v/>
      </c>
      <c r="Y850" s="15">
        <f>M850 * 0.95</f>
        <v/>
      </c>
      <c r="Z850" s="15">
        <f>IF(AND(V850 &lt;= X850, V850 &gt;= Y850), 1, 0)</f>
        <v/>
      </c>
      <c r="AC850" s="15">
        <f>N850^2</f>
        <v/>
      </c>
      <c r="AD850" s="15">
        <f>ABS(N850)</f>
        <v/>
      </c>
      <c r="AE850" s="15">
        <f>IF(M850&gt;0, ABS(N850)*(L850-$D$16),0)</f>
        <v/>
      </c>
    </row>
    <row r="851">
      <c r="L851" s="15" t="n">
        <v>849</v>
      </c>
      <c r="M851" s="15">
        <f>IF(L851&lt;$D$16,$D$12,IF(L851&lt;$E$16,$E$12,$F$13))</f>
        <v/>
      </c>
      <c r="N851" s="15">
        <f>M851-V851</f>
        <v/>
      </c>
      <c r="O851" s="15">
        <f>IF(MOD(L851,$B$11)=0,OFFSET(O851,-$B$11,0)+ $E$2*N851+$E$3*OFFSET(N851,-$B$11,0)+ $E$4*OFFSET(N851,-2* $B$11,0), O850)</f>
        <v/>
      </c>
      <c r="P851" s="15">
        <f>INT((2^$J$12-1)*O851/100)/(2^$J$12-1)*100</f>
        <v/>
      </c>
      <c r="Q851" s="15" t="n">
        <v>0</v>
      </c>
      <c r="R851" s="15">
        <f>P851+Q851</f>
        <v/>
      </c>
      <c r="S851" s="15">
        <f>$I$1*S850-$I$2*S849+$I$3*R830+$I$4*R829</f>
        <v/>
      </c>
      <c r="T851" s="15" t="n">
        <v>0</v>
      </c>
      <c r="U851" s="15">
        <f>S851+T851</f>
        <v/>
      </c>
      <c r="V851" s="15">
        <f>INT((2^$J$12-1)*U851/100)/(2^$J$12-1)*100</f>
        <v/>
      </c>
      <c r="X851" s="15">
        <f>M851 * 1.05</f>
        <v/>
      </c>
      <c r="Y851" s="15">
        <f>M851 * 0.95</f>
        <v/>
      </c>
      <c r="Z851" s="15">
        <f>IF(AND(V851 &lt;= X851, V851 &gt;= Y851), 1, 0)</f>
        <v/>
      </c>
      <c r="AC851" s="15">
        <f>N851^2</f>
        <v/>
      </c>
      <c r="AD851" s="15">
        <f>ABS(N851)</f>
        <v/>
      </c>
      <c r="AE851" s="15">
        <f>IF(M851&gt;0, ABS(N851)*(L851-$D$16),0)</f>
        <v/>
      </c>
    </row>
    <row r="852">
      <c r="L852" s="15" t="n">
        <v>850</v>
      </c>
      <c r="M852" s="15">
        <f>IF(L852&lt;$D$16,$D$12,IF(L852&lt;$E$16,$E$12,$F$13))</f>
        <v/>
      </c>
      <c r="N852" s="15">
        <f>M852-V852</f>
        <v/>
      </c>
      <c r="O852" s="15">
        <f>IF(MOD(L852,$B$11)=0,OFFSET(O852,-$B$11,0)+ $E$2*N852+$E$3*OFFSET(N852,-$B$11,0)+ $E$4*OFFSET(N852,-2* $B$11,0), O851)</f>
        <v/>
      </c>
      <c r="P852" s="15">
        <f>INT((2^$J$12-1)*O852/100)/(2^$J$12-1)*100</f>
        <v/>
      </c>
      <c r="Q852" s="15" t="n">
        <v>0</v>
      </c>
      <c r="R852" s="15">
        <f>P852+Q852</f>
        <v/>
      </c>
      <c r="S852" s="15">
        <f>$I$1*S851-$I$2*S850+$I$3*R831+$I$4*R830</f>
        <v/>
      </c>
      <c r="T852" s="15" t="n">
        <v>0</v>
      </c>
      <c r="U852" s="15">
        <f>S852+T852</f>
        <v/>
      </c>
      <c r="V852" s="15">
        <f>INT((2^$J$12-1)*U852/100)/(2^$J$12-1)*100</f>
        <v/>
      </c>
      <c r="X852" s="15">
        <f>M852 * 1.05</f>
        <v/>
      </c>
      <c r="Y852" s="15">
        <f>M852 * 0.95</f>
        <v/>
      </c>
      <c r="Z852" s="15">
        <f>IF(AND(V852 &lt;= X852, V852 &gt;= Y852), 1, 0)</f>
        <v/>
      </c>
      <c r="AC852" s="15">
        <f>N852^2</f>
        <v/>
      </c>
      <c r="AD852" s="15">
        <f>ABS(N852)</f>
        <v/>
      </c>
      <c r="AE852" s="15">
        <f>IF(M852&gt;0, ABS(N852)*(L852-$D$16),0)</f>
        <v/>
      </c>
    </row>
    <row r="853">
      <c r="L853" s="15" t="n">
        <v>851</v>
      </c>
      <c r="M853" s="15">
        <f>IF(L853&lt;$D$16,$D$12,IF(L853&lt;$E$16,$E$12,$F$13))</f>
        <v/>
      </c>
      <c r="N853" s="15">
        <f>M853-V853</f>
        <v/>
      </c>
      <c r="O853" s="15">
        <f>IF(MOD(L853,$B$11)=0,OFFSET(O853,-$B$11,0)+ $E$2*N853+$E$3*OFFSET(N853,-$B$11,0)+ $E$4*OFFSET(N853,-2* $B$11,0), O852)</f>
        <v/>
      </c>
      <c r="P853" s="15">
        <f>INT((2^$J$12-1)*O853/100)/(2^$J$12-1)*100</f>
        <v/>
      </c>
      <c r="Q853" s="15" t="n">
        <v>0</v>
      </c>
      <c r="R853" s="15">
        <f>P853+Q853</f>
        <v/>
      </c>
      <c r="S853" s="15">
        <f>$I$1*S852-$I$2*S851+$I$3*R832+$I$4*R831</f>
        <v/>
      </c>
      <c r="T853" s="15" t="n">
        <v>0</v>
      </c>
      <c r="U853" s="15">
        <f>S853+T853</f>
        <v/>
      </c>
      <c r="V853" s="15">
        <f>INT((2^$J$12-1)*U853/100)/(2^$J$12-1)*100</f>
        <v/>
      </c>
      <c r="X853" s="15">
        <f>M853 * 1.05</f>
        <v/>
      </c>
      <c r="Y853" s="15">
        <f>M853 * 0.95</f>
        <v/>
      </c>
      <c r="Z853" s="15">
        <f>IF(AND(V853 &lt;= X853, V853 &gt;= Y853), 1, 0)</f>
        <v/>
      </c>
      <c r="AC853" s="15">
        <f>N853^2</f>
        <v/>
      </c>
      <c r="AD853" s="15">
        <f>ABS(N853)</f>
        <v/>
      </c>
      <c r="AE853" s="15">
        <f>IF(M853&gt;0, ABS(N853)*(L853-$D$16),0)</f>
        <v/>
      </c>
    </row>
    <row r="854">
      <c r="L854" s="15" t="n">
        <v>852</v>
      </c>
      <c r="M854" s="15">
        <f>IF(L854&lt;$D$16,$D$12,IF(L854&lt;$E$16,$E$12,$F$13))</f>
        <v/>
      </c>
      <c r="N854" s="15">
        <f>M854-V854</f>
        <v/>
      </c>
      <c r="O854" s="15">
        <f>IF(MOD(L854,$B$11)=0,OFFSET(O854,-$B$11,0)+ $E$2*N854+$E$3*OFFSET(N854,-$B$11,0)+ $E$4*OFFSET(N854,-2* $B$11,0), O853)</f>
        <v/>
      </c>
      <c r="P854" s="15">
        <f>INT((2^$J$12-1)*O854/100)/(2^$J$12-1)*100</f>
        <v/>
      </c>
      <c r="Q854" s="15" t="n">
        <v>0</v>
      </c>
      <c r="R854" s="15">
        <f>P854+Q854</f>
        <v/>
      </c>
      <c r="S854" s="15">
        <f>$I$1*S853-$I$2*S852+$I$3*R833+$I$4*R832</f>
        <v/>
      </c>
      <c r="T854" s="15" t="n">
        <v>0</v>
      </c>
      <c r="U854" s="15">
        <f>S854+T854</f>
        <v/>
      </c>
      <c r="V854" s="15">
        <f>INT((2^$J$12-1)*U854/100)/(2^$J$12-1)*100</f>
        <v/>
      </c>
      <c r="X854" s="15">
        <f>M854 * 1.05</f>
        <v/>
      </c>
      <c r="Y854" s="15">
        <f>M854 * 0.95</f>
        <v/>
      </c>
      <c r="Z854" s="15">
        <f>IF(AND(V854 &lt;= X854, V854 &gt;= Y854), 1, 0)</f>
        <v/>
      </c>
      <c r="AC854" s="15">
        <f>N854^2</f>
        <v/>
      </c>
      <c r="AD854" s="15">
        <f>ABS(N854)</f>
        <v/>
      </c>
      <c r="AE854" s="15">
        <f>IF(M854&gt;0, ABS(N854)*(L854-$D$16),0)</f>
        <v/>
      </c>
    </row>
    <row r="855">
      <c r="L855" s="15" t="n">
        <v>853</v>
      </c>
      <c r="M855" s="15">
        <f>IF(L855&lt;$D$16,$D$12,IF(L855&lt;$E$16,$E$12,$F$13))</f>
        <v/>
      </c>
      <c r="N855" s="15">
        <f>M855-V855</f>
        <v/>
      </c>
      <c r="O855" s="15">
        <f>IF(MOD(L855,$B$11)=0,OFFSET(O855,-$B$11,0)+ $E$2*N855+$E$3*OFFSET(N855,-$B$11,0)+ $E$4*OFFSET(N855,-2* $B$11,0), O854)</f>
        <v/>
      </c>
      <c r="P855" s="15">
        <f>INT((2^$J$12-1)*O855/100)/(2^$J$12-1)*100</f>
        <v/>
      </c>
      <c r="Q855" s="15" t="n">
        <v>0</v>
      </c>
      <c r="R855" s="15">
        <f>P855+Q855</f>
        <v/>
      </c>
      <c r="S855" s="15">
        <f>$I$1*S854-$I$2*S853+$I$3*R834+$I$4*R833</f>
        <v/>
      </c>
      <c r="T855" s="15" t="n">
        <v>0</v>
      </c>
      <c r="U855" s="15">
        <f>S855+T855</f>
        <v/>
      </c>
      <c r="V855" s="15">
        <f>INT((2^$J$12-1)*U855/100)/(2^$J$12-1)*100</f>
        <v/>
      </c>
      <c r="X855" s="15">
        <f>M855 * 1.05</f>
        <v/>
      </c>
      <c r="Y855" s="15">
        <f>M855 * 0.95</f>
        <v/>
      </c>
      <c r="Z855" s="15">
        <f>IF(AND(V855 &lt;= X855, V855 &gt;= Y855), 1, 0)</f>
        <v/>
      </c>
      <c r="AC855" s="15">
        <f>N855^2</f>
        <v/>
      </c>
      <c r="AD855" s="15">
        <f>ABS(N855)</f>
        <v/>
      </c>
      <c r="AE855" s="15">
        <f>IF(M855&gt;0, ABS(N855)*(L855-$D$16),0)</f>
        <v/>
      </c>
    </row>
    <row r="856">
      <c r="L856" s="15" t="n">
        <v>854</v>
      </c>
      <c r="M856" s="15">
        <f>IF(L856&lt;$D$16,$D$12,IF(L856&lt;$E$16,$E$12,$F$13))</f>
        <v/>
      </c>
      <c r="N856" s="15">
        <f>M856-V856</f>
        <v/>
      </c>
      <c r="O856" s="15">
        <f>IF(MOD(L856,$B$11)=0,OFFSET(O856,-$B$11,0)+ $E$2*N856+$E$3*OFFSET(N856,-$B$11,0)+ $E$4*OFFSET(N856,-2* $B$11,0), O855)</f>
        <v/>
      </c>
      <c r="P856" s="15">
        <f>INT((2^$J$12-1)*O856/100)/(2^$J$12-1)*100</f>
        <v/>
      </c>
      <c r="Q856" s="15" t="n">
        <v>0</v>
      </c>
      <c r="R856" s="15">
        <f>P856+Q856</f>
        <v/>
      </c>
      <c r="S856" s="15">
        <f>$I$1*S855-$I$2*S854+$I$3*R835+$I$4*R834</f>
        <v/>
      </c>
      <c r="T856" s="15" t="n">
        <v>0</v>
      </c>
      <c r="U856" s="15">
        <f>S856+T856</f>
        <v/>
      </c>
      <c r="V856" s="15">
        <f>INT((2^$J$12-1)*U856/100)/(2^$J$12-1)*100</f>
        <v/>
      </c>
      <c r="X856" s="15">
        <f>M856 * 1.05</f>
        <v/>
      </c>
      <c r="Y856" s="15">
        <f>M856 * 0.95</f>
        <v/>
      </c>
      <c r="Z856" s="15">
        <f>IF(AND(V856 &lt;= X856, V856 &gt;= Y856), 1, 0)</f>
        <v/>
      </c>
      <c r="AC856" s="15">
        <f>N856^2</f>
        <v/>
      </c>
      <c r="AD856" s="15">
        <f>ABS(N856)</f>
        <v/>
      </c>
      <c r="AE856" s="15">
        <f>IF(M856&gt;0, ABS(N856)*(L856-$D$16),0)</f>
        <v/>
      </c>
    </row>
    <row r="857">
      <c r="L857" s="15" t="n">
        <v>855</v>
      </c>
      <c r="M857" s="15">
        <f>IF(L857&lt;$D$16,$D$12,IF(L857&lt;$E$16,$E$12,$F$13))</f>
        <v/>
      </c>
      <c r="N857" s="15">
        <f>M857-V857</f>
        <v/>
      </c>
      <c r="O857" s="15">
        <f>IF(MOD(L857,$B$11)=0,OFFSET(O857,-$B$11,0)+ $E$2*N857+$E$3*OFFSET(N857,-$B$11,0)+ $E$4*OFFSET(N857,-2* $B$11,0), O856)</f>
        <v/>
      </c>
      <c r="P857" s="15">
        <f>INT((2^$J$12-1)*O857/100)/(2^$J$12-1)*100</f>
        <v/>
      </c>
      <c r="Q857" s="15" t="n">
        <v>0</v>
      </c>
      <c r="R857" s="15">
        <f>P857+Q857</f>
        <v/>
      </c>
      <c r="S857" s="15">
        <f>$I$1*S856-$I$2*S855+$I$3*R836+$I$4*R835</f>
        <v/>
      </c>
      <c r="T857" s="15" t="n">
        <v>0</v>
      </c>
      <c r="U857" s="15">
        <f>S857+T857</f>
        <v/>
      </c>
      <c r="V857" s="15">
        <f>INT((2^$J$12-1)*U857/100)/(2^$J$12-1)*100</f>
        <v/>
      </c>
      <c r="X857" s="15">
        <f>M857 * 1.05</f>
        <v/>
      </c>
      <c r="Y857" s="15">
        <f>M857 * 0.95</f>
        <v/>
      </c>
      <c r="Z857" s="15">
        <f>IF(AND(V857 &lt;= X857, V857 &gt;= Y857), 1, 0)</f>
        <v/>
      </c>
      <c r="AC857" s="15">
        <f>N857^2</f>
        <v/>
      </c>
      <c r="AD857" s="15">
        <f>ABS(N857)</f>
        <v/>
      </c>
      <c r="AE857" s="15">
        <f>IF(M857&gt;0, ABS(N857)*(L857-$D$16),0)</f>
        <v/>
      </c>
    </row>
    <row r="858">
      <c r="L858" s="15" t="n">
        <v>856</v>
      </c>
      <c r="M858" s="15">
        <f>IF(L858&lt;$D$16,$D$12,IF(L858&lt;$E$16,$E$12,$F$13))</f>
        <v/>
      </c>
      <c r="N858" s="15">
        <f>M858-V858</f>
        <v/>
      </c>
      <c r="O858" s="15">
        <f>IF(MOD(L858,$B$11)=0,OFFSET(O858,-$B$11,0)+ $E$2*N858+$E$3*OFFSET(N858,-$B$11,0)+ $E$4*OFFSET(N858,-2* $B$11,0), O857)</f>
        <v/>
      </c>
      <c r="P858" s="15">
        <f>INT((2^$J$12-1)*O858/100)/(2^$J$12-1)*100</f>
        <v/>
      </c>
      <c r="Q858" s="15" t="n">
        <v>0</v>
      </c>
      <c r="R858" s="15">
        <f>P858+Q858</f>
        <v/>
      </c>
      <c r="S858" s="15">
        <f>$I$1*S857-$I$2*S856+$I$3*R837+$I$4*R836</f>
        <v/>
      </c>
      <c r="T858" s="15" t="n">
        <v>0</v>
      </c>
      <c r="U858" s="15">
        <f>S858+T858</f>
        <v/>
      </c>
      <c r="V858" s="15">
        <f>INT((2^$J$12-1)*U858/100)/(2^$J$12-1)*100</f>
        <v/>
      </c>
      <c r="X858" s="15">
        <f>M858 * 1.05</f>
        <v/>
      </c>
      <c r="Y858" s="15">
        <f>M858 * 0.95</f>
        <v/>
      </c>
      <c r="Z858" s="15">
        <f>IF(AND(V858 &lt;= X858, V858 &gt;= Y858), 1, 0)</f>
        <v/>
      </c>
      <c r="AC858" s="15">
        <f>N858^2</f>
        <v/>
      </c>
      <c r="AD858" s="15">
        <f>ABS(N858)</f>
        <v/>
      </c>
      <c r="AE858" s="15">
        <f>IF(M858&gt;0, ABS(N858)*(L858-$D$16),0)</f>
        <v/>
      </c>
    </row>
    <row r="859">
      <c r="L859" s="15" t="n">
        <v>857</v>
      </c>
      <c r="M859" s="15">
        <f>IF(L859&lt;$D$16,$D$12,IF(L859&lt;$E$16,$E$12,$F$13))</f>
        <v/>
      </c>
      <c r="N859" s="15">
        <f>M859-V859</f>
        <v/>
      </c>
      <c r="O859" s="15">
        <f>IF(MOD(L859,$B$11)=0,OFFSET(O859,-$B$11,0)+ $E$2*N859+$E$3*OFFSET(N859,-$B$11,0)+ $E$4*OFFSET(N859,-2* $B$11,0), O858)</f>
        <v/>
      </c>
      <c r="P859" s="15">
        <f>INT((2^$J$12-1)*O859/100)/(2^$J$12-1)*100</f>
        <v/>
      </c>
      <c r="Q859" s="15" t="n">
        <v>0</v>
      </c>
      <c r="R859" s="15">
        <f>P859+Q859</f>
        <v/>
      </c>
      <c r="S859" s="15">
        <f>$I$1*S858-$I$2*S857+$I$3*R838+$I$4*R837</f>
        <v/>
      </c>
      <c r="T859" s="15" t="n">
        <v>0</v>
      </c>
      <c r="U859" s="15">
        <f>S859+T859</f>
        <v/>
      </c>
      <c r="V859" s="15">
        <f>INT((2^$J$12-1)*U859/100)/(2^$J$12-1)*100</f>
        <v/>
      </c>
      <c r="X859" s="15">
        <f>M859 * 1.05</f>
        <v/>
      </c>
      <c r="Y859" s="15">
        <f>M859 * 0.95</f>
        <v/>
      </c>
      <c r="Z859" s="15">
        <f>IF(AND(V859 &lt;= X859, V859 &gt;= Y859), 1, 0)</f>
        <v/>
      </c>
      <c r="AC859" s="15">
        <f>N859^2</f>
        <v/>
      </c>
      <c r="AD859" s="15">
        <f>ABS(N859)</f>
        <v/>
      </c>
      <c r="AE859" s="15">
        <f>IF(M859&gt;0, ABS(N859)*(L859-$D$16),0)</f>
        <v/>
      </c>
    </row>
    <row r="860">
      <c r="L860" s="15" t="n">
        <v>858</v>
      </c>
      <c r="M860" s="15">
        <f>IF(L860&lt;$D$16,$D$12,IF(L860&lt;$E$16,$E$12,$F$13))</f>
        <v/>
      </c>
      <c r="N860" s="15">
        <f>M860-V860</f>
        <v/>
      </c>
      <c r="O860" s="15">
        <f>IF(MOD(L860,$B$11)=0,OFFSET(O860,-$B$11,0)+ $E$2*N860+$E$3*OFFSET(N860,-$B$11,0)+ $E$4*OFFSET(N860,-2* $B$11,0), O859)</f>
        <v/>
      </c>
      <c r="P860" s="15">
        <f>INT((2^$J$12-1)*O860/100)/(2^$J$12-1)*100</f>
        <v/>
      </c>
      <c r="Q860" s="15" t="n">
        <v>0</v>
      </c>
      <c r="R860" s="15">
        <f>P860+Q860</f>
        <v/>
      </c>
      <c r="S860" s="15">
        <f>$I$1*S859-$I$2*S858+$I$3*R839+$I$4*R838</f>
        <v/>
      </c>
      <c r="T860" s="15" t="n">
        <v>0</v>
      </c>
      <c r="U860" s="15">
        <f>S860+T860</f>
        <v/>
      </c>
      <c r="V860" s="15">
        <f>INT((2^$J$12-1)*U860/100)/(2^$J$12-1)*100</f>
        <v/>
      </c>
      <c r="X860" s="15">
        <f>M860 * 1.05</f>
        <v/>
      </c>
      <c r="Y860" s="15">
        <f>M860 * 0.95</f>
        <v/>
      </c>
      <c r="Z860" s="15">
        <f>IF(AND(V860 &lt;= X860, V860 &gt;= Y860), 1, 0)</f>
        <v/>
      </c>
      <c r="AC860" s="15">
        <f>N860^2</f>
        <v/>
      </c>
      <c r="AD860" s="15">
        <f>ABS(N860)</f>
        <v/>
      </c>
      <c r="AE860" s="15">
        <f>IF(M860&gt;0, ABS(N860)*(L860-$D$16),0)</f>
        <v/>
      </c>
    </row>
    <row r="861">
      <c r="L861" s="15" t="n">
        <v>859</v>
      </c>
      <c r="M861" s="15">
        <f>IF(L861&lt;$D$16,$D$12,IF(L861&lt;$E$16,$E$12,$F$13))</f>
        <v/>
      </c>
      <c r="N861" s="15">
        <f>M861-V861</f>
        <v/>
      </c>
      <c r="O861" s="15">
        <f>IF(MOD(L861,$B$11)=0,OFFSET(O861,-$B$11,0)+ $E$2*N861+$E$3*OFFSET(N861,-$B$11,0)+ $E$4*OFFSET(N861,-2* $B$11,0), O860)</f>
        <v/>
      </c>
      <c r="P861" s="15">
        <f>INT((2^$J$12-1)*O861/100)/(2^$J$12-1)*100</f>
        <v/>
      </c>
      <c r="Q861" s="15" t="n">
        <v>0</v>
      </c>
      <c r="R861" s="15">
        <f>P861+Q861</f>
        <v/>
      </c>
      <c r="S861" s="15">
        <f>$I$1*S860-$I$2*S859+$I$3*R840+$I$4*R839</f>
        <v/>
      </c>
      <c r="T861" s="15" t="n">
        <v>0</v>
      </c>
      <c r="U861" s="15">
        <f>S861+T861</f>
        <v/>
      </c>
      <c r="V861" s="15">
        <f>INT((2^$J$12-1)*U861/100)/(2^$J$12-1)*100</f>
        <v/>
      </c>
      <c r="X861" s="15">
        <f>M861 * 1.05</f>
        <v/>
      </c>
      <c r="Y861" s="15">
        <f>M861 * 0.95</f>
        <v/>
      </c>
      <c r="Z861" s="15">
        <f>IF(AND(V861 &lt;= X861, V861 &gt;= Y861), 1, 0)</f>
        <v/>
      </c>
      <c r="AC861" s="15">
        <f>N861^2</f>
        <v/>
      </c>
      <c r="AD861" s="15">
        <f>ABS(N861)</f>
        <v/>
      </c>
      <c r="AE861" s="15">
        <f>IF(M861&gt;0, ABS(N861)*(L861-$D$16),0)</f>
        <v/>
      </c>
    </row>
    <row r="862">
      <c r="L862" s="15" t="n">
        <v>860</v>
      </c>
      <c r="M862" s="15">
        <f>IF(L862&lt;$D$16,$D$12,IF(L862&lt;$E$16,$E$12,$F$13))</f>
        <v/>
      </c>
      <c r="N862" s="15">
        <f>M862-V862</f>
        <v/>
      </c>
      <c r="O862" s="15">
        <f>IF(MOD(L862,$B$11)=0,OFFSET(O862,-$B$11,0)+ $E$2*N862+$E$3*OFFSET(N862,-$B$11,0)+ $E$4*OFFSET(N862,-2* $B$11,0), O861)</f>
        <v/>
      </c>
      <c r="P862" s="15">
        <f>INT((2^$J$12-1)*O862/100)/(2^$J$12-1)*100</f>
        <v/>
      </c>
      <c r="Q862" s="15" t="n">
        <v>0</v>
      </c>
      <c r="R862" s="15">
        <f>P862+Q862</f>
        <v/>
      </c>
      <c r="S862" s="15">
        <f>$I$1*S861-$I$2*S860+$I$3*R841+$I$4*R840</f>
        <v/>
      </c>
      <c r="T862" s="15" t="n">
        <v>0</v>
      </c>
      <c r="U862" s="15">
        <f>S862+T862</f>
        <v/>
      </c>
      <c r="V862" s="15">
        <f>INT((2^$J$12-1)*U862/100)/(2^$J$12-1)*100</f>
        <v/>
      </c>
      <c r="X862" s="15">
        <f>M862 * 1.05</f>
        <v/>
      </c>
      <c r="Y862" s="15">
        <f>M862 * 0.95</f>
        <v/>
      </c>
      <c r="Z862" s="15">
        <f>IF(AND(V862 &lt;= X862, V862 &gt;= Y862), 1, 0)</f>
        <v/>
      </c>
      <c r="AC862" s="15">
        <f>N862^2</f>
        <v/>
      </c>
      <c r="AD862" s="15">
        <f>ABS(N862)</f>
        <v/>
      </c>
      <c r="AE862" s="15">
        <f>IF(M862&gt;0, ABS(N862)*(L862-$D$16),0)</f>
        <v/>
      </c>
    </row>
    <row r="863">
      <c r="L863" s="15" t="n">
        <v>861</v>
      </c>
      <c r="M863" s="15">
        <f>IF(L863&lt;$D$16,$D$12,IF(L863&lt;$E$16,$E$12,$F$13))</f>
        <v/>
      </c>
      <c r="N863" s="15">
        <f>M863-V863</f>
        <v/>
      </c>
      <c r="O863" s="15">
        <f>IF(MOD(L863,$B$11)=0,OFFSET(O863,-$B$11,0)+ $E$2*N863+$E$3*OFFSET(N863,-$B$11,0)+ $E$4*OFFSET(N863,-2* $B$11,0), O862)</f>
        <v/>
      </c>
      <c r="P863" s="15">
        <f>INT((2^$J$12-1)*O863/100)/(2^$J$12-1)*100</f>
        <v/>
      </c>
      <c r="Q863" s="15" t="n">
        <v>0</v>
      </c>
      <c r="R863" s="15">
        <f>P863+Q863</f>
        <v/>
      </c>
      <c r="S863" s="15">
        <f>$I$1*S862-$I$2*S861+$I$3*R842+$I$4*R841</f>
        <v/>
      </c>
      <c r="T863" s="15" t="n">
        <v>0</v>
      </c>
      <c r="U863" s="15">
        <f>S863+T863</f>
        <v/>
      </c>
      <c r="V863" s="15">
        <f>INT((2^$J$12-1)*U863/100)/(2^$J$12-1)*100</f>
        <v/>
      </c>
      <c r="X863" s="15">
        <f>M863 * 1.05</f>
        <v/>
      </c>
      <c r="Y863" s="15">
        <f>M863 * 0.95</f>
        <v/>
      </c>
      <c r="Z863" s="15">
        <f>IF(AND(V863 &lt;= X863, V863 &gt;= Y863), 1, 0)</f>
        <v/>
      </c>
      <c r="AC863" s="15">
        <f>N863^2</f>
        <v/>
      </c>
      <c r="AD863" s="15">
        <f>ABS(N863)</f>
        <v/>
      </c>
      <c r="AE863" s="15">
        <f>IF(M863&gt;0, ABS(N863)*(L863-$D$16),0)</f>
        <v/>
      </c>
    </row>
    <row r="864">
      <c r="L864" s="15" t="n">
        <v>862</v>
      </c>
      <c r="M864" s="15">
        <f>IF(L864&lt;$D$16,$D$12,IF(L864&lt;$E$16,$E$12,$F$13))</f>
        <v/>
      </c>
      <c r="N864" s="15">
        <f>M864-V864</f>
        <v/>
      </c>
      <c r="O864" s="15">
        <f>IF(MOD(L864,$B$11)=0,OFFSET(O864,-$B$11,0)+ $E$2*N864+$E$3*OFFSET(N864,-$B$11,0)+ $E$4*OFFSET(N864,-2* $B$11,0), O863)</f>
        <v/>
      </c>
      <c r="P864" s="15">
        <f>INT((2^$J$12-1)*O864/100)/(2^$J$12-1)*100</f>
        <v/>
      </c>
      <c r="Q864" s="15" t="n">
        <v>0</v>
      </c>
      <c r="R864" s="15">
        <f>P864+Q864</f>
        <v/>
      </c>
      <c r="S864" s="15">
        <f>$I$1*S863-$I$2*S862+$I$3*R843+$I$4*R842</f>
        <v/>
      </c>
      <c r="T864" s="15" t="n">
        <v>0</v>
      </c>
      <c r="U864" s="15">
        <f>S864+T864</f>
        <v/>
      </c>
      <c r="V864" s="15">
        <f>INT((2^$J$12-1)*U864/100)/(2^$J$12-1)*100</f>
        <v/>
      </c>
      <c r="X864" s="15">
        <f>M864 * 1.05</f>
        <v/>
      </c>
      <c r="Y864" s="15">
        <f>M864 * 0.95</f>
        <v/>
      </c>
      <c r="Z864" s="15">
        <f>IF(AND(V864 &lt;= X864, V864 &gt;= Y864), 1, 0)</f>
        <v/>
      </c>
      <c r="AC864" s="15">
        <f>N864^2</f>
        <v/>
      </c>
      <c r="AD864" s="15">
        <f>ABS(N864)</f>
        <v/>
      </c>
      <c r="AE864" s="15">
        <f>IF(M864&gt;0, ABS(N864)*(L864-$D$16),0)</f>
        <v/>
      </c>
    </row>
    <row r="865">
      <c r="L865" s="15" t="n">
        <v>863</v>
      </c>
      <c r="M865" s="15">
        <f>IF(L865&lt;$D$16,$D$12,IF(L865&lt;$E$16,$E$12,$F$13))</f>
        <v/>
      </c>
      <c r="N865" s="15">
        <f>M865-V865</f>
        <v/>
      </c>
      <c r="O865" s="15">
        <f>IF(MOD(L865,$B$11)=0,OFFSET(O865,-$B$11,0)+ $E$2*N865+$E$3*OFFSET(N865,-$B$11,0)+ $E$4*OFFSET(N865,-2* $B$11,0), O864)</f>
        <v/>
      </c>
      <c r="P865" s="15">
        <f>INT((2^$J$12-1)*O865/100)/(2^$J$12-1)*100</f>
        <v/>
      </c>
      <c r="Q865" s="15" t="n">
        <v>0</v>
      </c>
      <c r="R865" s="15">
        <f>P865+Q865</f>
        <v/>
      </c>
      <c r="S865" s="15">
        <f>$I$1*S864-$I$2*S863+$I$3*R844+$I$4*R843</f>
        <v/>
      </c>
      <c r="T865" s="15" t="n">
        <v>0</v>
      </c>
      <c r="U865" s="15">
        <f>S865+T865</f>
        <v/>
      </c>
      <c r="V865" s="15">
        <f>INT((2^$J$12-1)*U865/100)/(2^$J$12-1)*100</f>
        <v/>
      </c>
      <c r="X865" s="15">
        <f>M865 * 1.05</f>
        <v/>
      </c>
      <c r="Y865" s="15">
        <f>M865 * 0.95</f>
        <v/>
      </c>
      <c r="Z865" s="15">
        <f>IF(AND(V865 &lt;= X865, V865 &gt;= Y865), 1, 0)</f>
        <v/>
      </c>
      <c r="AC865" s="15">
        <f>N865^2</f>
        <v/>
      </c>
      <c r="AD865" s="15">
        <f>ABS(N865)</f>
        <v/>
      </c>
      <c r="AE865" s="15">
        <f>IF(M865&gt;0, ABS(N865)*(L865-$D$16),0)</f>
        <v/>
      </c>
    </row>
    <row r="866">
      <c r="L866" s="15" t="n">
        <v>864</v>
      </c>
      <c r="M866" s="15">
        <f>IF(L866&lt;$D$16,$D$12,IF(L866&lt;$E$16,$E$12,$F$13))</f>
        <v/>
      </c>
      <c r="N866" s="15">
        <f>M866-V866</f>
        <v/>
      </c>
      <c r="O866" s="15">
        <f>IF(MOD(L866,$B$11)=0,OFFSET(O866,-$B$11,0)+ $E$2*N866+$E$3*OFFSET(N866,-$B$11,0)+ $E$4*OFFSET(N866,-2* $B$11,0), O865)</f>
        <v/>
      </c>
      <c r="P866" s="15">
        <f>INT((2^$J$12-1)*O866/100)/(2^$J$12-1)*100</f>
        <v/>
      </c>
      <c r="Q866" s="15" t="n">
        <v>0</v>
      </c>
      <c r="R866" s="15">
        <f>P866+Q866</f>
        <v/>
      </c>
      <c r="S866" s="15">
        <f>$I$1*S865-$I$2*S864+$I$3*R845+$I$4*R844</f>
        <v/>
      </c>
      <c r="T866" s="15" t="n">
        <v>0</v>
      </c>
      <c r="U866" s="15">
        <f>S866+T866</f>
        <v/>
      </c>
      <c r="V866" s="15">
        <f>INT((2^$J$12-1)*U866/100)/(2^$J$12-1)*100</f>
        <v/>
      </c>
      <c r="X866" s="15">
        <f>M866 * 1.05</f>
        <v/>
      </c>
      <c r="Y866" s="15">
        <f>M866 * 0.95</f>
        <v/>
      </c>
      <c r="Z866" s="15">
        <f>IF(AND(V866 &lt;= X866, V866 &gt;= Y866), 1, 0)</f>
        <v/>
      </c>
      <c r="AC866" s="15">
        <f>N866^2</f>
        <v/>
      </c>
      <c r="AD866" s="15">
        <f>ABS(N866)</f>
        <v/>
      </c>
      <c r="AE866" s="15">
        <f>IF(M866&gt;0, ABS(N866)*(L866-$D$16),0)</f>
        <v/>
      </c>
    </row>
    <row r="867">
      <c r="L867" s="15" t="n">
        <v>865</v>
      </c>
      <c r="M867" s="15">
        <f>IF(L867&lt;$D$16,$D$12,IF(L867&lt;$E$16,$E$12,$F$13))</f>
        <v/>
      </c>
      <c r="N867" s="15">
        <f>M867-V867</f>
        <v/>
      </c>
      <c r="O867" s="15">
        <f>IF(MOD(L867,$B$11)=0,OFFSET(O867,-$B$11,0)+ $E$2*N867+$E$3*OFFSET(N867,-$B$11,0)+ $E$4*OFFSET(N867,-2* $B$11,0), O866)</f>
        <v/>
      </c>
      <c r="P867" s="15">
        <f>INT((2^$J$12-1)*O867/100)/(2^$J$12-1)*100</f>
        <v/>
      </c>
      <c r="Q867" s="15" t="n">
        <v>0</v>
      </c>
      <c r="R867" s="15">
        <f>P867+Q867</f>
        <v/>
      </c>
      <c r="S867" s="15">
        <f>$I$1*S866-$I$2*S865+$I$3*R846+$I$4*R845</f>
        <v/>
      </c>
      <c r="T867" s="15" t="n">
        <v>0</v>
      </c>
      <c r="U867" s="15">
        <f>S867+T867</f>
        <v/>
      </c>
      <c r="V867" s="15">
        <f>INT((2^$J$12-1)*U867/100)/(2^$J$12-1)*100</f>
        <v/>
      </c>
      <c r="X867" s="15">
        <f>M867 * 1.05</f>
        <v/>
      </c>
      <c r="Y867" s="15">
        <f>M867 * 0.95</f>
        <v/>
      </c>
      <c r="Z867" s="15">
        <f>IF(AND(V867 &lt;= X867, V867 &gt;= Y867), 1, 0)</f>
        <v/>
      </c>
      <c r="AC867" s="15">
        <f>N867^2</f>
        <v/>
      </c>
      <c r="AD867" s="15">
        <f>ABS(N867)</f>
        <v/>
      </c>
      <c r="AE867" s="15">
        <f>IF(M867&gt;0, ABS(N867)*(L867-$D$16),0)</f>
        <v/>
      </c>
    </row>
    <row r="868">
      <c r="L868" s="15" t="n">
        <v>866</v>
      </c>
      <c r="M868" s="15">
        <f>IF(L868&lt;$D$16,$D$12,IF(L868&lt;$E$16,$E$12,$F$13))</f>
        <v/>
      </c>
      <c r="N868" s="15">
        <f>M868-V868</f>
        <v/>
      </c>
      <c r="O868" s="15">
        <f>IF(MOD(L868,$B$11)=0,OFFSET(O868,-$B$11,0)+ $E$2*N868+$E$3*OFFSET(N868,-$B$11,0)+ $E$4*OFFSET(N868,-2* $B$11,0), O867)</f>
        <v/>
      </c>
      <c r="P868" s="15">
        <f>INT((2^$J$12-1)*O868/100)/(2^$J$12-1)*100</f>
        <v/>
      </c>
      <c r="Q868" s="15" t="n">
        <v>0</v>
      </c>
      <c r="R868" s="15">
        <f>P868+Q868</f>
        <v/>
      </c>
      <c r="S868" s="15">
        <f>$I$1*S867-$I$2*S866+$I$3*R847+$I$4*R846</f>
        <v/>
      </c>
      <c r="T868" s="15" t="n">
        <v>0</v>
      </c>
      <c r="U868" s="15">
        <f>S868+T868</f>
        <v/>
      </c>
      <c r="V868" s="15">
        <f>INT((2^$J$12-1)*U868/100)/(2^$J$12-1)*100</f>
        <v/>
      </c>
      <c r="X868" s="15">
        <f>M868 * 1.05</f>
        <v/>
      </c>
      <c r="Y868" s="15">
        <f>M868 * 0.95</f>
        <v/>
      </c>
      <c r="Z868" s="15">
        <f>IF(AND(V868 &lt;= X868, V868 &gt;= Y868), 1, 0)</f>
        <v/>
      </c>
      <c r="AC868" s="15">
        <f>N868^2</f>
        <v/>
      </c>
      <c r="AD868" s="15">
        <f>ABS(N868)</f>
        <v/>
      </c>
      <c r="AE868" s="15">
        <f>IF(M868&gt;0, ABS(N868)*(L868-$D$16),0)</f>
        <v/>
      </c>
    </row>
    <row r="869">
      <c r="L869" s="15" t="n">
        <v>867</v>
      </c>
      <c r="M869" s="15">
        <f>IF(L869&lt;$D$16,$D$12,IF(L869&lt;$E$16,$E$12,$F$13))</f>
        <v/>
      </c>
      <c r="N869" s="15">
        <f>M869-V869</f>
        <v/>
      </c>
      <c r="O869" s="15">
        <f>IF(MOD(L869,$B$11)=0,OFFSET(O869,-$B$11,0)+ $E$2*N869+$E$3*OFFSET(N869,-$B$11,0)+ $E$4*OFFSET(N869,-2* $B$11,0), O868)</f>
        <v/>
      </c>
      <c r="P869" s="15">
        <f>INT((2^$J$12-1)*O869/100)/(2^$J$12-1)*100</f>
        <v/>
      </c>
      <c r="Q869" s="15" t="n">
        <v>0</v>
      </c>
      <c r="R869" s="15">
        <f>P869+Q869</f>
        <v/>
      </c>
      <c r="S869" s="15">
        <f>$I$1*S868-$I$2*S867+$I$3*R848+$I$4*R847</f>
        <v/>
      </c>
      <c r="T869" s="15" t="n">
        <v>0</v>
      </c>
      <c r="U869" s="15">
        <f>S869+T869</f>
        <v/>
      </c>
      <c r="V869" s="15">
        <f>INT((2^$J$12-1)*U869/100)/(2^$J$12-1)*100</f>
        <v/>
      </c>
      <c r="X869" s="15">
        <f>M869 * 1.05</f>
        <v/>
      </c>
      <c r="Y869" s="15">
        <f>M869 * 0.95</f>
        <v/>
      </c>
      <c r="Z869" s="15">
        <f>IF(AND(V869 &lt;= X869, V869 &gt;= Y869), 1, 0)</f>
        <v/>
      </c>
      <c r="AC869" s="15">
        <f>N869^2</f>
        <v/>
      </c>
      <c r="AD869" s="15">
        <f>ABS(N869)</f>
        <v/>
      </c>
      <c r="AE869" s="15">
        <f>IF(M869&gt;0, ABS(N869)*(L869-$D$16),0)</f>
        <v/>
      </c>
    </row>
    <row r="870">
      <c r="L870" s="15" t="n">
        <v>868</v>
      </c>
      <c r="M870" s="15">
        <f>IF(L870&lt;$D$16,$D$12,IF(L870&lt;$E$16,$E$12,$F$13))</f>
        <v/>
      </c>
      <c r="N870" s="15">
        <f>M870-V870</f>
        <v/>
      </c>
      <c r="O870" s="15">
        <f>IF(MOD(L870,$B$11)=0,OFFSET(O870,-$B$11,0)+ $E$2*N870+$E$3*OFFSET(N870,-$B$11,0)+ $E$4*OFFSET(N870,-2* $B$11,0), O869)</f>
        <v/>
      </c>
      <c r="P870" s="15">
        <f>INT((2^$J$12-1)*O870/100)/(2^$J$12-1)*100</f>
        <v/>
      </c>
      <c r="Q870" s="15" t="n">
        <v>0</v>
      </c>
      <c r="R870" s="15">
        <f>P870+Q870</f>
        <v/>
      </c>
      <c r="S870" s="15">
        <f>$I$1*S869-$I$2*S868+$I$3*R849+$I$4*R848</f>
        <v/>
      </c>
      <c r="T870" s="15" t="n">
        <v>0</v>
      </c>
      <c r="U870" s="15">
        <f>S870+T870</f>
        <v/>
      </c>
      <c r="V870" s="15">
        <f>INT((2^$J$12-1)*U870/100)/(2^$J$12-1)*100</f>
        <v/>
      </c>
      <c r="X870" s="15">
        <f>M870 * 1.05</f>
        <v/>
      </c>
      <c r="Y870" s="15">
        <f>M870 * 0.95</f>
        <v/>
      </c>
      <c r="Z870" s="15">
        <f>IF(AND(V870 &lt;= X870, V870 &gt;= Y870), 1, 0)</f>
        <v/>
      </c>
      <c r="AC870" s="15">
        <f>N870^2</f>
        <v/>
      </c>
      <c r="AD870" s="15">
        <f>ABS(N870)</f>
        <v/>
      </c>
      <c r="AE870" s="15">
        <f>IF(M870&gt;0, ABS(N870)*(L870-$D$16),0)</f>
        <v/>
      </c>
    </row>
    <row r="871">
      <c r="L871" s="15" t="n">
        <v>869</v>
      </c>
      <c r="M871" s="15">
        <f>IF(L871&lt;$D$16,$D$12,IF(L871&lt;$E$16,$E$12,$F$13))</f>
        <v/>
      </c>
      <c r="N871" s="15">
        <f>M871-V871</f>
        <v/>
      </c>
      <c r="O871" s="15">
        <f>IF(MOD(L871,$B$11)=0,OFFSET(O871,-$B$11,0)+ $E$2*N871+$E$3*OFFSET(N871,-$B$11,0)+ $E$4*OFFSET(N871,-2* $B$11,0), O870)</f>
        <v/>
      </c>
      <c r="P871" s="15">
        <f>INT((2^$J$12-1)*O871/100)/(2^$J$12-1)*100</f>
        <v/>
      </c>
      <c r="Q871" s="15" t="n">
        <v>0</v>
      </c>
      <c r="R871" s="15">
        <f>P871+Q871</f>
        <v/>
      </c>
      <c r="S871" s="15">
        <f>$I$1*S870-$I$2*S869+$I$3*R850+$I$4*R849</f>
        <v/>
      </c>
      <c r="T871" s="15" t="n">
        <v>0</v>
      </c>
      <c r="U871" s="15">
        <f>S871+T871</f>
        <v/>
      </c>
      <c r="V871" s="15">
        <f>INT((2^$J$12-1)*U871/100)/(2^$J$12-1)*100</f>
        <v/>
      </c>
      <c r="X871" s="15">
        <f>M871 * 1.05</f>
        <v/>
      </c>
      <c r="Y871" s="15">
        <f>M871 * 0.95</f>
        <v/>
      </c>
      <c r="Z871" s="15">
        <f>IF(AND(V871 &lt;= X871, V871 &gt;= Y871), 1, 0)</f>
        <v/>
      </c>
      <c r="AC871" s="15">
        <f>N871^2</f>
        <v/>
      </c>
      <c r="AD871" s="15">
        <f>ABS(N871)</f>
        <v/>
      </c>
      <c r="AE871" s="15">
        <f>IF(M871&gt;0, ABS(N871)*(L871-$D$16),0)</f>
        <v/>
      </c>
    </row>
    <row r="872">
      <c r="L872" s="15" t="n">
        <v>870</v>
      </c>
      <c r="M872" s="15">
        <f>IF(L872&lt;$D$16,$D$12,IF(L872&lt;$E$16,$E$12,$F$13))</f>
        <v/>
      </c>
      <c r="N872" s="15">
        <f>M872-V872</f>
        <v/>
      </c>
      <c r="O872" s="15">
        <f>IF(MOD(L872,$B$11)=0,OFFSET(O872,-$B$11,0)+ $E$2*N872+$E$3*OFFSET(N872,-$B$11,0)+ $E$4*OFFSET(N872,-2* $B$11,0), O871)</f>
        <v/>
      </c>
      <c r="P872" s="15">
        <f>INT((2^$J$12-1)*O872/100)/(2^$J$12-1)*100</f>
        <v/>
      </c>
      <c r="Q872" s="15" t="n">
        <v>0</v>
      </c>
      <c r="R872" s="15">
        <f>P872+Q872</f>
        <v/>
      </c>
      <c r="S872" s="15">
        <f>$I$1*S871-$I$2*S870+$I$3*R851+$I$4*R850</f>
        <v/>
      </c>
      <c r="T872" s="15" t="n">
        <v>0</v>
      </c>
      <c r="U872" s="15">
        <f>S872+T872</f>
        <v/>
      </c>
      <c r="V872" s="15">
        <f>INT((2^$J$12-1)*U872/100)/(2^$J$12-1)*100</f>
        <v/>
      </c>
      <c r="X872" s="15">
        <f>M872 * 1.05</f>
        <v/>
      </c>
      <c r="Y872" s="15">
        <f>M872 * 0.95</f>
        <v/>
      </c>
      <c r="Z872" s="15">
        <f>IF(AND(V872 &lt;= X872, V872 &gt;= Y872), 1, 0)</f>
        <v/>
      </c>
      <c r="AC872" s="15">
        <f>N872^2</f>
        <v/>
      </c>
      <c r="AD872" s="15">
        <f>ABS(N872)</f>
        <v/>
      </c>
      <c r="AE872" s="15">
        <f>IF(M872&gt;0, ABS(N872)*(L872-$D$16),0)</f>
        <v/>
      </c>
    </row>
    <row r="873">
      <c r="L873" s="15" t="n">
        <v>871</v>
      </c>
      <c r="M873" s="15">
        <f>IF(L873&lt;$D$16,$D$12,IF(L873&lt;$E$16,$E$12,$F$13))</f>
        <v/>
      </c>
      <c r="N873" s="15">
        <f>M873-V873</f>
        <v/>
      </c>
      <c r="O873" s="15">
        <f>IF(MOD(L873,$B$11)=0,OFFSET(O873,-$B$11,0)+ $E$2*N873+$E$3*OFFSET(N873,-$B$11,0)+ $E$4*OFFSET(N873,-2* $B$11,0), O872)</f>
        <v/>
      </c>
      <c r="P873" s="15">
        <f>INT((2^$J$12-1)*O873/100)/(2^$J$12-1)*100</f>
        <v/>
      </c>
      <c r="Q873" s="15" t="n">
        <v>0</v>
      </c>
      <c r="R873" s="15">
        <f>P873+Q873</f>
        <v/>
      </c>
      <c r="S873" s="15">
        <f>$I$1*S872-$I$2*S871+$I$3*R852+$I$4*R851</f>
        <v/>
      </c>
      <c r="T873" s="15" t="n">
        <v>0</v>
      </c>
      <c r="U873" s="15">
        <f>S873+T873</f>
        <v/>
      </c>
      <c r="V873" s="15">
        <f>INT((2^$J$12-1)*U873/100)/(2^$J$12-1)*100</f>
        <v/>
      </c>
      <c r="X873" s="15">
        <f>M873 * 1.05</f>
        <v/>
      </c>
      <c r="Y873" s="15">
        <f>M873 * 0.95</f>
        <v/>
      </c>
      <c r="Z873" s="15">
        <f>IF(AND(V873 &lt;= X873, V873 &gt;= Y873), 1, 0)</f>
        <v/>
      </c>
      <c r="AC873" s="15">
        <f>N873^2</f>
        <v/>
      </c>
      <c r="AD873" s="15">
        <f>ABS(N873)</f>
        <v/>
      </c>
      <c r="AE873" s="15">
        <f>IF(M873&gt;0, ABS(N873)*(L873-$D$16),0)</f>
        <v/>
      </c>
    </row>
    <row r="874">
      <c r="L874" s="15" t="n">
        <v>872</v>
      </c>
      <c r="M874" s="15">
        <f>IF(L874&lt;$D$16,$D$12,IF(L874&lt;$E$16,$E$12,$F$13))</f>
        <v/>
      </c>
      <c r="N874" s="15">
        <f>M874-V874</f>
        <v/>
      </c>
      <c r="O874" s="15">
        <f>IF(MOD(L874,$B$11)=0,OFFSET(O874,-$B$11,0)+ $E$2*N874+$E$3*OFFSET(N874,-$B$11,0)+ $E$4*OFFSET(N874,-2* $B$11,0), O873)</f>
        <v/>
      </c>
      <c r="P874" s="15">
        <f>INT((2^$J$12-1)*O874/100)/(2^$J$12-1)*100</f>
        <v/>
      </c>
      <c r="Q874" s="15" t="n">
        <v>0</v>
      </c>
      <c r="R874" s="15">
        <f>P874+Q874</f>
        <v/>
      </c>
      <c r="S874" s="15">
        <f>$I$1*S873-$I$2*S872+$I$3*R853+$I$4*R852</f>
        <v/>
      </c>
      <c r="T874" s="15" t="n">
        <v>0</v>
      </c>
      <c r="U874" s="15">
        <f>S874+T874</f>
        <v/>
      </c>
      <c r="V874" s="15">
        <f>INT((2^$J$12-1)*U874/100)/(2^$J$12-1)*100</f>
        <v/>
      </c>
      <c r="X874" s="15">
        <f>M874 * 1.05</f>
        <v/>
      </c>
      <c r="Y874" s="15">
        <f>M874 * 0.95</f>
        <v/>
      </c>
      <c r="Z874" s="15">
        <f>IF(AND(V874 &lt;= X874, V874 &gt;= Y874), 1, 0)</f>
        <v/>
      </c>
      <c r="AC874" s="15">
        <f>N874^2</f>
        <v/>
      </c>
      <c r="AD874" s="15">
        <f>ABS(N874)</f>
        <v/>
      </c>
      <c r="AE874" s="15">
        <f>IF(M874&gt;0, ABS(N874)*(L874-$D$16),0)</f>
        <v/>
      </c>
    </row>
    <row r="875">
      <c r="L875" s="15" t="n">
        <v>873</v>
      </c>
      <c r="M875" s="15">
        <f>IF(L875&lt;$D$16,$D$12,IF(L875&lt;$E$16,$E$12,$F$13))</f>
        <v/>
      </c>
      <c r="N875" s="15">
        <f>M875-V875</f>
        <v/>
      </c>
      <c r="O875" s="15">
        <f>IF(MOD(L875,$B$11)=0,OFFSET(O875,-$B$11,0)+ $E$2*N875+$E$3*OFFSET(N875,-$B$11,0)+ $E$4*OFFSET(N875,-2* $B$11,0), O874)</f>
        <v/>
      </c>
      <c r="P875" s="15">
        <f>INT((2^$J$12-1)*O875/100)/(2^$J$12-1)*100</f>
        <v/>
      </c>
      <c r="Q875" s="15" t="n">
        <v>0</v>
      </c>
      <c r="R875" s="15">
        <f>P875+Q875</f>
        <v/>
      </c>
      <c r="S875" s="15">
        <f>$I$1*S874-$I$2*S873+$I$3*R854+$I$4*R853</f>
        <v/>
      </c>
      <c r="T875" s="15" t="n">
        <v>0</v>
      </c>
      <c r="U875" s="15">
        <f>S875+T875</f>
        <v/>
      </c>
      <c r="V875" s="15">
        <f>INT((2^$J$12-1)*U875/100)/(2^$J$12-1)*100</f>
        <v/>
      </c>
      <c r="X875" s="15">
        <f>M875 * 1.05</f>
        <v/>
      </c>
      <c r="Y875" s="15">
        <f>M875 * 0.95</f>
        <v/>
      </c>
      <c r="Z875" s="15">
        <f>IF(AND(V875 &lt;= X875, V875 &gt;= Y875), 1, 0)</f>
        <v/>
      </c>
      <c r="AC875" s="15">
        <f>N875^2</f>
        <v/>
      </c>
      <c r="AD875" s="15">
        <f>ABS(N875)</f>
        <v/>
      </c>
      <c r="AE875" s="15">
        <f>IF(M875&gt;0, ABS(N875)*(L875-$D$16),0)</f>
        <v/>
      </c>
    </row>
    <row r="876">
      <c r="L876" s="15" t="n">
        <v>874</v>
      </c>
      <c r="M876" s="15">
        <f>IF(L876&lt;$D$16,$D$12,IF(L876&lt;$E$16,$E$12,$F$13))</f>
        <v/>
      </c>
      <c r="N876" s="15">
        <f>M876-V876</f>
        <v/>
      </c>
      <c r="O876" s="15">
        <f>IF(MOD(L876,$B$11)=0,OFFSET(O876,-$B$11,0)+ $E$2*N876+$E$3*OFFSET(N876,-$B$11,0)+ $E$4*OFFSET(N876,-2* $B$11,0), O875)</f>
        <v/>
      </c>
      <c r="P876" s="15">
        <f>INT((2^$J$12-1)*O876/100)/(2^$J$12-1)*100</f>
        <v/>
      </c>
      <c r="Q876" s="15" t="n">
        <v>0</v>
      </c>
      <c r="R876" s="15">
        <f>P876+Q876</f>
        <v/>
      </c>
      <c r="S876" s="15">
        <f>$I$1*S875-$I$2*S874+$I$3*R855+$I$4*R854</f>
        <v/>
      </c>
      <c r="T876" s="15" t="n">
        <v>0</v>
      </c>
      <c r="U876" s="15">
        <f>S876+T876</f>
        <v/>
      </c>
      <c r="V876" s="15">
        <f>INT((2^$J$12-1)*U876/100)/(2^$J$12-1)*100</f>
        <v/>
      </c>
      <c r="X876" s="15">
        <f>M876 * 1.05</f>
        <v/>
      </c>
      <c r="Y876" s="15">
        <f>M876 * 0.95</f>
        <v/>
      </c>
      <c r="Z876" s="15">
        <f>IF(AND(V876 &lt;= X876, V876 &gt;= Y876), 1, 0)</f>
        <v/>
      </c>
      <c r="AC876" s="15">
        <f>N876^2</f>
        <v/>
      </c>
      <c r="AD876" s="15">
        <f>ABS(N876)</f>
        <v/>
      </c>
      <c r="AE876" s="15">
        <f>IF(M876&gt;0, ABS(N876)*(L876-$D$16),0)</f>
        <v/>
      </c>
    </row>
    <row r="877">
      <c r="L877" s="15" t="n">
        <v>875</v>
      </c>
      <c r="M877" s="15">
        <f>IF(L877&lt;$D$16,$D$12,IF(L877&lt;$E$16,$E$12,$F$13))</f>
        <v/>
      </c>
      <c r="N877" s="15">
        <f>M877-V877</f>
        <v/>
      </c>
      <c r="O877" s="15">
        <f>IF(MOD(L877,$B$11)=0,OFFSET(O877,-$B$11,0)+ $E$2*N877+$E$3*OFFSET(N877,-$B$11,0)+ $E$4*OFFSET(N877,-2* $B$11,0), O876)</f>
        <v/>
      </c>
      <c r="P877" s="15">
        <f>INT((2^$J$12-1)*O877/100)/(2^$J$12-1)*100</f>
        <v/>
      </c>
      <c r="Q877" s="15" t="n">
        <v>0</v>
      </c>
      <c r="R877" s="15">
        <f>P877+Q877</f>
        <v/>
      </c>
      <c r="S877" s="15">
        <f>$I$1*S876-$I$2*S875+$I$3*R856+$I$4*R855</f>
        <v/>
      </c>
      <c r="T877" s="15" t="n">
        <v>0</v>
      </c>
      <c r="U877" s="15">
        <f>S877+T877</f>
        <v/>
      </c>
      <c r="V877" s="15">
        <f>INT((2^$J$12-1)*U877/100)/(2^$J$12-1)*100</f>
        <v/>
      </c>
      <c r="X877" s="15">
        <f>M877 * 1.05</f>
        <v/>
      </c>
      <c r="Y877" s="15">
        <f>M877 * 0.95</f>
        <v/>
      </c>
      <c r="Z877" s="15">
        <f>IF(AND(V877 &lt;= X877, V877 &gt;= Y877), 1, 0)</f>
        <v/>
      </c>
      <c r="AC877" s="15">
        <f>N877^2</f>
        <v/>
      </c>
      <c r="AD877" s="15">
        <f>ABS(N877)</f>
        <v/>
      </c>
      <c r="AE877" s="15">
        <f>IF(M877&gt;0, ABS(N877)*(L877-$D$16),0)</f>
        <v/>
      </c>
    </row>
    <row r="878">
      <c r="L878" s="15" t="n">
        <v>876</v>
      </c>
      <c r="M878" s="15">
        <f>IF(L878&lt;$D$16,$D$12,IF(L878&lt;$E$16,$E$12,$F$13))</f>
        <v/>
      </c>
      <c r="N878" s="15">
        <f>M878-V878</f>
        <v/>
      </c>
      <c r="O878" s="15">
        <f>IF(MOD(L878,$B$11)=0,OFFSET(O878,-$B$11,0)+ $E$2*N878+$E$3*OFFSET(N878,-$B$11,0)+ $E$4*OFFSET(N878,-2* $B$11,0), O877)</f>
        <v/>
      </c>
      <c r="P878" s="15">
        <f>INT((2^$J$12-1)*O878/100)/(2^$J$12-1)*100</f>
        <v/>
      </c>
      <c r="Q878" s="15" t="n">
        <v>0</v>
      </c>
      <c r="R878" s="15">
        <f>P878+Q878</f>
        <v/>
      </c>
      <c r="S878" s="15">
        <f>$I$1*S877-$I$2*S876+$I$3*R857+$I$4*R856</f>
        <v/>
      </c>
      <c r="T878" s="15" t="n">
        <v>0</v>
      </c>
      <c r="U878" s="15">
        <f>S878+T878</f>
        <v/>
      </c>
      <c r="V878" s="15">
        <f>INT((2^$J$12-1)*U878/100)/(2^$J$12-1)*100</f>
        <v/>
      </c>
      <c r="X878" s="15">
        <f>M878 * 1.05</f>
        <v/>
      </c>
      <c r="Y878" s="15">
        <f>M878 * 0.95</f>
        <v/>
      </c>
      <c r="Z878" s="15">
        <f>IF(AND(V878 &lt;= X878, V878 &gt;= Y878), 1, 0)</f>
        <v/>
      </c>
      <c r="AC878" s="15">
        <f>N878^2</f>
        <v/>
      </c>
      <c r="AD878" s="15">
        <f>ABS(N878)</f>
        <v/>
      </c>
      <c r="AE878" s="15">
        <f>IF(M878&gt;0, ABS(N878)*(L878-$D$16),0)</f>
        <v/>
      </c>
    </row>
    <row r="879">
      <c r="L879" s="15" t="n">
        <v>877</v>
      </c>
      <c r="M879" s="15">
        <f>IF(L879&lt;$D$16,$D$12,IF(L879&lt;$E$16,$E$12,$F$13))</f>
        <v/>
      </c>
      <c r="N879" s="15">
        <f>M879-V879</f>
        <v/>
      </c>
      <c r="O879" s="15">
        <f>IF(MOD(L879,$B$11)=0,OFFSET(O879,-$B$11,0)+ $E$2*N879+$E$3*OFFSET(N879,-$B$11,0)+ $E$4*OFFSET(N879,-2* $B$11,0), O878)</f>
        <v/>
      </c>
      <c r="P879" s="15">
        <f>INT((2^$J$12-1)*O879/100)/(2^$J$12-1)*100</f>
        <v/>
      </c>
      <c r="Q879" s="15" t="n">
        <v>0</v>
      </c>
      <c r="R879" s="15">
        <f>P879+Q879</f>
        <v/>
      </c>
      <c r="S879" s="15">
        <f>$I$1*S878-$I$2*S877+$I$3*R858+$I$4*R857</f>
        <v/>
      </c>
      <c r="T879" s="15" t="n">
        <v>0</v>
      </c>
      <c r="U879" s="15">
        <f>S879+T879</f>
        <v/>
      </c>
      <c r="V879" s="15">
        <f>INT((2^$J$12-1)*U879/100)/(2^$J$12-1)*100</f>
        <v/>
      </c>
      <c r="X879" s="15">
        <f>M879 * 1.05</f>
        <v/>
      </c>
      <c r="Y879" s="15">
        <f>M879 * 0.95</f>
        <v/>
      </c>
      <c r="Z879" s="15">
        <f>IF(AND(V879 &lt;= X879, V879 &gt;= Y879), 1, 0)</f>
        <v/>
      </c>
      <c r="AC879" s="15">
        <f>N879^2</f>
        <v/>
      </c>
      <c r="AD879" s="15">
        <f>ABS(N879)</f>
        <v/>
      </c>
      <c r="AE879" s="15">
        <f>IF(M879&gt;0, ABS(N879)*(L879-$D$16),0)</f>
        <v/>
      </c>
    </row>
    <row r="880">
      <c r="L880" s="15" t="n">
        <v>878</v>
      </c>
      <c r="M880" s="15">
        <f>IF(L880&lt;$D$16,$D$12,IF(L880&lt;$E$16,$E$12,$F$13))</f>
        <v/>
      </c>
      <c r="N880" s="15">
        <f>M880-V880</f>
        <v/>
      </c>
      <c r="O880" s="15">
        <f>IF(MOD(L880,$B$11)=0,OFFSET(O880,-$B$11,0)+ $E$2*N880+$E$3*OFFSET(N880,-$B$11,0)+ $E$4*OFFSET(N880,-2* $B$11,0), O879)</f>
        <v/>
      </c>
      <c r="P880" s="15">
        <f>INT((2^$J$12-1)*O880/100)/(2^$J$12-1)*100</f>
        <v/>
      </c>
      <c r="Q880" s="15" t="n">
        <v>0</v>
      </c>
      <c r="R880" s="15">
        <f>P880+Q880</f>
        <v/>
      </c>
      <c r="S880" s="15">
        <f>$I$1*S879-$I$2*S878+$I$3*R859+$I$4*R858</f>
        <v/>
      </c>
      <c r="T880" s="15" t="n">
        <v>0</v>
      </c>
      <c r="U880" s="15">
        <f>S880+T880</f>
        <v/>
      </c>
      <c r="V880" s="15">
        <f>INT((2^$J$12-1)*U880/100)/(2^$J$12-1)*100</f>
        <v/>
      </c>
      <c r="X880" s="15">
        <f>M880 * 1.05</f>
        <v/>
      </c>
      <c r="Y880" s="15">
        <f>M880 * 0.95</f>
        <v/>
      </c>
      <c r="Z880" s="15">
        <f>IF(AND(V880 &lt;= X880, V880 &gt;= Y880), 1, 0)</f>
        <v/>
      </c>
      <c r="AC880" s="15">
        <f>N880^2</f>
        <v/>
      </c>
      <c r="AD880" s="15">
        <f>ABS(N880)</f>
        <v/>
      </c>
      <c r="AE880" s="15">
        <f>IF(M880&gt;0, ABS(N880)*(L880-$D$16),0)</f>
        <v/>
      </c>
    </row>
    <row r="881">
      <c r="L881" s="15" t="n">
        <v>879</v>
      </c>
      <c r="M881" s="15">
        <f>IF(L881&lt;$D$16,$D$12,IF(L881&lt;$E$16,$E$12,$F$13))</f>
        <v/>
      </c>
      <c r="N881" s="15">
        <f>M881-V881</f>
        <v/>
      </c>
      <c r="O881" s="15">
        <f>IF(MOD(L881,$B$11)=0,OFFSET(O881,-$B$11,0)+ $E$2*N881+$E$3*OFFSET(N881,-$B$11,0)+ $E$4*OFFSET(N881,-2* $B$11,0), O880)</f>
        <v/>
      </c>
      <c r="P881" s="15">
        <f>INT((2^$J$12-1)*O881/100)/(2^$J$12-1)*100</f>
        <v/>
      </c>
      <c r="Q881" s="15" t="n">
        <v>0</v>
      </c>
      <c r="R881" s="15">
        <f>P881+Q881</f>
        <v/>
      </c>
      <c r="S881" s="15">
        <f>$I$1*S880-$I$2*S879+$I$3*R860+$I$4*R859</f>
        <v/>
      </c>
      <c r="T881" s="15" t="n">
        <v>0</v>
      </c>
      <c r="U881" s="15">
        <f>S881+T881</f>
        <v/>
      </c>
      <c r="V881" s="15">
        <f>INT((2^$J$12-1)*U881/100)/(2^$J$12-1)*100</f>
        <v/>
      </c>
      <c r="X881" s="15">
        <f>M881 * 1.05</f>
        <v/>
      </c>
      <c r="Y881" s="15">
        <f>M881 * 0.95</f>
        <v/>
      </c>
      <c r="Z881" s="15">
        <f>IF(AND(V881 &lt;= X881, V881 &gt;= Y881), 1, 0)</f>
        <v/>
      </c>
      <c r="AC881" s="15">
        <f>N881^2</f>
        <v/>
      </c>
      <c r="AD881" s="15">
        <f>ABS(N881)</f>
        <v/>
      </c>
      <c r="AE881" s="15">
        <f>IF(M881&gt;0, ABS(N881)*(L881-$D$16),0)</f>
        <v/>
      </c>
    </row>
    <row r="882">
      <c r="L882" s="15" t="n">
        <v>880</v>
      </c>
      <c r="M882" s="15">
        <f>IF(L882&lt;$D$16,$D$12,IF(L882&lt;$E$16,$E$12,$F$13))</f>
        <v/>
      </c>
      <c r="N882" s="15">
        <f>M882-V882</f>
        <v/>
      </c>
      <c r="O882" s="15">
        <f>IF(MOD(L882,$B$11)=0,OFFSET(O882,-$B$11,0)+ $E$2*N882+$E$3*OFFSET(N882,-$B$11,0)+ $E$4*OFFSET(N882,-2* $B$11,0), O881)</f>
        <v/>
      </c>
      <c r="P882" s="15">
        <f>INT((2^$J$12-1)*O882/100)/(2^$J$12-1)*100</f>
        <v/>
      </c>
      <c r="Q882" s="15" t="n">
        <v>0</v>
      </c>
      <c r="R882" s="15">
        <f>P882+Q882</f>
        <v/>
      </c>
      <c r="S882" s="15">
        <f>$I$1*S881-$I$2*S880+$I$3*R861+$I$4*R860</f>
        <v/>
      </c>
      <c r="T882" s="15" t="n">
        <v>0</v>
      </c>
      <c r="U882" s="15">
        <f>S882+T882</f>
        <v/>
      </c>
      <c r="V882" s="15">
        <f>INT((2^$J$12-1)*U882/100)/(2^$J$12-1)*100</f>
        <v/>
      </c>
      <c r="X882" s="15">
        <f>M882 * 1.05</f>
        <v/>
      </c>
      <c r="Y882" s="15">
        <f>M882 * 0.95</f>
        <v/>
      </c>
      <c r="Z882" s="15">
        <f>IF(AND(V882 &lt;= X882, V882 &gt;= Y882), 1, 0)</f>
        <v/>
      </c>
      <c r="AC882" s="15">
        <f>N882^2</f>
        <v/>
      </c>
      <c r="AD882" s="15">
        <f>ABS(N882)</f>
        <v/>
      </c>
      <c r="AE882" s="15">
        <f>IF(M882&gt;0, ABS(N882)*(L882-$D$16),0)</f>
        <v/>
      </c>
    </row>
    <row r="883">
      <c r="L883" s="15" t="n">
        <v>881</v>
      </c>
      <c r="M883" s="15">
        <f>IF(L883&lt;$D$16,$D$12,IF(L883&lt;$E$16,$E$12,$F$13))</f>
        <v/>
      </c>
      <c r="N883" s="15">
        <f>M883-V883</f>
        <v/>
      </c>
      <c r="O883" s="15">
        <f>IF(MOD(L883,$B$11)=0,OFFSET(O883,-$B$11,0)+ $E$2*N883+$E$3*OFFSET(N883,-$B$11,0)+ $E$4*OFFSET(N883,-2* $B$11,0), O882)</f>
        <v/>
      </c>
      <c r="P883" s="15">
        <f>INT((2^$J$12-1)*O883/100)/(2^$J$12-1)*100</f>
        <v/>
      </c>
      <c r="Q883" s="15" t="n">
        <v>0</v>
      </c>
      <c r="R883" s="15">
        <f>P883+Q883</f>
        <v/>
      </c>
      <c r="S883" s="15">
        <f>$I$1*S882-$I$2*S881+$I$3*R862+$I$4*R861</f>
        <v/>
      </c>
      <c r="T883" s="15" t="n">
        <v>0</v>
      </c>
      <c r="U883" s="15">
        <f>S883+T883</f>
        <v/>
      </c>
      <c r="V883" s="15">
        <f>INT((2^$J$12-1)*U883/100)/(2^$J$12-1)*100</f>
        <v/>
      </c>
      <c r="X883" s="15">
        <f>M883 * 1.05</f>
        <v/>
      </c>
      <c r="Y883" s="15">
        <f>M883 * 0.95</f>
        <v/>
      </c>
      <c r="Z883" s="15">
        <f>IF(AND(V883 &lt;= X883, V883 &gt;= Y883), 1, 0)</f>
        <v/>
      </c>
      <c r="AC883" s="15">
        <f>N883^2</f>
        <v/>
      </c>
      <c r="AD883" s="15">
        <f>ABS(N883)</f>
        <v/>
      </c>
      <c r="AE883" s="15">
        <f>IF(M883&gt;0, ABS(N883)*(L883-$D$16),0)</f>
        <v/>
      </c>
    </row>
    <row r="884">
      <c r="L884" s="15" t="n">
        <v>882</v>
      </c>
      <c r="M884" s="15">
        <f>IF(L884&lt;$D$16,$D$12,IF(L884&lt;$E$16,$E$12,$F$13))</f>
        <v/>
      </c>
      <c r="N884" s="15">
        <f>M884-V884</f>
        <v/>
      </c>
      <c r="O884" s="15">
        <f>IF(MOD(L884,$B$11)=0,OFFSET(O884,-$B$11,0)+ $E$2*N884+$E$3*OFFSET(N884,-$B$11,0)+ $E$4*OFFSET(N884,-2* $B$11,0), O883)</f>
        <v/>
      </c>
      <c r="P884" s="15">
        <f>INT((2^$J$12-1)*O884/100)/(2^$J$12-1)*100</f>
        <v/>
      </c>
      <c r="Q884" s="15" t="n">
        <v>0</v>
      </c>
      <c r="R884" s="15">
        <f>P884+Q884</f>
        <v/>
      </c>
      <c r="S884" s="15">
        <f>$I$1*S883-$I$2*S882+$I$3*R863+$I$4*R862</f>
        <v/>
      </c>
      <c r="T884" s="15" t="n">
        <v>0</v>
      </c>
      <c r="U884" s="15">
        <f>S884+T884</f>
        <v/>
      </c>
      <c r="V884" s="15">
        <f>INT((2^$J$12-1)*U884/100)/(2^$J$12-1)*100</f>
        <v/>
      </c>
      <c r="X884" s="15">
        <f>M884 * 1.05</f>
        <v/>
      </c>
      <c r="Y884" s="15">
        <f>M884 * 0.95</f>
        <v/>
      </c>
      <c r="Z884" s="15">
        <f>IF(AND(V884 &lt;= X884, V884 &gt;= Y884), 1, 0)</f>
        <v/>
      </c>
      <c r="AC884" s="15">
        <f>N884^2</f>
        <v/>
      </c>
      <c r="AD884" s="15">
        <f>ABS(N884)</f>
        <v/>
      </c>
      <c r="AE884" s="15">
        <f>IF(M884&gt;0, ABS(N884)*(L884-$D$16),0)</f>
        <v/>
      </c>
    </row>
    <row r="885">
      <c r="L885" s="15" t="n">
        <v>883</v>
      </c>
      <c r="M885" s="15">
        <f>IF(L885&lt;$D$16,$D$12,IF(L885&lt;$E$16,$E$12,$F$13))</f>
        <v/>
      </c>
      <c r="N885" s="15">
        <f>M885-V885</f>
        <v/>
      </c>
      <c r="O885" s="15">
        <f>IF(MOD(L885,$B$11)=0,OFFSET(O885,-$B$11,0)+ $E$2*N885+$E$3*OFFSET(N885,-$B$11,0)+ $E$4*OFFSET(N885,-2* $B$11,0), O884)</f>
        <v/>
      </c>
      <c r="P885" s="15">
        <f>INT((2^$J$12-1)*O885/100)/(2^$J$12-1)*100</f>
        <v/>
      </c>
      <c r="Q885" s="15" t="n">
        <v>0</v>
      </c>
      <c r="R885" s="15">
        <f>P885+Q885</f>
        <v/>
      </c>
      <c r="S885" s="15">
        <f>$I$1*S884-$I$2*S883+$I$3*R864+$I$4*R863</f>
        <v/>
      </c>
      <c r="T885" s="15" t="n">
        <v>0</v>
      </c>
      <c r="U885" s="15">
        <f>S885+T885</f>
        <v/>
      </c>
      <c r="V885" s="15">
        <f>INT((2^$J$12-1)*U885/100)/(2^$J$12-1)*100</f>
        <v/>
      </c>
      <c r="X885" s="15">
        <f>M885 * 1.05</f>
        <v/>
      </c>
      <c r="Y885" s="15">
        <f>M885 * 0.95</f>
        <v/>
      </c>
      <c r="Z885" s="15">
        <f>IF(AND(V885 &lt;= X885, V885 &gt;= Y885), 1, 0)</f>
        <v/>
      </c>
      <c r="AC885" s="15">
        <f>N885^2</f>
        <v/>
      </c>
      <c r="AD885" s="15">
        <f>ABS(N885)</f>
        <v/>
      </c>
      <c r="AE885" s="15">
        <f>IF(M885&gt;0, ABS(N885)*(L885-$D$16),0)</f>
        <v/>
      </c>
    </row>
    <row r="886">
      <c r="L886" s="15" t="n">
        <v>884</v>
      </c>
      <c r="M886" s="15">
        <f>IF(L886&lt;$D$16,$D$12,IF(L886&lt;$E$16,$E$12,$F$13))</f>
        <v/>
      </c>
      <c r="N886" s="15">
        <f>M886-V886</f>
        <v/>
      </c>
      <c r="O886" s="15">
        <f>IF(MOD(L886,$B$11)=0,OFFSET(O886,-$B$11,0)+ $E$2*N886+$E$3*OFFSET(N886,-$B$11,0)+ $E$4*OFFSET(N886,-2* $B$11,0), O885)</f>
        <v/>
      </c>
      <c r="P886" s="15">
        <f>INT((2^$J$12-1)*O886/100)/(2^$J$12-1)*100</f>
        <v/>
      </c>
      <c r="Q886" s="15" t="n">
        <v>0</v>
      </c>
      <c r="R886" s="15">
        <f>P886+Q886</f>
        <v/>
      </c>
      <c r="S886" s="15">
        <f>$I$1*S885-$I$2*S884+$I$3*R865+$I$4*R864</f>
        <v/>
      </c>
      <c r="T886" s="15" t="n">
        <v>0</v>
      </c>
      <c r="U886" s="15">
        <f>S886+T886</f>
        <v/>
      </c>
      <c r="V886" s="15">
        <f>INT((2^$J$12-1)*U886/100)/(2^$J$12-1)*100</f>
        <v/>
      </c>
      <c r="X886" s="15">
        <f>M886 * 1.05</f>
        <v/>
      </c>
      <c r="Y886" s="15">
        <f>M886 * 0.95</f>
        <v/>
      </c>
      <c r="Z886" s="15">
        <f>IF(AND(V886 &lt;= X886, V886 &gt;= Y886), 1, 0)</f>
        <v/>
      </c>
      <c r="AC886" s="15">
        <f>N886^2</f>
        <v/>
      </c>
      <c r="AD886" s="15">
        <f>ABS(N886)</f>
        <v/>
      </c>
      <c r="AE886" s="15">
        <f>IF(M886&gt;0, ABS(N886)*(L886-$D$16),0)</f>
        <v/>
      </c>
    </row>
    <row r="887">
      <c r="L887" s="15" t="n">
        <v>885</v>
      </c>
      <c r="M887" s="15">
        <f>IF(L887&lt;$D$16,$D$12,IF(L887&lt;$E$16,$E$12,$F$13))</f>
        <v/>
      </c>
      <c r="N887" s="15">
        <f>M887-V887</f>
        <v/>
      </c>
      <c r="O887" s="15">
        <f>IF(MOD(L887,$B$11)=0,OFFSET(O887,-$B$11,0)+ $E$2*N887+$E$3*OFFSET(N887,-$B$11,0)+ $E$4*OFFSET(N887,-2* $B$11,0), O886)</f>
        <v/>
      </c>
      <c r="P887" s="15">
        <f>INT((2^$J$12-1)*O887/100)/(2^$J$12-1)*100</f>
        <v/>
      </c>
      <c r="Q887" s="15" t="n">
        <v>0</v>
      </c>
      <c r="R887" s="15">
        <f>P887+Q887</f>
        <v/>
      </c>
      <c r="S887" s="15">
        <f>$I$1*S886-$I$2*S885+$I$3*R866+$I$4*R865</f>
        <v/>
      </c>
      <c r="T887" s="15" t="n">
        <v>0</v>
      </c>
      <c r="U887" s="15">
        <f>S887+T887</f>
        <v/>
      </c>
      <c r="V887" s="15">
        <f>INT((2^$J$12-1)*U887/100)/(2^$J$12-1)*100</f>
        <v/>
      </c>
      <c r="X887" s="15">
        <f>M887 * 1.05</f>
        <v/>
      </c>
      <c r="Y887" s="15">
        <f>M887 * 0.95</f>
        <v/>
      </c>
      <c r="Z887" s="15">
        <f>IF(AND(V887 &lt;= X887, V887 &gt;= Y887), 1, 0)</f>
        <v/>
      </c>
      <c r="AC887" s="15">
        <f>N887^2</f>
        <v/>
      </c>
      <c r="AD887" s="15">
        <f>ABS(N887)</f>
        <v/>
      </c>
      <c r="AE887" s="15">
        <f>IF(M887&gt;0, ABS(N887)*(L887-$D$16),0)</f>
        <v/>
      </c>
    </row>
    <row r="888">
      <c r="L888" s="15" t="n">
        <v>886</v>
      </c>
      <c r="M888" s="15">
        <f>IF(L888&lt;$D$16,$D$12,IF(L888&lt;$E$16,$E$12,$F$13))</f>
        <v/>
      </c>
      <c r="N888" s="15">
        <f>M888-V888</f>
        <v/>
      </c>
      <c r="O888" s="15">
        <f>IF(MOD(L888,$B$11)=0,OFFSET(O888,-$B$11,0)+ $E$2*N888+$E$3*OFFSET(N888,-$B$11,0)+ $E$4*OFFSET(N888,-2* $B$11,0), O887)</f>
        <v/>
      </c>
      <c r="P888" s="15">
        <f>INT((2^$J$12-1)*O888/100)/(2^$J$12-1)*100</f>
        <v/>
      </c>
      <c r="Q888" s="15" t="n">
        <v>0</v>
      </c>
      <c r="R888" s="15">
        <f>P888+Q888</f>
        <v/>
      </c>
      <c r="S888" s="15">
        <f>$I$1*S887-$I$2*S886+$I$3*R867+$I$4*R866</f>
        <v/>
      </c>
      <c r="T888" s="15" t="n">
        <v>0</v>
      </c>
      <c r="U888" s="15">
        <f>S888+T888</f>
        <v/>
      </c>
      <c r="V888" s="15">
        <f>INT((2^$J$12-1)*U888/100)/(2^$J$12-1)*100</f>
        <v/>
      </c>
      <c r="X888" s="15">
        <f>M888 * 1.05</f>
        <v/>
      </c>
      <c r="Y888" s="15">
        <f>M888 * 0.95</f>
        <v/>
      </c>
      <c r="Z888" s="15">
        <f>IF(AND(V888 &lt;= X888, V888 &gt;= Y888), 1, 0)</f>
        <v/>
      </c>
      <c r="AC888" s="15">
        <f>N888^2</f>
        <v/>
      </c>
      <c r="AD888" s="15">
        <f>ABS(N888)</f>
        <v/>
      </c>
      <c r="AE888" s="15">
        <f>IF(M888&gt;0, ABS(N888)*(L888-$D$16),0)</f>
        <v/>
      </c>
    </row>
    <row r="889">
      <c r="L889" s="15" t="n">
        <v>887</v>
      </c>
      <c r="M889" s="15">
        <f>IF(L889&lt;$D$16,$D$12,IF(L889&lt;$E$16,$E$12,$F$13))</f>
        <v/>
      </c>
      <c r="N889" s="15">
        <f>M889-V889</f>
        <v/>
      </c>
      <c r="O889" s="15">
        <f>IF(MOD(L889,$B$11)=0,OFFSET(O889,-$B$11,0)+ $E$2*N889+$E$3*OFFSET(N889,-$B$11,0)+ $E$4*OFFSET(N889,-2* $B$11,0), O888)</f>
        <v/>
      </c>
      <c r="P889" s="15">
        <f>INT((2^$J$12-1)*O889/100)/(2^$J$12-1)*100</f>
        <v/>
      </c>
      <c r="Q889" s="15" t="n">
        <v>0</v>
      </c>
      <c r="R889" s="15">
        <f>P889+Q889</f>
        <v/>
      </c>
      <c r="S889" s="15">
        <f>$I$1*S888-$I$2*S887+$I$3*R868+$I$4*R867</f>
        <v/>
      </c>
      <c r="T889" s="15" t="n">
        <v>0</v>
      </c>
      <c r="U889" s="15">
        <f>S889+T889</f>
        <v/>
      </c>
      <c r="V889" s="15">
        <f>INT((2^$J$12-1)*U889/100)/(2^$J$12-1)*100</f>
        <v/>
      </c>
      <c r="X889" s="15">
        <f>M889 * 1.05</f>
        <v/>
      </c>
      <c r="Y889" s="15">
        <f>M889 * 0.95</f>
        <v/>
      </c>
      <c r="Z889" s="15">
        <f>IF(AND(V889 &lt;= X889, V889 &gt;= Y889), 1, 0)</f>
        <v/>
      </c>
      <c r="AC889" s="15">
        <f>N889^2</f>
        <v/>
      </c>
      <c r="AD889" s="15">
        <f>ABS(N889)</f>
        <v/>
      </c>
      <c r="AE889" s="15">
        <f>IF(M889&gt;0, ABS(N889)*(L889-$D$16),0)</f>
        <v/>
      </c>
    </row>
    <row r="890">
      <c r="L890" s="15" t="n">
        <v>888</v>
      </c>
      <c r="M890" s="15">
        <f>IF(L890&lt;$D$16,$D$12,IF(L890&lt;$E$16,$E$12,$F$13))</f>
        <v/>
      </c>
      <c r="N890" s="15">
        <f>M890-V890</f>
        <v/>
      </c>
      <c r="O890" s="15">
        <f>IF(MOD(L890,$B$11)=0,OFFSET(O890,-$B$11,0)+ $E$2*N890+$E$3*OFFSET(N890,-$B$11,0)+ $E$4*OFFSET(N890,-2* $B$11,0), O889)</f>
        <v/>
      </c>
      <c r="P890" s="15">
        <f>INT((2^$J$12-1)*O890/100)/(2^$J$12-1)*100</f>
        <v/>
      </c>
      <c r="Q890" s="15" t="n">
        <v>0</v>
      </c>
      <c r="R890" s="15">
        <f>P890+Q890</f>
        <v/>
      </c>
      <c r="S890" s="15">
        <f>$I$1*S889-$I$2*S888+$I$3*R869+$I$4*R868</f>
        <v/>
      </c>
      <c r="T890" s="15" t="n">
        <v>0</v>
      </c>
      <c r="U890" s="15">
        <f>S890+T890</f>
        <v/>
      </c>
      <c r="V890" s="15">
        <f>INT((2^$J$12-1)*U890/100)/(2^$J$12-1)*100</f>
        <v/>
      </c>
      <c r="X890" s="15">
        <f>M890 * 1.05</f>
        <v/>
      </c>
      <c r="Y890" s="15">
        <f>M890 * 0.95</f>
        <v/>
      </c>
      <c r="Z890" s="15">
        <f>IF(AND(V890 &lt;= X890, V890 &gt;= Y890), 1, 0)</f>
        <v/>
      </c>
      <c r="AC890" s="15">
        <f>N890^2</f>
        <v/>
      </c>
      <c r="AD890" s="15">
        <f>ABS(N890)</f>
        <v/>
      </c>
      <c r="AE890" s="15">
        <f>IF(M890&gt;0, ABS(N890)*(L890-$D$16),0)</f>
        <v/>
      </c>
    </row>
    <row r="891">
      <c r="L891" s="15" t="n">
        <v>889</v>
      </c>
      <c r="M891" s="15">
        <f>IF(L891&lt;$D$16,$D$12,IF(L891&lt;$E$16,$E$12,$F$13))</f>
        <v/>
      </c>
      <c r="N891" s="15">
        <f>M891-V891</f>
        <v/>
      </c>
      <c r="O891" s="15">
        <f>IF(MOD(L891,$B$11)=0,OFFSET(O891,-$B$11,0)+ $E$2*N891+$E$3*OFFSET(N891,-$B$11,0)+ $E$4*OFFSET(N891,-2* $B$11,0), O890)</f>
        <v/>
      </c>
      <c r="P891" s="15">
        <f>INT((2^$J$12-1)*O891/100)/(2^$J$12-1)*100</f>
        <v/>
      </c>
      <c r="Q891" s="15" t="n">
        <v>0</v>
      </c>
      <c r="R891" s="15">
        <f>P891+Q891</f>
        <v/>
      </c>
      <c r="S891" s="15">
        <f>$I$1*S890-$I$2*S889+$I$3*R870+$I$4*R869</f>
        <v/>
      </c>
      <c r="T891" s="15" t="n">
        <v>0</v>
      </c>
      <c r="U891" s="15">
        <f>S891+T891</f>
        <v/>
      </c>
      <c r="V891" s="15">
        <f>INT((2^$J$12-1)*U891/100)/(2^$J$12-1)*100</f>
        <v/>
      </c>
      <c r="X891" s="15">
        <f>M891 * 1.05</f>
        <v/>
      </c>
      <c r="Y891" s="15">
        <f>M891 * 0.95</f>
        <v/>
      </c>
      <c r="Z891" s="15">
        <f>IF(AND(V891 &lt;= X891, V891 &gt;= Y891), 1, 0)</f>
        <v/>
      </c>
      <c r="AC891" s="15">
        <f>N891^2</f>
        <v/>
      </c>
      <c r="AD891" s="15">
        <f>ABS(N891)</f>
        <v/>
      </c>
      <c r="AE891" s="15">
        <f>IF(M891&gt;0, ABS(N891)*(L891-$D$16),0)</f>
        <v/>
      </c>
    </row>
    <row r="892">
      <c r="L892" s="15" t="n">
        <v>890</v>
      </c>
      <c r="M892" s="15">
        <f>IF(L892&lt;$D$16,$D$12,IF(L892&lt;$E$16,$E$12,$F$13))</f>
        <v/>
      </c>
      <c r="N892" s="15">
        <f>M892-V892</f>
        <v/>
      </c>
      <c r="O892" s="15">
        <f>IF(MOD(L892,$B$11)=0,OFFSET(O892,-$B$11,0)+ $E$2*N892+$E$3*OFFSET(N892,-$B$11,0)+ $E$4*OFFSET(N892,-2* $B$11,0), O891)</f>
        <v/>
      </c>
      <c r="P892" s="15">
        <f>INT((2^$J$12-1)*O892/100)/(2^$J$12-1)*100</f>
        <v/>
      </c>
      <c r="Q892" s="15" t="n">
        <v>0</v>
      </c>
      <c r="R892" s="15">
        <f>P892+Q892</f>
        <v/>
      </c>
      <c r="S892" s="15">
        <f>$I$1*S891-$I$2*S890+$I$3*R871+$I$4*R870</f>
        <v/>
      </c>
      <c r="T892" s="15" t="n">
        <v>0</v>
      </c>
      <c r="U892" s="15">
        <f>S892+T892</f>
        <v/>
      </c>
      <c r="V892" s="15">
        <f>INT((2^$J$12-1)*U892/100)/(2^$J$12-1)*100</f>
        <v/>
      </c>
      <c r="X892" s="15">
        <f>M892 * 1.05</f>
        <v/>
      </c>
      <c r="Y892" s="15">
        <f>M892 * 0.95</f>
        <v/>
      </c>
      <c r="Z892" s="15">
        <f>IF(AND(V892 &lt;= X892, V892 &gt;= Y892), 1, 0)</f>
        <v/>
      </c>
      <c r="AC892" s="15">
        <f>N892^2</f>
        <v/>
      </c>
      <c r="AD892" s="15">
        <f>ABS(N892)</f>
        <v/>
      </c>
      <c r="AE892" s="15">
        <f>IF(M892&gt;0, ABS(N892)*(L892-$D$16),0)</f>
        <v/>
      </c>
    </row>
    <row r="893">
      <c r="L893" s="15" t="n">
        <v>891</v>
      </c>
      <c r="M893" s="15">
        <f>IF(L893&lt;$D$16,$D$12,IF(L893&lt;$E$16,$E$12,$F$13))</f>
        <v/>
      </c>
      <c r="N893" s="15">
        <f>M893-V893</f>
        <v/>
      </c>
      <c r="O893" s="15">
        <f>IF(MOD(L893,$B$11)=0,OFFSET(O893,-$B$11,0)+ $E$2*N893+$E$3*OFFSET(N893,-$B$11,0)+ $E$4*OFFSET(N893,-2* $B$11,0), O892)</f>
        <v/>
      </c>
      <c r="P893" s="15">
        <f>INT((2^$J$12-1)*O893/100)/(2^$J$12-1)*100</f>
        <v/>
      </c>
      <c r="Q893" s="15" t="n">
        <v>0</v>
      </c>
      <c r="R893" s="15">
        <f>P893+Q893</f>
        <v/>
      </c>
      <c r="S893" s="15">
        <f>$I$1*S892-$I$2*S891+$I$3*R872+$I$4*R871</f>
        <v/>
      </c>
      <c r="T893" s="15" t="n">
        <v>0</v>
      </c>
      <c r="U893" s="15">
        <f>S893+T893</f>
        <v/>
      </c>
      <c r="V893" s="15">
        <f>INT((2^$J$12-1)*U893/100)/(2^$J$12-1)*100</f>
        <v/>
      </c>
      <c r="X893" s="15">
        <f>M893 * 1.05</f>
        <v/>
      </c>
      <c r="Y893" s="15">
        <f>M893 * 0.95</f>
        <v/>
      </c>
      <c r="Z893" s="15">
        <f>IF(AND(V893 &lt;= X893, V893 &gt;= Y893), 1, 0)</f>
        <v/>
      </c>
      <c r="AC893" s="15">
        <f>N893^2</f>
        <v/>
      </c>
      <c r="AD893" s="15">
        <f>ABS(N893)</f>
        <v/>
      </c>
      <c r="AE893" s="15">
        <f>IF(M893&gt;0, ABS(N893)*(L893-$D$16),0)</f>
        <v/>
      </c>
    </row>
    <row r="894">
      <c r="L894" s="15" t="n">
        <v>892</v>
      </c>
      <c r="M894" s="15">
        <f>IF(L894&lt;$D$16,$D$12,IF(L894&lt;$E$16,$E$12,$F$13))</f>
        <v/>
      </c>
      <c r="N894" s="15">
        <f>M894-V894</f>
        <v/>
      </c>
      <c r="O894" s="15">
        <f>IF(MOD(L894,$B$11)=0,OFFSET(O894,-$B$11,0)+ $E$2*N894+$E$3*OFFSET(N894,-$B$11,0)+ $E$4*OFFSET(N894,-2* $B$11,0), O893)</f>
        <v/>
      </c>
      <c r="P894" s="15">
        <f>INT((2^$J$12-1)*O894/100)/(2^$J$12-1)*100</f>
        <v/>
      </c>
      <c r="Q894" s="15" t="n">
        <v>0</v>
      </c>
      <c r="R894" s="15">
        <f>P894+Q894</f>
        <v/>
      </c>
      <c r="S894" s="15">
        <f>$I$1*S893-$I$2*S892+$I$3*R873+$I$4*R872</f>
        <v/>
      </c>
      <c r="T894" s="15" t="n">
        <v>0</v>
      </c>
      <c r="U894" s="15">
        <f>S894+T894</f>
        <v/>
      </c>
      <c r="V894" s="15">
        <f>INT((2^$J$12-1)*U894/100)/(2^$J$12-1)*100</f>
        <v/>
      </c>
      <c r="X894" s="15">
        <f>M894 * 1.05</f>
        <v/>
      </c>
      <c r="Y894" s="15">
        <f>M894 * 0.95</f>
        <v/>
      </c>
      <c r="Z894" s="15">
        <f>IF(AND(V894 &lt;= X894, V894 &gt;= Y894), 1, 0)</f>
        <v/>
      </c>
      <c r="AC894" s="15">
        <f>N894^2</f>
        <v/>
      </c>
      <c r="AD894" s="15">
        <f>ABS(N894)</f>
        <v/>
      </c>
      <c r="AE894" s="15">
        <f>IF(M894&gt;0, ABS(N894)*(L894-$D$16),0)</f>
        <v/>
      </c>
    </row>
    <row r="895">
      <c r="L895" s="15" t="n">
        <v>893</v>
      </c>
      <c r="M895" s="15">
        <f>IF(L895&lt;$D$16,$D$12,IF(L895&lt;$E$16,$E$12,$F$13))</f>
        <v/>
      </c>
      <c r="N895" s="15">
        <f>M895-V895</f>
        <v/>
      </c>
      <c r="O895" s="15">
        <f>IF(MOD(L895,$B$11)=0,OFFSET(O895,-$B$11,0)+ $E$2*N895+$E$3*OFFSET(N895,-$B$11,0)+ $E$4*OFFSET(N895,-2* $B$11,0), O894)</f>
        <v/>
      </c>
      <c r="P895" s="15">
        <f>INT((2^$J$12-1)*O895/100)/(2^$J$12-1)*100</f>
        <v/>
      </c>
      <c r="Q895" s="15" t="n">
        <v>0</v>
      </c>
      <c r="R895" s="15">
        <f>P895+Q895</f>
        <v/>
      </c>
      <c r="S895" s="15">
        <f>$I$1*S894-$I$2*S893+$I$3*R874+$I$4*R873</f>
        <v/>
      </c>
      <c r="T895" s="15" t="n">
        <v>0</v>
      </c>
      <c r="U895" s="15">
        <f>S895+T895</f>
        <v/>
      </c>
      <c r="V895" s="15">
        <f>INT((2^$J$12-1)*U895/100)/(2^$J$12-1)*100</f>
        <v/>
      </c>
      <c r="X895" s="15">
        <f>M895 * 1.05</f>
        <v/>
      </c>
      <c r="Y895" s="15">
        <f>M895 * 0.95</f>
        <v/>
      </c>
      <c r="Z895" s="15">
        <f>IF(AND(V895 &lt;= X895, V895 &gt;= Y895), 1, 0)</f>
        <v/>
      </c>
      <c r="AC895" s="15">
        <f>N895^2</f>
        <v/>
      </c>
      <c r="AD895" s="15">
        <f>ABS(N895)</f>
        <v/>
      </c>
      <c r="AE895" s="15">
        <f>IF(M895&gt;0, ABS(N895)*(L895-$D$16),0)</f>
        <v/>
      </c>
    </row>
    <row r="896">
      <c r="L896" s="15" t="n">
        <v>894</v>
      </c>
      <c r="M896" s="15">
        <f>IF(L896&lt;$D$16,$D$12,IF(L896&lt;$E$16,$E$12,$F$13))</f>
        <v/>
      </c>
      <c r="N896" s="15">
        <f>M896-V896</f>
        <v/>
      </c>
      <c r="O896" s="15">
        <f>IF(MOD(L896,$B$11)=0,OFFSET(O896,-$B$11,0)+ $E$2*N896+$E$3*OFFSET(N896,-$B$11,0)+ $E$4*OFFSET(N896,-2* $B$11,0), O895)</f>
        <v/>
      </c>
      <c r="P896" s="15">
        <f>INT((2^$J$12-1)*O896/100)/(2^$J$12-1)*100</f>
        <v/>
      </c>
      <c r="Q896" s="15" t="n">
        <v>0</v>
      </c>
      <c r="R896" s="15">
        <f>P896+Q896</f>
        <v/>
      </c>
      <c r="S896" s="15">
        <f>$I$1*S895-$I$2*S894+$I$3*R875+$I$4*R874</f>
        <v/>
      </c>
      <c r="T896" s="15" t="n">
        <v>0</v>
      </c>
      <c r="U896" s="15">
        <f>S896+T896</f>
        <v/>
      </c>
      <c r="V896" s="15">
        <f>INT((2^$J$12-1)*U896/100)/(2^$J$12-1)*100</f>
        <v/>
      </c>
      <c r="X896" s="15">
        <f>M896 * 1.05</f>
        <v/>
      </c>
      <c r="Y896" s="15">
        <f>M896 * 0.95</f>
        <v/>
      </c>
      <c r="Z896" s="15">
        <f>IF(AND(V896 &lt;= X896, V896 &gt;= Y896), 1, 0)</f>
        <v/>
      </c>
      <c r="AC896" s="15">
        <f>N896^2</f>
        <v/>
      </c>
      <c r="AD896" s="15">
        <f>ABS(N896)</f>
        <v/>
      </c>
      <c r="AE896" s="15">
        <f>IF(M896&gt;0, ABS(N896)*(L896-$D$16),0)</f>
        <v/>
      </c>
    </row>
    <row r="897">
      <c r="L897" s="15" t="n">
        <v>895</v>
      </c>
      <c r="M897" s="15">
        <f>IF(L897&lt;$D$16,$D$12,IF(L897&lt;$E$16,$E$12,$F$13))</f>
        <v/>
      </c>
      <c r="N897" s="15">
        <f>M897-V897</f>
        <v/>
      </c>
      <c r="O897" s="15">
        <f>IF(MOD(L897,$B$11)=0,OFFSET(O897,-$B$11,0)+ $E$2*N897+$E$3*OFFSET(N897,-$B$11,0)+ $E$4*OFFSET(N897,-2* $B$11,0), O896)</f>
        <v/>
      </c>
      <c r="P897" s="15">
        <f>INT((2^$J$12-1)*O897/100)/(2^$J$12-1)*100</f>
        <v/>
      </c>
      <c r="Q897" s="15" t="n">
        <v>0</v>
      </c>
      <c r="R897" s="15">
        <f>P897+Q897</f>
        <v/>
      </c>
      <c r="S897" s="15">
        <f>$I$1*S896-$I$2*S895+$I$3*R876+$I$4*R875</f>
        <v/>
      </c>
      <c r="T897" s="15" t="n">
        <v>0</v>
      </c>
      <c r="U897" s="15">
        <f>S897+T897</f>
        <v/>
      </c>
      <c r="V897" s="15">
        <f>INT((2^$J$12-1)*U897/100)/(2^$J$12-1)*100</f>
        <v/>
      </c>
      <c r="X897" s="15">
        <f>M897 * 1.05</f>
        <v/>
      </c>
      <c r="Y897" s="15">
        <f>M897 * 0.95</f>
        <v/>
      </c>
      <c r="Z897" s="15">
        <f>IF(AND(V897 &lt;= X897, V897 &gt;= Y897), 1, 0)</f>
        <v/>
      </c>
      <c r="AC897" s="15">
        <f>N897^2</f>
        <v/>
      </c>
      <c r="AD897" s="15">
        <f>ABS(N897)</f>
        <v/>
      </c>
      <c r="AE897" s="15">
        <f>IF(M897&gt;0, ABS(N897)*(L897-$D$16),0)</f>
        <v/>
      </c>
    </row>
    <row r="898">
      <c r="L898" s="15" t="n">
        <v>896</v>
      </c>
      <c r="M898" s="15">
        <f>IF(L898&lt;$D$16,$D$12,IF(L898&lt;$E$16,$E$12,$F$13))</f>
        <v/>
      </c>
      <c r="N898" s="15">
        <f>M898-V898</f>
        <v/>
      </c>
      <c r="O898" s="15">
        <f>IF(MOD(L898,$B$11)=0,OFFSET(O898,-$B$11,0)+ $E$2*N898+$E$3*OFFSET(N898,-$B$11,0)+ $E$4*OFFSET(N898,-2* $B$11,0), O897)</f>
        <v/>
      </c>
      <c r="P898" s="15">
        <f>INT((2^$J$12-1)*O898/100)/(2^$J$12-1)*100</f>
        <v/>
      </c>
      <c r="Q898" s="15" t="n">
        <v>0</v>
      </c>
      <c r="R898" s="15">
        <f>P898+Q898</f>
        <v/>
      </c>
      <c r="S898" s="15">
        <f>$I$1*S897-$I$2*S896+$I$3*R877+$I$4*R876</f>
        <v/>
      </c>
      <c r="T898" s="15" t="n">
        <v>0</v>
      </c>
      <c r="U898" s="15">
        <f>S898+T898</f>
        <v/>
      </c>
      <c r="V898" s="15">
        <f>INT((2^$J$12-1)*U898/100)/(2^$J$12-1)*100</f>
        <v/>
      </c>
      <c r="X898" s="15">
        <f>M898 * 1.05</f>
        <v/>
      </c>
      <c r="Y898" s="15">
        <f>M898 * 0.95</f>
        <v/>
      </c>
      <c r="Z898" s="15">
        <f>IF(AND(V898 &lt;= X898, V898 &gt;= Y898), 1, 0)</f>
        <v/>
      </c>
      <c r="AC898" s="15">
        <f>N898^2</f>
        <v/>
      </c>
      <c r="AD898" s="15">
        <f>ABS(N898)</f>
        <v/>
      </c>
      <c r="AE898" s="15">
        <f>IF(M898&gt;0, ABS(N898)*(L898-$D$16),0)</f>
        <v/>
      </c>
    </row>
    <row r="899">
      <c r="L899" s="15" t="n">
        <v>897</v>
      </c>
      <c r="M899" s="15">
        <f>IF(L899&lt;$D$16,$D$12,IF(L899&lt;$E$16,$E$12,$F$13))</f>
        <v/>
      </c>
      <c r="N899" s="15">
        <f>M899-V899</f>
        <v/>
      </c>
      <c r="O899" s="15">
        <f>IF(MOD(L899,$B$11)=0,OFFSET(O899,-$B$11,0)+ $E$2*N899+$E$3*OFFSET(N899,-$B$11,0)+ $E$4*OFFSET(N899,-2* $B$11,0), O898)</f>
        <v/>
      </c>
      <c r="P899" s="15">
        <f>INT((2^$J$12-1)*O899/100)/(2^$J$12-1)*100</f>
        <v/>
      </c>
      <c r="Q899" s="15" t="n">
        <v>0</v>
      </c>
      <c r="R899" s="15">
        <f>P899+Q899</f>
        <v/>
      </c>
      <c r="S899" s="15">
        <f>$I$1*S898-$I$2*S897+$I$3*R878+$I$4*R877</f>
        <v/>
      </c>
      <c r="T899" s="15" t="n">
        <v>0</v>
      </c>
      <c r="U899" s="15">
        <f>S899+T899</f>
        <v/>
      </c>
      <c r="V899" s="15">
        <f>INT((2^$J$12-1)*U899/100)/(2^$J$12-1)*100</f>
        <v/>
      </c>
      <c r="X899" s="15">
        <f>M899 * 1.05</f>
        <v/>
      </c>
      <c r="Y899" s="15">
        <f>M899 * 0.95</f>
        <v/>
      </c>
      <c r="Z899" s="15">
        <f>IF(AND(V899 &lt;= X899, V899 &gt;= Y899), 1, 0)</f>
        <v/>
      </c>
      <c r="AC899" s="15">
        <f>N899^2</f>
        <v/>
      </c>
      <c r="AD899" s="15">
        <f>ABS(N899)</f>
        <v/>
      </c>
      <c r="AE899" s="15">
        <f>IF(M899&gt;0, ABS(N899)*(L899-$D$16),0)</f>
        <v/>
      </c>
    </row>
    <row r="900">
      <c r="L900" s="15" t="n">
        <v>898</v>
      </c>
      <c r="M900" s="15">
        <f>IF(L900&lt;$D$16,$D$12,IF(L900&lt;$E$16,$E$12,$F$13))</f>
        <v/>
      </c>
      <c r="N900" s="15">
        <f>M900-V900</f>
        <v/>
      </c>
      <c r="O900" s="15">
        <f>IF(MOD(L900,$B$11)=0,OFFSET(O900,-$B$11,0)+ $E$2*N900+$E$3*OFFSET(N900,-$B$11,0)+ $E$4*OFFSET(N900,-2* $B$11,0), O899)</f>
        <v/>
      </c>
      <c r="P900" s="15">
        <f>INT((2^$J$12-1)*O900/100)/(2^$J$12-1)*100</f>
        <v/>
      </c>
      <c r="Q900" s="15" t="n">
        <v>0</v>
      </c>
      <c r="R900" s="15">
        <f>P900+Q900</f>
        <v/>
      </c>
      <c r="S900" s="15">
        <f>$I$1*S899-$I$2*S898+$I$3*R879+$I$4*R878</f>
        <v/>
      </c>
      <c r="T900" s="15" t="n">
        <v>0</v>
      </c>
      <c r="U900" s="15">
        <f>S900+T900</f>
        <v/>
      </c>
      <c r="V900" s="15">
        <f>INT((2^$J$12-1)*U900/100)/(2^$J$12-1)*100</f>
        <v/>
      </c>
      <c r="X900" s="15">
        <f>M900 * 1.05</f>
        <v/>
      </c>
      <c r="Y900" s="15">
        <f>M900 * 0.95</f>
        <v/>
      </c>
      <c r="Z900" s="15">
        <f>IF(AND(V900 &lt;= X900, V900 &gt;= Y900), 1, 0)</f>
        <v/>
      </c>
      <c r="AC900" s="15">
        <f>N900^2</f>
        <v/>
      </c>
      <c r="AD900" s="15">
        <f>ABS(N900)</f>
        <v/>
      </c>
      <c r="AE900" s="15">
        <f>IF(M900&gt;0, ABS(N900)*(L900-$D$16),0)</f>
        <v/>
      </c>
    </row>
    <row r="901">
      <c r="L901" s="15" t="n">
        <v>899</v>
      </c>
      <c r="M901" s="15">
        <f>IF(L901&lt;$D$16,$D$12,IF(L901&lt;$E$16,$E$12,$F$13))</f>
        <v/>
      </c>
      <c r="N901" s="15">
        <f>M901-V901</f>
        <v/>
      </c>
      <c r="O901" s="15">
        <f>IF(MOD(L901,$B$11)=0,OFFSET(O901,-$B$11,0)+ $E$2*N901+$E$3*OFFSET(N901,-$B$11,0)+ $E$4*OFFSET(N901,-2* $B$11,0), O900)</f>
        <v/>
      </c>
      <c r="P901" s="15">
        <f>INT((2^$J$12-1)*O901/100)/(2^$J$12-1)*100</f>
        <v/>
      </c>
      <c r="Q901" s="15" t="n">
        <v>0</v>
      </c>
      <c r="R901" s="15">
        <f>P901+Q901</f>
        <v/>
      </c>
      <c r="S901" s="15">
        <f>$I$1*S900-$I$2*S899+$I$3*R880+$I$4*R879</f>
        <v/>
      </c>
      <c r="T901" s="15" t="n">
        <v>0</v>
      </c>
      <c r="U901" s="15">
        <f>S901+T901</f>
        <v/>
      </c>
      <c r="V901" s="15">
        <f>INT((2^$J$12-1)*U901/100)/(2^$J$12-1)*100</f>
        <v/>
      </c>
      <c r="X901" s="15">
        <f>M901 * 1.05</f>
        <v/>
      </c>
      <c r="Y901" s="15">
        <f>M901 * 0.95</f>
        <v/>
      </c>
      <c r="Z901" s="15">
        <f>IF(AND(V901 &lt;= X901, V901 &gt;= Y901), 1, 0)</f>
        <v/>
      </c>
      <c r="AC901" s="15">
        <f>N901^2</f>
        <v/>
      </c>
      <c r="AD901" s="15">
        <f>ABS(N901)</f>
        <v/>
      </c>
      <c r="AE901" s="15">
        <f>IF(M901&gt;0, ABS(N901)*(L901-$D$16),0)</f>
        <v/>
      </c>
    </row>
    <row r="902">
      <c r="L902" s="15" t="n">
        <v>900</v>
      </c>
      <c r="M902" s="15">
        <f>IF(L902&lt;$D$16,$D$12,IF(L902&lt;$E$16,$E$12,$F$13))</f>
        <v/>
      </c>
      <c r="N902" s="15">
        <f>M902-V902</f>
        <v/>
      </c>
      <c r="O902" s="15">
        <f>IF(MOD(L902,$B$11)=0,OFFSET(O902,-$B$11,0)+ $E$2*N902+$E$3*OFFSET(N902,-$B$11,0)+ $E$4*OFFSET(N902,-2* $B$11,0), O901)</f>
        <v/>
      </c>
      <c r="P902" s="15">
        <f>INT((2^$J$12-1)*O902/100)/(2^$J$12-1)*100</f>
        <v/>
      </c>
      <c r="Q902" s="15" t="n">
        <v>0</v>
      </c>
      <c r="R902" s="15">
        <f>P902+Q902</f>
        <v/>
      </c>
      <c r="S902" s="15">
        <f>$I$1*S901-$I$2*S900+$I$3*R881+$I$4*R880</f>
        <v/>
      </c>
      <c r="T902" s="15" t="n">
        <v>0</v>
      </c>
      <c r="U902" s="15">
        <f>S902+T902</f>
        <v/>
      </c>
      <c r="V902" s="15">
        <f>INT((2^$J$12-1)*U902/100)/(2^$J$12-1)*100</f>
        <v/>
      </c>
      <c r="X902" s="15">
        <f>M902 * 1.05</f>
        <v/>
      </c>
      <c r="Y902" s="15">
        <f>M902 * 0.95</f>
        <v/>
      </c>
      <c r="Z902" s="15">
        <f>IF(AND(V902 &lt;= X902, V902 &gt;= Y902), 1, 0)</f>
        <v/>
      </c>
      <c r="AC902" s="15">
        <f>N902^2</f>
        <v/>
      </c>
      <c r="AD902" s="15">
        <f>ABS(N902)</f>
        <v/>
      </c>
      <c r="AE902" s="15">
        <f>IF(M902&gt;0, ABS(N902)*(L902-$D$16),0)</f>
        <v/>
      </c>
    </row>
    <row r="903">
      <c r="L903" s="15" t="n">
        <v>901</v>
      </c>
      <c r="M903" s="15">
        <f>IF(L903&lt;$D$16,$D$12,IF(L903&lt;$E$16,$E$12,$F$13))</f>
        <v/>
      </c>
      <c r="N903" s="15">
        <f>M903-V903</f>
        <v/>
      </c>
      <c r="O903" s="15">
        <f>IF(MOD(L903,$B$11)=0,OFFSET(O903,-$B$11,0)+ $E$2*N903+$E$3*OFFSET(N903,-$B$11,0)+ $E$4*OFFSET(N903,-2* $B$11,0), O902)</f>
        <v/>
      </c>
      <c r="P903" s="15">
        <f>INT((2^$J$12-1)*O903/100)/(2^$J$12-1)*100</f>
        <v/>
      </c>
      <c r="Q903" s="15" t="n">
        <v>0</v>
      </c>
      <c r="R903" s="15">
        <f>P903+Q903</f>
        <v/>
      </c>
      <c r="S903" s="15">
        <f>$I$1*S902-$I$2*S901+$I$3*R882+$I$4*R881</f>
        <v/>
      </c>
      <c r="T903" s="15" t="n">
        <v>0</v>
      </c>
      <c r="U903" s="15">
        <f>S903+T903</f>
        <v/>
      </c>
      <c r="V903" s="15">
        <f>INT((2^$J$12-1)*U903/100)/(2^$J$12-1)*100</f>
        <v/>
      </c>
      <c r="X903" s="15">
        <f>M903 * 1.05</f>
        <v/>
      </c>
      <c r="Y903" s="15">
        <f>M903 * 0.95</f>
        <v/>
      </c>
      <c r="Z903" s="15">
        <f>IF(AND(V903 &lt;= X903, V903 &gt;= Y903), 1, 0)</f>
        <v/>
      </c>
      <c r="AC903" s="15">
        <f>N903^2</f>
        <v/>
      </c>
      <c r="AD903" s="15">
        <f>ABS(N903)</f>
        <v/>
      </c>
      <c r="AE903" s="15">
        <f>IF(M903&gt;0, ABS(N903)*(L903-$D$16),0)</f>
        <v/>
      </c>
    </row>
    <row r="904">
      <c r="L904" s="15" t="n">
        <v>902</v>
      </c>
      <c r="M904" s="15">
        <f>IF(L904&lt;$D$16,$D$12,IF(L904&lt;$E$16,$E$12,$F$13))</f>
        <v/>
      </c>
      <c r="N904" s="15">
        <f>M904-V904</f>
        <v/>
      </c>
      <c r="O904" s="15">
        <f>IF(MOD(L904,$B$11)=0,OFFSET(O904,-$B$11,0)+ $E$2*N904+$E$3*OFFSET(N904,-$B$11,0)+ $E$4*OFFSET(N904,-2* $B$11,0), O903)</f>
        <v/>
      </c>
      <c r="P904" s="15">
        <f>INT((2^$J$12-1)*O904/100)/(2^$J$12-1)*100</f>
        <v/>
      </c>
      <c r="Q904" s="15" t="n">
        <v>0</v>
      </c>
      <c r="R904" s="15">
        <f>P904+Q904</f>
        <v/>
      </c>
      <c r="S904" s="15">
        <f>$I$1*S903-$I$2*S902+$I$3*R883+$I$4*R882</f>
        <v/>
      </c>
      <c r="T904" s="15" t="n">
        <v>0</v>
      </c>
      <c r="U904" s="15">
        <f>S904+T904</f>
        <v/>
      </c>
      <c r="V904" s="15">
        <f>INT((2^$J$12-1)*U904/100)/(2^$J$12-1)*100</f>
        <v/>
      </c>
      <c r="X904" s="15">
        <f>M904 * 1.05</f>
        <v/>
      </c>
      <c r="Y904" s="15">
        <f>M904 * 0.95</f>
        <v/>
      </c>
      <c r="Z904" s="15">
        <f>IF(AND(V904 &lt;= X904, V904 &gt;= Y904), 1, 0)</f>
        <v/>
      </c>
      <c r="AC904" s="15">
        <f>N904^2</f>
        <v/>
      </c>
      <c r="AD904" s="15">
        <f>ABS(N904)</f>
        <v/>
      </c>
      <c r="AE904" s="15">
        <f>IF(M904&gt;0, ABS(N904)*(L904-$D$16),0)</f>
        <v/>
      </c>
    </row>
    <row r="905">
      <c r="L905" s="15" t="n">
        <v>903</v>
      </c>
      <c r="M905" s="15">
        <f>IF(L905&lt;$D$16,$D$12,IF(L905&lt;$E$16,$E$12,$F$13))</f>
        <v/>
      </c>
      <c r="N905" s="15">
        <f>M905-V905</f>
        <v/>
      </c>
      <c r="O905" s="15">
        <f>IF(MOD(L905,$B$11)=0,OFFSET(O905,-$B$11,0)+ $E$2*N905+$E$3*OFFSET(N905,-$B$11,0)+ $E$4*OFFSET(N905,-2* $B$11,0), O904)</f>
        <v/>
      </c>
      <c r="P905" s="15">
        <f>INT((2^$J$12-1)*O905/100)/(2^$J$12-1)*100</f>
        <v/>
      </c>
      <c r="Q905" s="15" t="n">
        <v>0</v>
      </c>
      <c r="R905" s="15">
        <f>P905+Q905</f>
        <v/>
      </c>
      <c r="S905" s="15">
        <f>$I$1*S904-$I$2*S903+$I$3*R884+$I$4*R883</f>
        <v/>
      </c>
      <c r="T905" s="15" t="n">
        <v>0</v>
      </c>
      <c r="U905" s="15">
        <f>S905+T905</f>
        <v/>
      </c>
      <c r="V905" s="15">
        <f>INT((2^$J$12-1)*U905/100)/(2^$J$12-1)*100</f>
        <v/>
      </c>
      <c r="X905" s="15">
        <f>M905 * 1.05</f>
        <v/>
      </c>
      <c r="Y905" s="15">
        <f>M905 * 0.95</f>
        <v/>
      </c>
      <c r="Z905" s="15">
        <f>IF(AND(V905 &lt;= X905, V905 &gt;= Y905), 1, 0)</f>
        <v/>
      </c>
      <c r="AC905" s="15">
        <f>N905^2</f>
        <v/>
      </c>
      <c r="AD905" s="15">
        <f>ABS(N905)</f>
        <v/>
      </c>
      <c r="AE905" s="15">
        <f>IF(M905&gt;0, ABS(N905)*(L905-$D$16),0)</f>
        <v/>
      </c>
    </row>
    <row r="906">
      <c r="L906" s="15" t="n">
        <v>904</v>
      </c>
      <c r="M906" s="15">
        <f>IF(L906&lt;$D$16,$D$12,IF(L906&lt;$E$16,$E$12,$F$13))</f>
        <v/>
      </c>
      <c r="N906" s="15">
        <f>M906-V906</f>
        <v/>
      </c>
      <c r="O906" s="15">
        <f>IF(MOD(L906,$B$11)=0,OFFSET(O906,-$B$11,0)+ $E$2*N906+$E$3*OFFSET(N906,-$B$11,0)+ $E$4*OFFSET(N906,-2* $B$11,0), O905)</f>
        <v/>
      </c>
      <c r="P906" s="15">
        <f>INT((2^$J$12-1)*O906/100)/(2^$J$12-1)*100</f>
        <v/>
      </c>
      <c r="Q906" s="15" t="n">
        <v>0</v>
      </c>
      <c r="R906" s="15">
        <f>P906+Q906</f>
        <v/>
      </c>
      <c r="S906" s="15">
        <f>$I$1*S905-$I$2*S904+$I$3*R885+$I$4*R884</f>
        <v/>
      </c>
      <c r="T906" s="15" t="n">
        <v>0</v>
      </c>
      <c r="U906" s="15">
        <f>S906+T906</f>
        <v/>
      </c>
      <c r="V906" s="15">
        <f>INT((2^$J$12-1)*U906/100)/(2^$J$12-1)*100</f>
        <v/>
      </c>
      <c r="X906" s="15">
        <f>M906 * 1.05</f>
        <v/>
      </c>
      <c r="Y906" s="15">
        <f>M906 * 0.95</f>
        <v/>
      </c>
      <c r="Z906" s="15">
        <f>IF(AND(V906 &lt;= X906, V906 &gt;= Y906), 1, 0)</f>
        <v/>
      </c>
      <c r="AC906" s="15">
        <f>N906^2</f>
        <v/>
      </c>
      <c r="AD906" s="15">
        <f>ABS(N906)</f>
        <v/>
      </c>
      <c r="AE906" s="15">
        <f>IF(M906&gt;0, ABS(N906)*(L906-$D$16),0)</f>
        <v/>
      </c>
    </row>
    <row r="907">
      <c r="L907" s="15" t="n">
        <v>905</v>
      </c>
      <c r="M907" s="15">
        <f>IF(L907&lt;$D$16,$D$12,IF(L907&lt;$E$16,$E$12,$F$13))</f>
        <v/>
      </c>
      <c r="N907" s="15">
        <f>M907-V907</f>
        <v/>
      </c>
      <c r="O907" s="15">
        <f>IF(MOD(L907,$B$11)=0,OFFSET(O907,-$B$11,0)+ $E$2*N907+$E$3*OFFSET(N907,-$B$11,0)+ $E$4*OFFSET(N907,-2* $B$11,0), O906)</f>
        <v/>
      </c>
      <c r="P907" s="15">
        <f>INT((2^$J$12-1)*O907/100)/(2^$J$12-1)*100</f>
        <v/>
      </c>
      <c r="Q907" s="15" t="n">
        <v>0</v>
      </c>
      <c r="R907" s="15">
        <f>P907+Q907</f>
        <v/>
      </c>
      <c r="S907" s="15">
        <f>$I$1*S906-$I$2*S905+$I$3*R886+$I$4*R885</f>
        <v/>
      </c>
      <c r="T907" s="15" t="n">
        <v>0</v>
      </c>
      <c r="U907" s="15">
        <f>S907+T907</f>
        <v/>
      </c>
      <c r="V907" s="15">
        <f>INT((2^$J$12-1)*U907/100)/(2^$J$12-1)*100</f>
        <v/>
      </c>
      <c r="X907" s="15">
        <f>M907 * 1.05</f>
        <v/>
      </c>
      <c r="Y907" s="15">
        <f>M907 * 0.95</f>
        <v/>
      </c>
      <c r="Z907" s="15">
        <f>IF(AND(V907 &lt;= X907, V907 &gt;= Y907), 1, 0)</f>
        <v/>
      </c>
      <c r="AC907" s="15">
        <f>N907^2</f>
        <v/>
      </c>
      <c r="AD907" s="15">
        <f>ABS(N907)</f>
        <v/>
      </c>
      <c r="AE907" s="15">
        <f>IF(M907&gt;0, ABS(N907)*(L907-$D$16),0)</f>
        <v/>
      </c>
    </row>
    <row r="908">
      <c r="L908" s="15" t="n">
        <v>906</v>
      </c>
      <c r="M908" s="15">
        <f>IF(L908&lt;$D$16,$D$12,IF(L908&lt;$E$16,$E$12,$F$13))</f>
        <v/>
      </c>
      <c r="N908" s="15">
        <f>M908-V908</f>
        <v/>
      </c>
      <c r="O908" s="15">
        <f>IF(MOD(L908,$B$11)=0,OFFSET(O908,-$B$11,0)+ $E$2*N908+$E$3*OFFSET(N908,-$B$11,0)+ $E$4*OFFSET(N908,-2* $B$11,0), O907)</f>
        <v/>
      </c>
      <c r="P908" s="15">
        <f>INT((2^$J$12-1)*O908/100)/(2^$J$12-1)*100</f>
        <v/>
      </c>
      <c r="Q908" s="15" t="n">
        <v>0</v>
      </c>
      <c r="R908" s="15">
        <f>P908+Q908</f>
        <v/>
      </c>
      <c r="S908" s="15">
        <f>$I$1*S907-$I$2*S906+$I$3*R887+$I$4*R886</f>
        <v/>
      </c>
      <c r="T908" s="15" t="n">
        <v>0</v>
      </c>
      <c r="U908" s="15">
        <f>S908+T908</f>
        <v/>
      </c>
      <c r="V908" s="15">
        <f>INT((2^$J$12-1)*U908/100)/(2^$J$12-1)*100</f>
        <v/>
      </c>
      <c r="X908" s="15">
        <f>M908 * 1.05</f>
        <v/>
      </c>
      <c r="Y908" s="15">
        <f>M908 * 0.95</f>
        <v/>
      </c>
      <c r="Z908" s="15">
        <f>IF(AND(V908 &lt;= X908, V908 &gt;= Y908), 1, 0)</f>
        <v/>
      </c>
      <c r="AC908" s="15">
        <f>N908^2</f>
        <v/>
      </c>
      <c r="AD908" s="15">
        <f>ABS(N908)</f>
        <v/>
      </c>
      <c r="AE908" s="15">
        <f>IF(M908&gt;0, ABS(N908)*(L908-$D$16),0)</f>
        <v/>
      </c>
    </row>
    <row r="909">
      <c r="L909" s="15" t="n">
        <v>907</v>
      </c>
      <c r="M909" s="15">
        <f>IF(L909&lt;$D$16,$D$12,IF(L909&lt;$E$16,$E$12,$F$13))</f>
        <v/>
      </c>
      <c r="N909" s="15">
        <f>M909-V909</f>
        <v/>
      </c>
      <c r="O909" s="15">
        <f>IF(MOD(L909,$B$11)=0,OFFSET(O909,-$B$11,0)+ $E$2*N909+$E$3*OFFSET(N909,-$B$11,0)+ $E$4*OFFSET(N909,-2* $B$11,0), O908)</f>
        <v/>
      </c>
      <c r="P909" s="15">
        <f>INT((2^$J$12-1)*O909/100)/(2^$J$12-1)*100</f>
        <v/>
      </c>
      <c r="Q909" s="15" t="n">
        <v>0</v>
      </c>
      <c r="R909" s="15">
        <f>P909+Q909</f>
        <v/>
      </c>
      <c r="S909" s="15">
        <f>$I$1*S908-$I$2*S907+$I$3*R888+$I$4*R887</f>
        <v/>
      </c>
      <c r="T909" s="15" t="n">
        <v>0</v>
      </c>
      <c r="U909" s="15">
        <f>S909+T909</f>
        <v/>
      </c>
      <c r="V909" s="15">
        <f>INT((2^$J$12-1)*U909/100)/(2^$J$12-1)*100</f>
        <v/>
      </c>
      <c r="X909" s="15">
        <f>M909 * 1.05</f>
        <v/>
      </c>
      <c r="Y909" s="15">
        <f>M909 * 0.95</f>
        <v/>
      </c>
      <c r="Z909" s="15">
        <f>IF(AND(V909 &lt;= X909, V909 &gt;= Y909), 1, 0)</f>
        <v/>
      </c>
      <c r="AC909" s="15">
        <f>N909^2</f>
        <v/>
      </c>
      <c r="AD909" s="15">
        <f>ABS(N909)</f>
        <v/>
      </c>
      <c r="AE909" s="15">
        <f>IF(M909&gt;0, ABS(N909)*(L909-$D$16),0)</f>
        <v/>
      </c>
    </row>
    <row r="910">
      <c r="L910" s="15" t="n">
        <v>908</v>
      </c>
      <c r="M910" s="15">
        <f>IF(L910&lt;$D$16,$D$12,IF(L910&lt;$E$16,$E$12,$F$13))</f>
        <v/>
      </c>
      <c r="N910" s="15">
        <f>M910-V910</f>
        <v/>
      </c>
      <c r="O910" s="15">
        <f>IF(MOD(L910,$B$11)=0,OFFSET(O910,-$B$11,0)+ $E$2*N910+$E$3*OFFSET(N910,-$B$11,0)+ $E$4*OFFSET(N910,-2* $B$11,0), O909)</f>
        <v/>
      </c>
      <c r="P910" s="15">
        <f>INT((2^$J$12-1)*O910/100)/(2^$J$12-1)*100</f>
        <v/>
      </c>
      <c r="Q910" s="15" t="n">
        <v>0</v>
      </c>
      <c r="R910" s="15">
        <f>P910+Q910</f>
        <v/>
      </c>
      <c r="S910" s="15">
        <f>$I$1*S909-$I$2*S908+$I$3*R889+$I$4*R888</f>
        <v/>
      </c>
      <c r="T910" s="15" t="n">
        <v>0</v>
      </c>
      <c r="U910" s="15">
        <f>S910+T910</f>
        <v/>
      </c>
      <c r="V910" s="15">
        <f>INT((2^$J$12-1)*U910/100)/(2^$J$12-1)*100</f>
        <v/>
      </c>
      <c r="X910" s="15">
        <f>M910 * 1.05</f>
        <v/>
      </c>
      <c r="Y910" s="15">
        <f>M910 * 0.95</f>
        <v/>
      </c>
      <c r="Z910" s="15">
        <f>IF(AND(V910 &lt;= X910, V910 &gt;= Y910), 1, 0)</f>
        <v/>
      </c>
      <c r="AC910" s="15">
        <f>N910^2</f>
        <v/>
      </c>
      <c r="AD910" s="15">
        <f>ABS(N910)</f>
        <v/>
      </c>
      <c r="AE910" s="15">
        <f>IF(M910&gt;0, ABS(N910)*(L910-$D$16),0)</f>
        <v/>
      </c>
    </row>
    <row r="911">
      <c r="L911" s="15" t="n">
        <v>909</v>
      </c>
      <c r="M911" s="15">
        <f>IF(L911&lt;$D$16,$D$12,IF(L911&lt;$E$16,$E$12,$F$13))</f>
        <v/>
      </c>
      <c r="N911" s="15">
        <f>M911-V911</f>
        <v/>
      </c>
      <c r="O911" s="15">
        <f>IF(MOD(L911,$B$11)=0,OFFSET(O911,-$B$11,0)+ $E$2*N911+$E$3*OFFSET(N911,-$B$11,0)+ $E$4*OFFSET(N911,-2* $B$11,0), O910)</f>
        <v/>
      </c>
      <c r="P911" s="15">
        <f>INT((2^$J$12-1)*O911/100)/(2^$J$12-1)*100</f>
        <v/>
      </c>
      <c r="Q911" s="15" t="n">
        <v>0</v>
      </c>
      <c r="R911" s="15">
        <f>P911+Q911</f>
        <v/>
      </c>
      <c r="S911" s="15">
        <f>$I$1*S910-$I$2*S909+$I$3*R890+$I$4*R889</f>
        <v/>
      </c>
      <c r="T911" s="15" t="n">
        <v>0</v>
      </c>
      <c r="U911" s="15">
        <f>S911+T911</f>
        <v/>
      </c>
      <c r="V911" s="15">
        <f>INT((2^$J$12-1)*U911/100)/(2^$J$12-1)*100</f>
        <v/>
      </c>
      <c r="X911" s="15">
        <f>M911 * 1.05</f>
        <v/>
      </c>
      <c r="Y911" s="15">
        <f>M911 * 0.95</f>
        <v/>
      </c>
      <c r="Z911" s="15">
        <f>IF(AND(V911 &lt;= X911, V911 &gt;= Y911), 1, 0)</f>
        <v/>
      </c>
      <c r="AC911" s="15">
        <f>N911^2</f>
        <v/>
      </c>
      <c r="AD911" s="15">
        <f>ABS(N911)</f>
        <v/>
      </c>
      <c r="AE911" s="15">
        <f>IF(M911&gt;0, ABS(N911)*(L911-$D$16),0)</f>
        <v/>
      </c>
    </row>
    <row r="912">
      <c r="L912" s="15" t="n">
        <v>910</v>
      </c>
      <c r="M912" s="15">
        <f>IF(L912&lt;$D$16,$D$12,IF(L912&lt;$E$16,$E$12,$F$13))</f>
        <v/>
      </c>
      <c r="N912" s="15">
        <f>M912-V912</f>
        <v/>
      </c>
      <c r="O912" s="15">
        <f>IF(MOD(L912,$B$11)=0,OFFSET(O912,-$B$11,0)+ $E$2*N912+$E$3*OFFSET(N912,-$B$11,0)+ $E$4*OFFSET(N912,-2* $B$11,0), O911)</f>
        <v/>
      </c>
      <c r="P912" s="15">
        <f>INT((2^$J$12-1)*O912/100)/(2^$J$12-1)*100</f>
        <v/>
      </c>
      <c r="Q912" s="15" t="n">
        <v>0</v>
      </c>
      <c r="R912" s="15">
        <f>P912+Q912</f>
        <v/>
      </c>
      <c r="S912" s="15">
        <f>$I$1*S911-$I$2*S910+$I$3*R891+$I$4*R890</f>
        <v/>
      </c>
      <c r="T912" s="15" t="n">
        <v>0</v>
      </c>
      <c r="U912" s="15">
        <f>S912+T912</f>
        <v/>
      </c>
      <c r="V912" s="15">
        <f>INT((2^$J$12-1)*U912/100)/(2^$J$12-1)*100</f>
        <v/>
      </c>
      <c r="X912" s="15">
        <f>M912 * 1.05</f>
        <v/>
      </c>
      <c r="Y912" s="15">
        <f>M912 * 0.95</f>
        <v/>
      </c>
      <c r="Z912" s="15">
        <f>IF(AND(V912 &lt;= X912, V912 &gt;= Y912), 1, 0)</f>
        <v/>
      </c>
      <c r="AC912" s="15">
        <f>N912^2</f>
        <v/>
      </c>
      <c r="AD912" s="15">
        <f>ABS(N912)</f>
        <v/>
      </c>
      <c r="AE912" s="15">
        <f>IF(M912&gt;0, ABS(N912)*(L912-$D$16),0)</f>
        <v/>
      </c>
    </row>
    <row r="913">
      <c r="L913" s="15" t="n">
        <v>911</v>
      </c>
      <c r="M913" s="15">
        <f>IF(L913&lt;$D$16,$D$12,IF(L913&lt;$E$16,$E$12,$F$13))</f>
        <v/>
      </c>
      <c r="N913" s="15">
        <f>M913-V913</f>
        <v/>
      </c>
      <c r="O913" s="15">
        <f>IF(MOD(L913,$B$11)=0,OFFSET(O913,-$B$11,0)+ $E$2*N913+$E$3*OFFSET(N913,-$B$11,0)+ $E$4*OFFSET(N913,-2* $B$11,0), O912)</f>
        <v/>
      </c>
      <c r="P913" s="15">
        <f>INT((2^$J$12-1)*O913/100)/(2^$J$12-1)*100</f>
        <v/>
      </c>
      <c r="Q913" s="15" t="n">
        <v>0</v>
      </c>
      <c r="R913" s="15">
        <f>P913+Q913</f>
        <v/>
      </c>
      <c r="S913" s="15">
        <f>$I$1*S912-$I$2*S911+$I$3*R892+$I$4*R891</f>
        <v/>
      </c>
      <c r="T913" s="15" t="n">
        <v>0</v>
      </c>
      <c r="U913" s="15">
        <f>S913+T913</f>
        <v/>
      </c>
      <c r="V913" s="15">
        <f>INT((2^$J$12-1)*U913/100)/(2^$J$12-1)*100</f>
        <v/>
      </c>
      <c r="X913" s="15">
        <f>M913 * 1.05</f>
        <v/>
      </c>
      <c r="Y913" s="15">
        <f>M913 * 0.95</f>
        <v/>
      </c>
      <c r="Z913" s="15">
        <f>IF(AND(V913 &lt;= X913, V913 &gt;= Y913), 1, 0)</f>
        <v/>
      </c>
      <c r="AC913" s="15">
        <f>N913^2</f>
        <v/>
      </c>
      <c r="AD913" s="15">
        <f>ABS(N913)</f>
        <v/>
      </c>
      <c r="AE913" s="15">
        <f>IF(M913&gt;0, ABS(N913)*(L913-$D$16),0)</f>
        <v/>
      </c>
    </row>
    <row r="914">
      <c r="L914" s="15" t="n">
        <v>912</v>
      </c>
      <c r="M914" s="15">
        <f>IF(L914&lt;$D$16,$D$12,IF(L914&lt;$E$16,$E$12,$F$13))</f>
        <v/>
      </c>
      <c r="N914" s="15">
        <f>M914-V914</f>
        <v/>
      </c>
      <c r="O914" s="15">
        <f>IF(MOD(L914,$B$11)=0,OFFSET(O914,-$B$11,0)+ $E$2*N914+$E$3*OFFSET(N914,-$B$11,0)+ $E$4*OFFSET(N914,-2* $B$11,0), O913)</f>
        <v/>
      </c>
      <c r="P914" s="15">
        <f>INT((2^$J$12-1)*O914/100)/(2^$J$12-1)*100</f>
        <v/>
      </c>
      <c r="Q914" s="15" t="n">
        <v>0</v>
      </c>
      <c r="R914" s="15">
        <f>P914+Q914</f>
        <v/>
      </c>
      <c r="S914" s="15">
        <f>$I$1*S913-$I$2*S912+$I$3*R893+$I$4*R892</f>
        <v/>
      </c>
      <c r="T914" s="15" t="n">
        <v>0</v>
      </c>
      <c r="U914" s="15">
        <f>S914+T914</f>
        <v/>
      </c>
      <c r="V914" s="15">
        <f>INT((2^$J$12-1)*U914/100)/(2^$J$12-1)*100</f>
        <v/>
      </c>
      <c r="X914" s="15">
        <f>M914 * 1.05</f>
        <v/>
      </c>
      <c r="Y914" s="15">
        <f>M914 * 0.95</f>
        <v/>
      </c>
      <c r="Z914" s="15">
        <f>IF(AND(V914 &lt;= X914, V914 &gt;= Y914), 1, 0)</f>
        <v/>
      </c>
      <c r="AC914" s="15">
        <f>N914^2</f>
        <v/>
      </c>
      <c r="AD914" s="15">
        <f>ABS(N914)</f>
        <v/>
      </c>
      <c r="AE914" s="15">
        <f>IF(M914&gt;0, ABS(N914)*(L914-$D$16),0)</f>
        <v/>
      </c>
    </row>
    <row r="915">
      <c r="L915" s="15" t="n">
        <v>913</v>
      </c>
      <c r="M915" s="15">
        <f>IF(L915&lt;$D$16,$D$12,IF(L915&lt;$E$16,$E$12,$F$13))</f>
        <v/>
      </c>
      <c r="N915" s="15">
        <f>M915-V915</f>
        <v/>
      </c>
      <c r="O915" s="15">
        <f>IF(MOD(L915,$B$11)=0,OFFSET(O915,-$B$11,0)+ $E$2*N915+$E$3*OFFSET(N915,-$B$11,0)+ $E$4*OFFSET(N915,-2* $B$11,0), O914)</f>
        <v/>
      </c>
      <c r="P915" s="15">
        <f>INT((2^$J$12-1)*O915/100)/(2^$J$12-1)*100</f>
        <v/>
      </c>
      <c r="Q915" s="15" t="n">
        <v>0</v>
      </c>
      <c r="R915" s="15">
        <f>P915+Q915</f>
        <v/>
      </c>
      <c r="S915" s="15">
        <f>$I$1*S914-$I$2*S913+$I$3*R894+$I$4*R893</f>
        <v/>
      </c>
      <c r="T915" s="15" t="n">
        <v>0</v>
      </c>
      <c r="U915" s="15">
        <f>S915+T915</f>
        <v/>
      </c>
      <c r="V915" s="15">
        <f>INT((2^$J$12-1)*U915/100)/(2^$J$12-1)*100</f>
        <v/>
      </c>
      <c r="X915" s="15">
        <f>M915 * 1.05</f>
        <v/>
      </c>
      <c r="Y915" s="15">
        <f>M915 * 0.95</f>
        <v/>
      </c>
      <c r="Z915" s="15">
        <f>IF(AND(V915 &lt;= X915, V915 &gt;= Y915), 1, 0)</f>
        <v/>
      </c>
      <c r="AC915" s="15">
        <f>N915^2</f>
        <v/>
      </c>
      <c r="AD915" s="15">
        <f>ABS(N915)</f>
        <v/>
      </c>
      <c r="AE915" s="15">
        <f>IF(M915&gt;0, ABS(N915)*(L915-$D$16),0)</f>
        <v/>
      </c>
    </row>
    <row r="916">
      <c r="L916" s="15" t="n">
        <v>914</v>
      </c>
      <c r="M916" s="15">
        <f>IF(L916&lt;$D$16,$D$12,IF(L916&lt;$E$16,$E$12,$F$13))</f>
        <v/>
      </c>
      <c r="N916" s="15">
        <f>M916-V916</f>
        <v/>
      </c>
      <c r="O916" s="15">
        <f>IF(MOD(L916,$B$11)=0,OFFSET(O916,-$B$11,0)+ $E$2*N916+$E$3*OFFSET(N916,-$B$11,0)+ $E$4*OFFSET(N916,-2* $B$11,0), O915)</f>
        <v/>
      </c>
      <c r="P916" s="15">
        <f>INT((2^$J$12-1)*O916/100)/(2^$J$12-1)*100</f>
        <v/>
      </c>
      <c r="Q916" s="15" t="n">
        <v>0</v>
      </c>
      <c r="R916" s="15">
        <f>P916+Q916</f>
        <v/>
      </c>
      <c r="S916" s="15">
        <f>$I$1*S915-$I$2*S914+$I$3*R895+$I$4*R894</f>
        <v/>
      </c>
      <c r="T916" s="15" t="n">
        <v>0</v>
      </c>
      <c r="U916" s="15">
        <f>S916+T916</f>
        <v/>
      </c>
      <c r="V916" s="15">
        <f>INT((2^$J$12-1)*U916/100)/(2^$J$12-1)*100</f>
        <v/>
      </c>
      <c r="X916" s="15">
        <f>M916 * 1.05</f>
        <v/>
      </c>
      <c r="Y916" s="15">
        <f>M916 * 0.95</f>
        <v/>
      </c>
      <c r="Z916" s="15">
        <f>IF(AND(V916 &lt;= X916, V916 &gt;= Y916), 1, 0)</f>
        <v/>
      </c>
      <c r="AC916" s="15">
        <f>N916^2</f>
        <v/>
      </c>
      <c r="AD916" s="15">
        <f>ABS(N916)</f>
        <v/>
      </c>
      <c r="AE916" s="15">
        <f>IF(M916&gt;0, ABS(N916)*(L916-$D$16),0)</f>
        <v/>
      </c>
    </row>
    <row r="917">
      <c r="L917" s="15" t="n">
        <v>915</v>
      </c>
      <c r="M917" s="15">
        <f>IF(L917&lt;$D$16,$D$12,IF(L917&lt;$E$16,$E$12,$F$13))</f>
        <v/>
      </c>
      <c r="N917" s="15">
        <f>M917-V917</f>
        <v/>
      </c>
      <c r="O917" s="15">
        <f>IF(MOD(L917,$B$11)=0,OFFSET(O917,-$B$11,0)+ $E$2*N917+$E$3*OFFSET(N917,-$B$11,0)+ $E$4*OFFSET(N917,-2* $B$11,0), O916)</f>
        <v/>
      </c>
      <c r="P917" s="15">
        <f>INT((2^$J$12-1)*O917/100)/(2^$J$12-1)*100</f>
        <v/>
      </c>
      <c r="Q917" s="15" t="n">
        <v>0</v>
      </c>
      <c r="R917" s="15">
        <f>P917+Q917</f>
        <v/>
      </c>
      <c r="S917" s="15">
        <f>$I$1*S916-$I$2*S915+$I$3*R896+$I$4*R895</f>
        <v/>
      </c>
      <c r="T917" s="15" t="n">
        <v>0</v>
      </c>
      <c r="U917" s="15">
        <f>S917+T917</f>
        <v/>
      </c>
      <c r="V917" s="15">
        <f>INT((2^$J$12-1)*U917/100)/(2^$J$12-1)*100</f>
        <v/>
      </c>
      <c r="X917" s="15">
        <f>M917 * 1.05</f>
        <v/>
      </c>
      <c r="Y917" s="15">
        <f>M917 * 0.95</f>
        <v/>
      </c>
      <c r="Z917" s="15">
        <f>IF(AND(V917 &lt;= X917, V917 &gt;= Y917), 1, 0)</f>
        <v/>
      </c>
      <c r="AC917" s="15">
        <f>N917^2</f>
        <v/>
      </c>
      <c r="AD917" s="15">
        <f>ABS(N917)</f>
        <v/>
      </c>
      <c r="AE917" s="15">
        <f>IF(M917&gt;0, ABS(N917)*(L917-$D$16),0)</f>
        <v/>
      </c>
    </row>
    <row r="918">
      <c r="L918" s="15" t="n">
        <v>916</v>
      </c>
      <c r="M918" s="15">
        <f>IF(L918&lt;$D$16,$D$12,IF(L918&lt;$E$16,$E$12,$F$13))</f>
        <v/>
      </c>
      <c r="N918" s="15">
        <f>M918-V918</f>
        <v/>
      </c>
      <c r="O918" s="15">
        <f>IF(MOD(L918,$B$11)=0,OFFSET(O918,-$B$11,0)+ $E$2*N918+$E$3*OFFSET(N918,-$B$11,0)+ $E$4*OFFSET(N918,-2* $B$11,0), O917)</f>
        <v/>
      </c>
      <c r="P918" s="15">
        <f>INT((2^$J$12-1)*O918/100)/(2^$J$12-1)*100</f>
        <v/>
      </c>
      <c r="Q918" s="15" t="n">
        <v>0</v>
      </c>
      <c r="R918" s="15">
        <f>P918+Q918</f>
        <v/>
      </c>
      <c r="S918" s="15">
        <f>$I$1*S917-$I$2*S916+$I$3*R897+$I$4*R896</f>
        <v/>
      </c>
      <c r="T918" s="15" t="n">
        <v>0</v>
      </c>
      <c r="U918" s="15">
        <f>S918+T918</f>
        <v/>
      </c>
      <c r="V918" s="15">
        <f>INT((2^$J$12-1)*U918/100)/(2^$J$12-1)*100</f>
        <v/>
      </c>
      <c r="X918" s="15">
        <f>M918 * 1.05</f>
        <v/>
      </c>
      <c r="Y918" s="15">
        <f>M918 * 0.95</f>
        <v/>
      </c>
      <c r="Z918" s="15">
        <f>IF(AND(V918 &lt;= X918, V918 &gt;= Y918), 1, 0)</f>
        <v/>
      </c>
      <c r="AC918" s="15">
        <f>N918^2</f>
        <v/>
      </c>
      <c r="AD918" s="15">
        <f>ABS(N918)</f>
        <v/>
      </c>
      <c r="AE918" s="15">
        <f>IF(M918&gt;0, ABS(N918)*(L918-$D$16),0)</f>
        <v/>
      </c>
    </row>
    <row r="919">
      <c r="L919" s="15" t="n">
        <v>917</v>
      </c>
      <c r="M919" s="15">
        <f>IF(L919&lt;$D$16,$D$12,IF(L919&lt;$E$16,$E$12,$F$13))</f>
        <v/>
      </c>
      <c r="N919" s="15">
        <f>M919-V919</f>
        <v/>
      </c>
      <c r="O919" s="15">
        <f>IF(MOD(L919,$B$11)=0,OFFSET(O919,-$B$11,0)+ $E$2*N919+$E$3*OFFSET(N919,-$B$11,0)+ $E$4*OFFSET(N919,-2* $B$11,0), O918)</f>
        <v/>
      </c>
      <c r="P919" s="15">
        <f>INT((2^$J$12-1)*O919/100)/(2^$J$12-1)*100</f>
        <v/>
      </c>
      <c r="Q919" s="15" t="n">
        <v>0</v>
      </c>
      <c r="R919" s="15">
        <f>P919+Q919</f>
        <v/>
      </c>
      <c r="S919" s="15">
        <f>$I$1*S918-$I$2*S917+$I$3*R898+$I$4*R897</f>
        <v/>
      </c>
      <c r="T919" s="15" t="n">
        <v>0</v>
      </c>
      <c r="U919" s="15">
        <f>S919+T919</f>
        <v/>
      </c>
      <c r="V919" s="15">
        <f>INT((2^$J$12-1)*U919/100)/(2^$J$12-1)*100</f>
        <v/>
      </c>
      <c r="X919" s="15">
        <f>M919 * 1.05</f>
        <v/>
      </c>
      <c r="Y919" s="15">
        <f>M919 * 0.95</f>
        <v/>
      </c>
      <c r="Z919" s="15">
        <f>IF(AND(V919 &lt;= X919, V919 &gt;= Y919), 1, 0)</f>
        <v/>
      </c>
      <c r="AC919" s="15">
        <f>N919^2</f>
        <v/>
      </c>
      <c r="AD919" s="15">
        <f>ABS(N919)</f>
        <v/>
      </c>
      <c r="AE919" s="15">
        <f>IF(M919&gt;0, ABS(N919)*(L919-$D$16),0)</f>
        <v/>
      </c>
    </row>
    <row r="920">
      <c r="L920" s="15" t="n">
        <v>918</v>
      </c>
      <c r="M920" s="15">
        <f>IF(L920&lt;$D$16,$D$12,IF(L920&lt;$E$16,$E$12,$F$13))</f>
        <v/>
      </c>
      <c r="N920" s="15">
        <f>M920-V920</f>
        <v/>
      </c>
      <c r="O920" s="15">
        <f>IF(MOD(L920,$B$11)=0,OFFSET(O920,-$B$11,0)+ $E$2*N920+$E$3*OFFSET(N920,-$B$11,0)+ $E$4*OFFSET(N920,-2* $B$11,0), O919)</f>
        <v/>
      </c>
      <c r="P920" s="15">
        <f>INT((2^$J$12-1)*O920/100)/(2^$J$12-1)*100</f>
        <v/>
      </c>
      <c r="Q920" s="15" t="n">
        <v>0</v>
      </c>
      <c r="R920" s="15">
        <f>P920+Q920</f>
        <v/>
      </c>
      <c r="S920" s="15">
        <f>$I$1*S919-$I$2*S918+$I$3*R899+$I$4*R898</f>
        <v/>
      </c>
      <c r="T920" s="15" t="n">
        <v>0</v>
      </c>
      <c r="U920" s="15">
        <f>S920+T920</f>
        <v/>
      </c>
      <c r="V920" s="15">
        <f>INT((2^$J$12-1)*U920/100)/(2^$J$12-1)*100</f>
        <v/>
      </c>
      <c r="X920" s="15">
        <f>M920 * 1.05</f>
        <v/>
      </c>
      <c r="Y920" s="15">
        <f>M920 * 0.95</f>
        <v/>
      </c>
      <c r="Z920" s="15">
        <f>IF(AND(V920 &lt;= X920, V920 &gt;= Y920), 1, 0)</f>
        <v/>
      </c>
      <c r="AC920" s="15">
        <f>N920^2</f>
        <v/>
      </c>
      <c r="AD920" s="15">
        <f>ABS(N920)</f>
        <v/>
      </c>
      <c r="AE920" s="15">
        <f>IF(M920&gt;0, ABS(N920)*(L920-$D$16),0)</f>
        <v/>
      </c>
    </row>
    <row r="921">
      <c r="L921" s="15" t="n">
        <v>919</v>
      </c>
      <c r="M921" s="15">
        <f>IF(L921&lt;$D$16,$D$12,IF(L921&lt;$E$16,$E$12,$F$13))</f>
        <v/>
      </c>
      <c r="N921" s="15">
        <f>M921-V921</f>
        <v/>
      </c>
      <c r="O921" s="15">
        <f>IF(MOD(L921,$B$11)=0,OFFSET(O921,-$B$11,0)+ $E$2*N921+$E$3*OFFSET(N921,-$B$11,0)+ $E$4*OFFSET(N921,-2* $B$11,0), O920)</f>
        <v/>
      </c>
      <c r="P921" s="15">
        <f>INT((2^$J$12-1)*O921/100)/(2^$J$12-1)*100</f>
        <v/>
      </c>
      <c r="Q921" s="15" t="n">
        <v>0</v>
      </c>
      <c r="R921" s="15">
        <f>P921+Q921</f>
        <v/>
      </c>
      <c r="S921" s="15">
        <f>$I$1*S920-$I$2*S919+$I$3*R900+$I$4*R899</f>
        <v/>
      </c>
      <c r="T921" s="15" t="n">
        <v>0</v>
      </c>
      <c r="U921" s="15">
        <f>S921+T921</f>
        <v/>
      </c>
      <c r="V921" s="15">
        <f>INT((2^$J$12-1)*U921/100)/(2^$J$12-1)*100</f>
        <v/>
      </c>
      <c r="X921" s="15">
        <f>M921 * 1.05</f>
        <v/>
      </c>
      <c r="Y921" s="15">
        <f>M921 * 0.95</f>
        <v/>
      </c>
      <c r="Z921" s="15">
        <f>IF(AND(V921 &lt;= X921, V921 &gt;= Y921), 1, 0)</f>
        <v/>
      </c>
      <c r="AC921" s="15">
        <f>N921^2</f>
        <v/>
      </c>
      <c r="AD921" s="15">
        <f>ABS(N921)</f>
        <v/>
      </c>
      <c r="AE921" s="15">
        <f>IF(M921&gt;0, ABS(N921)*(L921-$D$16),0)</f>
        <v/>
      </c>
    </row>
    <row r="922">
      <c r="L922" s="15" t="n">
        <v>920</v>
      </c>
      <c r="M922" s="15">
        <f>IF(L922&lt;$D$16,$D$12,IF(L922&lt;$E$16,$E$12,$F$13))</f>
        <v/>
      </c>
      <c r="N922" s="15">
        <f>M922-V922</f>
        <v/>
      </c>
      <c r="O922" s="15">
        <f>IF(MOD(L922,$B$11)=0,OFFSET(O922,-$B$11,0)+ $E$2*N922+$E$3*OFFSET(N922,-$B$11,0)+ $E$4*OFFSET(N922,-2* $B$11,0), O921)</f>
        <v/>
      </c>
      <c r="P922" s="15">
        <f>INT((2^$J$12-1)*O922/100)/(2^$J$12-1)*100</f>
        <v/>
      </c>
      <c r="Q922" s="15" t="n">
        <v>0</v>
      </c>
      <c r="R922" s="15">
        <f>P922+Q922</f>
        <v/>
      </c>
      <c r="S922" s="15">
        <f>$I$1*S921-$I$2*S920+$I$3*R901+$I$4*R900</f>
        <v/>
      </c>
      <c r="T922" s="15" t="n">
        <v>0</v>
      </c>
      <c r="U922" s="15">
        <f>S922+T922</f>
        <v/>
      </c>
      <c r="V922" s="15">
        <f>INT((2^$J$12-1)*U922/100)/(2^$J$12-1)*100</f>
        <v/>
      </c>
      <c r="X922" s="15">
        <f>M922 * 1.05</f>
        <v/>
      </c>
      <c r="Y922" s="15">
        <f>M922 * 0.95</f>
        <v/>
      </c>
      <c r="Z922" s="15">
        <f>IF(AND(V922 &lt;= X922, V922 &gt;= Y922), 1, 0)</f>
        <v/>
      </c>
      <c r="AC922" s="15">
        <f>N922^2</f>
        <v/>
      </c>
      <c r="AD922" s="15">
        <f>ABS(N922)</f>
        <v/>
      </c>
      <c r="AE922" s="15">
        <f>IF(M922&gt;0, ABS(N922)*(L922-$D$16),0)</f>
        <v/>
      </c>
    </row>
    <row r="923">
      <c r="L923" s="15" t="n">
        <v>921</v>
      </c>
      <c r="M923" s="15">
        <f>IF(L923&lt;$D$16,$D$12,IF(L923&lt;$E$16,$E$12,$F$13))</f>
        <v/>
      </c>
      <c r="N923" s="15">
        <f>M923-V923</f>
        <v/>
      </c>
      <c r="O923" s="15">
        <f>IF(MOD(L923,$B$11)=0,OFFSET(O923,-$B$11,0)+ $E$2*N923+$E$3*OFFSET(N923,-$B$11,0)+ $E$4*OFFSET(N923,-2* $B$11,0), O922)</f>
        <v/>
      </c>
      <c r="P923" s="15">
        <f>INT((2^$J$12-1)*O923/100)/(2^$J$12-1)*100</f>
        <v/>
      </c>
      <c r="Q923" s="15" t="n">
        <v>0</v>
      </c>
      <c r="R923" s="15">
        <f>P923+Q923</f>
        <v/>
      </c>
      <c r="S923" s="15">
        <f>$I$1*S922-$I$2*S921+$I$3*R902+$I$4*R901</f>
        <v/>
      </c>
      <c r="T923" s="15" t="n">
        <v>0</v>
      </c>
      <c r="U923" s="15">
        <f>S923+T923</f>
        <v/>
      </c>
      <c r="V923" s="15">
        <f>INT((2^$J$12-1)*U923/100)/(2^$J$12-1)*100</f>
        <v/>
      </c>
      <c r="X923" s="15">
        <f>M923 * 1.05</f>
        <v/>
      </c>
      <c r="Y923" s="15">
        <f>M923 * 0.95</f>
        <v/>
      </c>
      <c r="Z923" s="15">
        <f>IF(AND(V923 &lt;= X923, V923 &gt;= Y923), 1, 0)</f>
        <v/>
      </c>
      <c r="AC923" s="15">
        <f>N923^2</f>
        <v/>
      </c>
      <c r="AD923" s="15">
        <f>ABS(N923)</f>
        <v/>
      </c>
      <c r="AE923" s="15">
        <f>IF(M923&gt;0, ABS(N923)*(L923-$D$16),0)</f>
        <v/>
      </c>
    </row>
    <row r="924">
      <c r="L924" s="15" t="n">
        <v>922</v>
      </c>
      <c r="M924" s="15">
        <f>IF(L924&lt;$D$16,$D$12,IF(L924&lt;$E$16,$E$12,$F$13))</f>
        <v/>
      </c>
      <c r="N924" s="15">
        <f>M924-V924</f>
        <v/>
      </c>
      <c r="O924" s="15">
        <f>IF(MOD(L924,$B$11)=0,OFFSET(O924,-$B$11,0)+ $E$2*N924+$E$3*OFFSET(N924,-$B$11,0)+ $E$4*OFFSET(N924,-2* $B$11,0), O923)</f>
        <v/>
      </c>
      <c r="P924" s="15">
        <f>INT((2^$J$12-1)*O924/100)/(2^$J$12-1)*100</f>
        <v/>
      </c>
      <c r="Q924" s="15" t="n">
        <v>0</v>
      </c>
      <c r="R924" s="15">
        <f>P924+Q924</f>
        <v/>
      </c>
      <c r="S924" s="15">
        <f>$I$1*S923-$I$2*S922+$I$3*R903+$I$4*R902</f>
        <v/>
      </c>
      <c r="T924" s="15" t="n">
        <v>0</v>
      </c>
      <c r="U924" s="15">
        <f>S924+T924</f>
        <v/>
      </c>
      <c r="V924" s="15">
        <f>INT((2^$J$12-1)*U924/100)/(2^$J$12-1)*100</f>
        <v/>
      </c>
      <c r="X924" s="15">
        <f>M924 * 1.05</f>
        <v/>
      </c>
      <c r="Y924" s="15">
        <f>M924 * 0.95</f>
        <v/>
      </c>
      <c r="Z924" s="15">
        <f>IF(AND(V924 &lt;= X924, V924 &gt;= Y924), 1, 0)</f>
        <v/>
      </c>
      <c r="AC924" s="15">
        <f>N924^2</f>
        <v/>
      </c>
      <c r="AD924" s="15">
        <f>ABS(N924)</f>
        <v/>
      </c>
      <c r="AE924" s="15">
        <f>IF(M924&gt;0, ABS(N924)*(L924-$D$16),0)</f>
        <v/>
      </c>
    </row>
    <row r="925">
      <c r="L925" s="15" t="n">
        <v>923</v>
      </c>
      <c r="M925" s="15">
        <f>IF(L925&lt;$D$16,$D$12,IF(L925&lt;$E$16,$E$12,$F$13))</f>
        <v/>
      </c>
      <c r="N925" s="15">
        <f>M925-V925</f>
        <v/>
      </c>
      <c r="O925" s="15">
        <f>IF(MOD(L925,$B$11)=0,OFFSET(O925,-$B$11,0)+ $E$2*N925+$E$3*OFFSET(N925,-$B$11,0)+ $E$4*OFFSET(N925,-2* $B$11,0), O924)</f>
        <v/>
      </c>
      <c r="P925" s="15">
        <f>INT((2^$J$12-1)*O925/100)/(2^$J$12-1)*100</f>
        <v/>
      </c>
      <c r="Q925" s="15" t="n">
        <v>0</v>
      </c>
      <c r="R925" s="15">
        <f>P925+Q925</f>
        <v/>
      </c>
      <c r="S925" s="15">
        <f>$I$1*S924-$I$2*S923+$I$3*R904+$I$4*R903</f>
        <v/>
      </c>
      <c r="T925" s="15" t="n">
        <v>0</v>
      </c>
      <c r="U925" s="15">
        <f>S925+T925</f>
        <v/>
      </c>
      <c r="V925" s="15">
        <f>INT((2^$J$12-1)*U925/100)/(2^$J$12-1)*100</f>
        <v/>
      </c>
      <c r="X925" s="15">
        <f>M925 * 1.05</f>
        <v/>
      </c>
      <c r="Y925" s="15">
        <f>M925 * 0.95</f>
        <v/>
      </c>
      <c r="Z925" s="15">
        <f>IF(AND(V925 &lt;= X925, V925 &gt;= Y925), 1, 0)</f>
        <v/>
      </c>
      <c r="AC925" s="15">
        <f>N925^2</f>
        <v/>
      </c>
      <c r="AD925" s="15">
        <f>ABS(N925)</f>
        <v/>
      </c>
      <c r="AE925" s="15">
        <f>IF(M925&gt;0, ABS(N925)*(L925-$D$16),0)</f>
        <v/>
      </c>
    </row>
    <row r="926">
      <c r="L926" s="15" t="n">
        <v>924</v>
      </c>
      <c r="M926" s="15">
        <f>IF(L926&lt;$D$16,$D$12,IF(L926&lt;$E$16,$E$12,$F$13))</f>
        <v/>
      </c>
      <c r="N926" s="15">
        <f>M926-V926</f>
        <v/>
      </c>
      <c r="O926" s="15">
        <f>IF(MOD(L926,$B$11)=0,OFFSET(O926,-$B$11,0)+ $E$2*N926+$E$3*OFFSET(N926,-$B$11,0)+ $E$4*OFFSET(N926,-2* $B$11,0), O925)</f>
        <v/>
      </c>
      <c r="P926" s="15">
        <f>INT((2^$J$12-1)*O926/100)/(2^$J$12-1)*100</f>
        <v/>
      </c>
      <c r="Q926" s="15" t="n">
        <v>0</v>
      </c>
      <c r="R926" s="15">
        <f>P926+Q926</f>
        <v/>
      </c>
      <c r="S926" s="15">
        <f>$I$1*S925-$I$2*S924+$I$3*R905+$I$4*R904</f>
        <v/>
      </c>
      <c r="T926" s="15" t="n">
        <v>0</v>
      </c>
      <c r="U926" s="15">
        <f>S926+T926</f>
        <v/>
      </c>
      <c r="V926" s="15">
        <f>INT((2^$J$12-1)*U926/100)/(2^$J$12-1)*100</f>
        <v/>
      </c>
      <c r="X926" s="15">
        <f>M926 * 1.05</f>
        <v/>
      </c>
      <c r="Y926" s="15">
        <f>M926 * 0.95</f>
        <v/>
      </c>
      <c r="Z926" s="15">
        <f>IF(AND(V926 &lt;= X926, V926 &gt;= Y926), 1, 0)</f>
        <v/>
      </c>
      <c r="AC926" s="15">
        <f>N926^2</f>
        <v/>
      </c>
      <c r="AD926" s="15">
        <f>ABS(N926)</f>
        <v/>
      </c>
      <c r="AE926" s="15">
        <f>IF(M926&gt;0, ABS(N926)*(L926-$D$16),0)</f>
        <v/>
      </c>
    </row>
    <row r="927">
      <c r="L927" s="15" t="n">
        <v>925</v>
      </c>
      <c r="M927" s="15">
        <f>IF(L927&lt;$D$16,$D$12,IF(L927&lt;$E$16,$E$12,$F$13))</f>
        <v/>
      </c>
      <c r="N927" s="15">
        <f>M927-V927</f>
        <v/>
      </c>
      <c r="O927" s="15">
        <f>IF(MOD(L927,$B$11)=0,OFFSET(O927,-$B$11,0)+ $E$2*N927+$E$3*OFFSET(N927,-$B$11,0)+ $E$4*OFFSET(N927,-2* $B$11,0), O926)</f>
        <v/>
      </c>
      <c r="P927" s="15">
        <f>INT((2^$J$12-1)*O927/100)/(2^$J$12-1)*100</f>
        <v/>
      </c>
      <c r="Q927" s="15" t="n">
        <v>0</v>
      </c>
      <c r="R927" s="15">
        <f>P927+Q927</f>
        <v/>
      </c>
      <c r="S927" s="15">
        <f>$I$1*S926-$I$2*S925+$I$3*R906+$I$4*R905</f>
        <v/>
      </c>
      <c r="T927" s="15" t="n">
        <v>0</v>
      </c>
      <c r="U927" s="15">
        <f>S927+T927</f>
        <v/>
      </c>
      <c r="V927" s="15">
        <f>INT((2^$J$12-1)*U927/100)/(2^$J$12-1)*100</f>
        <v/>
      </c>
      <c r="X927" s="15">
        <f>M927 * 1.05</f>
        <v/>
      </c>
      <c r="Y927" s="15">
        <f>M927 * 0.95</f>
        <v/>
      </c>
      <c r="Z927" s="15">
        <f>IF(AND(V927 &lt;= X927, V927 &gt;= Y927), 1, 0)</f>
        <v/>
      </c>
      <c r="AC927" s="15">
        <f>N927^2</f>
        <v/>
      </c>
      <c r="AD927" s="15">
        <f>ABS(N927)</f>
        <v/>
      </c>
      <c r="AE927" s="15">
        <f>IF(M927&gt;0, ABS(N927)*(L927-$D$16),0)</f>
        <v/>
      </c>
    </row>
    <row r="928">
      <c r="L928" s="15" t="n">
        <v>926</v>
      </c>
      <c r="M928" s="15">
        <f>IF(L928&lt;$D$16,$D$12,IF(L928&lt;$E$16,$E$12,$F$13))</f>
        <v/>
      </c>
      <c r="N928" s="15">
        <f>M928-V928</f>
        <v/>
      </c>
      <c r="O928" s="15">
        <f>IF(MOD(L928,$B$11)=0,OFFSET(O928,-$B$11,0)+ $E$2*N928+$E$3*OFFSET(N928,-$B$11,0)+ $E$4*OFFSET(N928,-2* $B$11,0), O927)</f>
        <v/>
      </c>
      <c r="P928" s="15">
        <f>INT((2^$J$12-1)*O928/100)/(2^$J$12-1)*100</f>
        <v/>
      </c>
      <c r="Q928" s="15" t="n">
        <v>0</v>
      </c>
      <c r="R928" s="15">
        <f>P928+Q928</f>
        <v/>
      </c>
      <c r="S928" s="15">
        <f>$I$1*S927-$I$2*S926+$I$3*R907+$I$4*R906</f>
        <v/>
      </c>
      <c r="T928" s="15" t="n">
        <v>0</v>
      </c>
      <c r="U928" s="15">
        <f>S928+T928</f>
        <v/>
      </c>
      <c r="V928" s="15">
        <f>INT((2^$J$12-1)*U928/100)/(2^$J$12-1)*100</f>
        <v/>
      </c>
      <c r="X928" s="15">
        <f>M928 * 1.05</f>
        <v/>
      </c>
      <c r="Y928" s="15">
        <f>M928 * 0.95</f>
        <v/>
      </c>
      <c r="Z928" s="15">
        <f>IF(AND(V928 &lt;= X928, V928 &gt;= Y928), 1, 0)</f>
        <v/>
      </c>
      <c r="AC928" s="15">
        <f>N928^2</f>
        <v/>
      </c>
      <c r="AD928" s="15">
        <f>ABS(N928)</f>
        <v/>
      </c>
      <c r="AE928" s="15">
        <f>IF(M928&gt;0, ABS(N928)*(L928-$D$16),0)</f>
        <v/>
      </c>
    </row>
    <row r="929">
      <c r="L929" s="15" t="n">
        <v>927</v>
      </c>
      <c r="M929" s="15">
        <f>IF(L929&lt;$D$16,$D$12,IF(L929&lt;$E$16,$E$12,$F$13))</f>
        <v/>
      </c>
      <c r="N929" s="15">
        <f>M929-V929</f>
        <v/>
      </c>
      <c r="O929" s="15">
        <f>IF(MOD(L929,$B$11)=0,OFFSET(O929,-$B$11,0)+ $E$2*N929+$E$3*OFFSET(N929,-$B$11,0)+ $E$4*OFFSET(N929,-2* $B$11,0), O928)</f>
        <v/>
      </c>
      <c r="P929" s="15">
        <f>INT((2^$J$12-1)*O929/100)/(2^$J$12-1)*100</f>
        <v/>
      </c>
      <c r="Q929" s="15" t="n">
        <v>0</v>
      </c>
      <c r="R929" s="15">
        <f>P929+Q929</f>
        <v/>
      </c>
      <c r="S929" s="15">
        <f>$I$1*S928-$I$2*S927+$I$3*R908+$I$4*R907</f>
        <v/>
      </c>
      <c r="T929" s="15" t="n">
        <v>0</v>
      </c>
      <c r="U929" s="15">
        <f>S929+T929</f>
        <v/>
      </c>
      <c r="V929" s="15">
        <f>INT((2^$J$12-1)*U929/100)/(2^$J$12-1)*100</f>
        <v/>
      </c>
      <c r="X929" s="15">
        <f>M929 * 1.05</f>
        <v/>
      </c>
      <c r="Y929" s="15">
        <f>M929 * 0.95</f>
        <v/>
      </c>
      <c r="Z929" s="15">
        <f>IF(AND(V929 &lt;= X929, V929 &gt;= Y929), 1, 0)</f>
        <v/>
      </c>
      <c r="AC929" s="15">
        <f>N929^2</f>
        <v/>
      </c>
      <c r="AD929" s="15">
        <f>ABS(N929)</f>
        <v/>
      </c>
      <c r="AE929" s="15">
        <f>IF(M929&gt;0, ABS(N929)*(L929-$D$16),0)</f>
        <v/>
      </c>
    </row>
    <row r="930">
      <c r="L930" s="15" t="n">
        <v>928</v>
      </c>
      <c r="M930" s="15">
        <f>IF(L930&lt;$D$16,$D$12,IF(L930&lt;$E$16,$E$12,$F$13))</f>
        <v/>
      </c>
      <c r="N930" s="15">
        <f>M930-V930</f>
        <v/>
      </c>
      <c r="O930" s="15">
        <f>IF(MOD(L930,$B$11)=0,OFFSET(O930,-$B$11,0)+ $E$2*N930+$E$3*OFFSET(N930,-$B$11,0)+ $E$4*OFFSET(N930,-2* $B$11,0), O929)</f>
        <v/>
      </c>
      <c r="P930" s="15">
        <f>INT((2^$J$12-1)*O930/100)/(2^$J$12-1)*100</f>
        <v/>
      </c>
      <c r="Q930" s="15" t="n">
        <v>0</v>
      </c>
      <c r="R930" s="15">
        <f>P930+Q930</f>
        <v/>
      </c>
      <c r="S930" s="15">
        <f>$I$1*S929-$I$2*S928+$I$3*R909+$I$4*R908</f>
        <v/>
      </c>
      <c r="T930" s="15" t="n">
        <v>0</v>
      </c>
      <c r="U930" s="15">
        <f>S930+T930</f>
        <v/>
      </c>
      <c r="V930" s="15">
        <f>INT((2^$J$12-1)*U930/100)/(2^$J$12-1)*100</f>
        <v/>
      </c>
      <c r="X930" s="15">
        <f>M930 * 1.05</f>
        <v/>
      </c>
      <c r="Y930" s="15">
        <f>M930 * 0.95</f>
        <v/>
      </c>
      <c r="Z930" s="15">
        <f>IF(AND(V930 &lt;= X930, V930 &gt;= Y930), 1, 0)</f>
        <v/>
      </c>
      <c r="AC930" s="15">
        <f>N930^2</f>
        <v/>
      </c>
      <c r="AD930" s="15">
        <f>ABS(N930)</f>
        <v/>
      </c>
      <c r="AE930" s="15">
        <f>IF(M930&gt;0, ABS(N930)*(L930-$D$16),0)</f>
        <v/>
      </c>
    </row>
    <row r="931">
      <c r="L931" s="15" t="n">
        <v>929</v>
      </c>
      <c r="M931" s="15">
        <f>IF(L931&lt;$D$16,$D$12,IF(L931&lt;$E$16,$E$12,$F$13))</f>
        <v/>
      </c>
      <c r="N931" s="15">
        <f>M931-V931</f>
        <v/>
      </c>
      <c r="O931" s="15">
        <f>IF(MOD(L931,$B$11)=0,OFFSET(O931,-$B$11,0)+ $E$2*N931+$E$3*OFFSET(N931,-$B$11,0)+ $E$4*OFFSET(N931,-2* $B$11,0), O930)</f>
        <v/>
      </c>
      <c r="P931" s="15">
        <f>INT((2^$J$12-1)*O931/100)/(2^$J$12-1)*100</f>
        <v/>
      </c>
      <c r="Q931" s="15" t="n">
        <v>0</v>
      </c>
      <c r="R931" s="15">
        <f>P931+Q931</f>
        <v/>
      </c>
      <c r="S931" s="15">
        <f>$I$1*S930-$I$2*S929+$I$3*R910+$I$4*R909</f>
        <v/>
      </c>
      <c r="T931" s="15" t="n">
        <v>0</v>
      </c>
      <c r="U931" s="15">
        <f>S931+T931</f>
        <v/>
      </c>
      <c r="V931" s="15">
        <f>INT((2^$J$12-1)*U931/100)/(2^$J$12-1)*100</f>
        <v/>
      </c>
      <c r="X931" s="15">
        <f>M931 * 1.05</f>
        <v/>
      </c>
      <c r="Y931" s="15">
        <f>M931 * 0.95</f>
        <v/>
      </c>
      <c r="Z931" s="15">
        <f>IF(AND(V931 &lt;= X931, V931 &gt;= Y931), 1, 0)</f>
        <v/>
      </c>
      <c r="AC931" s="15">
        <f>N931^2</f>
        <v/>
      </c>
      <c r="AD931" s="15">
        <f>ABS(N931)</f>
        <v/>
      </c>
      <c r="AE931" s="15">
        <f>IF(M931&gt;0, ABS(N931)*(L931-$D$16),0)</f>
        <v/>
      </c>
    </row>
    <row r="932">
      <c r="L932" s="15" t="n">
        <v>930</v>
      </c>
      <c r="M932" s="15">
        <f>IF(L932&lt;$D$16,$D$12,IF(L932&lt;$E$16,$E$12,$F$13))</f>
        <v/>
      </c>
      <c r="N932" s="15">
        <f>M932-V932</f>
        <v/>
      </c>
      <c r="O932" s="15">
        <f>IF(MOD(L932,$B$11)=0,OFFSET(O932,-$B$11,0)+ $E$2*N932+$E$3*OFFSET(N932,-$B$11,0)+ $E$4*OFFSET(N932,-2* $B$11,0), O931)</f>
        <v/>
      </c>
      <c r="P932" s="15">
        <f>INT((2^$J$12-1)*O932/100)/(2^$J$12-1)*100</f>
        <v/>
      </c>
      <c r="Q932" s="15" t="n">
        <v>0</v>
      </c>
      <c r="R932" s="15">
        <f>P932+Q932</f>
        <v/>
      </c>
      <c r="S932" s="15">
        <f>$I$1*S931-$I$2*S930+$I$3*R911+$I$4*R910</f>
        <v/>
      </c>
      <c r="T932" s="15" t="n">
        <v>0</v>
      </c>
      <c r="U932" s="15">
        <f>S932+T932</f>
        <v/>
      </c>
      <c r="V932" s="15">
        <f>INT((2^$J$12-1)*U932/100)/(2^$J$12-1)*100</f>
        <v/>
      </c>
      <c r="X932" s="15">
        <f>M932 * 1.05</f>
        <v/>
      </c>
      <c r="Y932" s="15">
        <f>M932 * 0.95</f>
        <v/>
      </c>
      <c r="Z932" s="15">
        <f>IF(AND(V932 &lt;= X932, V932 &gt;= Y932), 1, 0)</f>
        <v/>
      </c>
      <c r="AC932" s="15">
        <f>N932^2</f>
        <v/>
      </c>
      <c r="AD932" s="15">
        <f>ABS(N932)</f>
        <v/>
      </c>
      <c r="AE932" s="15">
        <f>IF(M932&gt;0, ABS(N932)*(L932-$D$16),0)</f>
        <v/>
      </c>
    </row>
    <row r="933">
      <c r="L933" s="15" t="n">
        <v>931</v>
      </c>
      <c r="M933" s="15">
        <f>IF(L933&lt;$D$16,$D$12,IF(L933&lt;$E$16,$E$12,$F$13))</f>
        <v/>
      </c>
      <c r="N933" s="15">
        <f>M933-V933</f>
        <v/>
      </c>
      <c r="O933" s="15">
        <f>IF(MOD(L933,$B$11)=0,OFFSET(O933,-$B$11,0)+ $E$2*N933+$E$3*OFFSET(N933,-$B$11,0)+ $E$4*OFFSET(N933,-2* $B$11,0), O932)</f>
        <v/>
      </c>
      <c r="P933" s="15">
        <f>INT((2^$J$12-1)*O933/100)/(2^$J$12-1)*100</f>
        <v/>
      </c>
      <c r="Q933" s="15" t="n">
        <v>0</v>
      </c>
      <c r="R933" s="15">
        <f>P933+Q933</f>
        <v/>
      </c>
      <c r="S933" s="15">
        <f>$I$1*S932-$I$2*S931+$I$3*R912+$I$4*R911</f>
        <v/>
      </c>
      <c r="T933" s="15" t="n">
        <v>0</v>
      </c>
      <c r="U933" s="15">
        <f>S933+T933</f>
        <v/>
      </c>
      <c r="V933" s="15">
        <f>INT((2^$J$12-1)*U933/100)/(2^$J$12-1)*100</f>
        <v/>
      </c>
      <c r="X933" s="15">
        <f>M933 * 1.05</f>
        <v/>
      </c>
      <c r="Y933" s="15">
        <f>M933 * 0.95</f>
        <v/>
      </c>
      <c r="Z933" s="15">
        <f>IF(AND(V933 &lt;= X933, V933 &gt;= Y933), 1, 0)</f>
        <v/>
      </c>
      <c r="AC933" s="15">
        <f>N933^2</f>
        <v/>
      </c>
      <c r="AD933" s="15">
        <f>ABS(N933)</f>
        <v/>
      </c>
      <c r="AE933" s="15">
        <f>IF(M933&gt;0, ABS(N933)*(L933-$D$16),0)</f>
        <v/>
      </c>
    </row>
    <row r="934">
      <c r="L934" s="15" t="n">
        <v>932</v>
      </c>
      <c r="M934" s="15">
        <f>IF(L934&lt;$D$16,$D$12,IF(L934&lt;$E$16,$E$12,$F$13))</f>
        <v/>
      </c>
      <c r="N934" s="15">
        <f>M934-V934</f>
        <v/>
      </c>
      <c r="O934" s="15">
        <f>IF(MOD(L934,$B$11)=0,OFFSET(O934,-$B$11,0)+ $E$2*N934+$E$3*OFFSET(N934,-$B$11,0)+ $E$4*OFFSET(N934,-2* $B$11,0), O933)</f>
        <v/>
      </c>
      <c r="P934" s="15">
        <f>INT((2^$J$12-1)*O934/100)/(2^$J$12-1)*100</f>
        <v/>
      </c>
      <c r="Q934" s="15" t="n">
        <v>0</v>
      </c>
      <c r="R934" s="15">
        <f>P934+Q934</f>
        <v/>
      </c>
      <c r="S934" s="15">
        <f>$I$1*S933-$I$2*S932+$I$3*R913+$I$4*R912</f>
        <v/>
      </c>
      <c r="T934" s="15" t="n">
        <v>0</v>
      </c>
      <c r="U934" s="15">
        <f>S934+T934</f>
        <v/>
      </c>
      <c r="V934" s="15">
        <f>INT((2^$J$12-1)*U934/100)/(2^$J$12-1)*100</f>
        <v/>
      </c>
      <c r="X934" s="15">
        <f>M934 * 1.05</f>
        <v/>
      </c>
      <c r="Y934" s="15">
        <f>M934 * 0.95</f>
        <v/>
      </c>
      <c r="Z934" s="15">
        <f>IF(AND(V934 &lt;= X934, V934 &gt;= Y934), 1, 0)</f>
        <v/>
      </c>
      <c r="AC934" s="15">
        <f>N934^2</f>
        <v/>
      </c>
      <c r="AD934" s="15">
        <f>ABS(N934)</f>
        <v/>
      </c>
      <c r="AE934" s="15">
        <f>IF(M934&gt;0, ABS(N934)*(L934-$D$16),0)</f>
        <v/>
      </c>
    </row>
    <row r="935">
      <c r="L935" s="15" t="n">
        <v>933</v>
      </c>
      <c r="M935" s="15">
        <f>IF(L935&lt;$D$16,$D$12,IF(L935&lt;$E$16,$E$12,$F$13))</f>
        <v/>
      </c>
      <c r="N935" s="15">
        <f>M935-V935</f>
        <v/>
      </c>
      <c r="O935" s="15">
        <f>IF(MOD(L935,$B$11)=0,OFFSET(O935,-$B$11,0)+ $E$2*N935+$E$3*OFFSET(N935,-$B$11,0)+ $E$4*OFFSET(N935,-2* $B$11,0), O934)</f>
        <v/>
      </c>
      <c r="P935" s="15">
        <f>INT((2^$J$12-1)*O935/100)/(2^$J$12-1)*100</f>
        <v/>
      </c>
      <c r="Q935" s="15" t="n">
        <v>0</v>
      </c>
      <c r="R935" s="15">
        <f>P935+Q935</f>
        <v/>
      </c>
      <c r="S935" s="15">
        <f>$I$1*S934-$I$2*S933+$I$3*R914+$I$4*R913</f>
        <v/>
      </c>
      <c r="T935" s="15" t="n">
        <v>0</v>
      </c>
      <c r="U935" s="15">
        <f>S935+T935</f>
        <v/>
      </c>
      <c r="V935" s="15">
        <f>INT((2^$J$12-1)*U935/100)/(2^$J$12-1)*100</f>
        <v/>
      </c>
      <c r="X935" s="15">
        <f>M935 * 1.05</f>
        <v/>
      </c>
      <c r="Y935" s="15">
        <f>M935 * 0.95</f>
        <v/>
      </c>
      <c r="Z935" s="15">
        <f>IF(AND(V935 &lt;= X935, V935 &gt;= Y935), 1, 0)</f>
        <v/>
      </c>
      <c r="AC935" s="15">
        <f>N935^2</f>
        <v/>
      </c>
      <c r="AD935" s="15">
        <f>ABS(N935)</f>
        <v/>
      </c>
      <c r="AE935" s="15">
        <f>IF(M935&gt;0, ABS(N935)*(L935-$D$16),0)</f>
        <v/>
      </c>
    </row>
    <row r="936">
      <c r="L936" s="15" t="n">
        <v>934</v>
      </c>
      <c r="M936" s="15">
        <f>IF(L936&lt;$D$16,$D$12,IF(L936&lt;$E$16,$E$12,$F$13))</f>
        <v/>
      </c>
      <c r="N936" s="15">
        <f>M936-V936</f>
        <v/>
      </c>
      <c r="O936" s="15">
        <f>IF(MOD(L936,$B$11)=0,OFFSET(O936,-$B$11,0)+ $E$2*N936+$E$3*OFFSET(N936,-$B$11,0)+ $E$4*OFFSET(N936,-2* $B$11,0), O935)</f>
        <v/>
      </c>
      <c r="P936" s="15">
        <f>INT((2^$J$12-1)*O936/100)/(2^$J$12-1)*100</f>
        <v/>
      </c>
      <c r="Q936" s="15" t="n">
        <v>0</v>
      </c>
      <c r="R936" s="15">
        <f>P936+Q936</f>
        <v/>
      </c>
      <c r="S936" s="15">
        <f>$I$1*S935-$I$2*S934+$I$3*R915+$I$4*R914</f>
        <v/>
      </c>
      <c r="T936" s="15" t="n">
        <v>0</v>
      </c>
      <c r="U936" s="15">
        <f>S936+T936</f>
        <v/>
      </c>
      <c r="V936" s="15">
        <f>INT((2^$J$12-1)*U936/100)/(2^$J$12-1)*100</f>
        <v/>
      </c>
      <c r="X936" s="15">
        <f>M936 * 1.05</f>
        <v/>
      </c>
      <c r="Y936" s="15">
        <f>M936 * 0.95</f>
        <v/>
      </c>
      <c r="Z936" s="15">
        <f>IF(AND(V936 &lt;= X936, V936 &gt;= Y936), 1, 0)</f>
        <v/>
      </c>
      <c r="AC936" s="15">
        <f>N936^2</f>
        <v/>
      </c>
      <c r="AD936" s="15">
        <f>ABS(N936)</f>
        <v/>
      </c>
      <c r="AE936" s="15">
        <f>IF(M936&gt;0, ABS(N936)*(L936-$D$16),0)</f>
        <v/>
      </c>
    </row>
    <row r="937">
      <c r="L937" s="15" t="n">
        <v>935</v>
      </c>
      <c r="M937" s="15">
        <f>IF(L937&lt;$D$16,$D$12,IF(L937&lt;$E$16,$E$12,$F$13))</f>
        <v/>
      </c>
      <c r="N937" s="15">
        <f>M937-V937</f>
        <v/>
      </c>
      <c r="O937" s="15">
        <f>IF(MOD(L937,$B$11)=0,OFFSET(O937,-$B$11,0)+ $E$2*N937+$E$3*OFFSET(N937,-$B$11,0)+ $E$4*OFFSET(N937,-2* $B$11,0), O936)</f>
        <v/>
      </c>
      <c r="P937" s="15">
        <f>INT((2^$J$12-1)*O937/100)/(2^$J$12-1)*100</f>
        <v/>
      </c>
      <c r="Q937" s="15" t="n">
        <v>0</v>
      </c>
      <c r="R937" s="15">
        <f>P937+Q937</f>
        <v/>
      </c>
      <c r="S937" s="15">
        <f>$I$1*S936-$I$2*S935+$I$3*R916+$I$4*R915</f>
        <v/>
      </c>
      <c r="T937" s="15" t="n">
        <v>0</v>
      </c>
      <c r="U937" s="15">
        <f>S937+T937</f>
        <v/>
      </c>
      <c r="V937" s="15">
        <f>INT((2^$J$12-1)*U937/100)/(2^$J$12-1)*100</f>
        <v/>
      </c>
      <c r="X937" s="15">
        <f>M937 * 1.05</f>
        <v/>
      </c>
      <c r="Y937" s="15">
        <f>M937 * 0.95</f>
        <v/>
      </c>
      <c r="Z937" s="15">
        <f>IF(AND(V937 &lt;= X937, V937 &gt;= Y937), 1, 0)</f>
        <v/>
      </c>
      <c r="AC937" s="15">
        <f>N937^2</f>
        <v/>
      </c>
      <c r="AD937" s="15">
        <f>ABS(N937)</f>
        <v/>
      </c>
      <c r="AE937" s="15">
        <f>IF(M937&gt;0, ABS(N937)*(L937-$D$16),0)</f>
        <v/>
      </c>
    </row>
    <row r="938">
      <c r="L938" s="15" t="n">
        <v>936</v>
      </c>
      <c r="M938" s="15">
        <f>IF(L938&lt;$D$16,$D$12,IF(L938&lt;$E$16,$E$12,$F$13))</f>
        <v/>
      </c>
      <c r="N938" s="15">
        <f>M938-V938</f>
        <v/>
      </c>
      <c r="O938" s="15">
        <f>IF(MOD(L938,$B$11)=0,OFFSET(O938,-$B$11,0)+ $E$2*N938+$E$3*OFFSET(N938,-$B$11,0)+ $E$4*OFFSET(N938,-2* $B$11,0), O937)</f>
        <v/>
      </c>
      <c r="P938" s="15">
        <f>INT((2^$J$12-1)*O938/100)/(2^$J$12-1)*100</f>
        <v/>
      </c>
      <c r="Q938" s="15" t="n">
        <v>0</v>
      </c>
      <c r="R938" s="15">
        <f>P938+Q938</f>
        <v/>
      </c>
      <c r="S938" s="15">
        <f>$I$1*S937-$I$2*S936+$I$3*R917+$I$4*R916</f>
        <v/>
      </c>
      <c r="T938" s="15" t="n">
        <v>0</v>
      </c>
      <c r="U938" s="15">
        <f>S938+T938</f>
        <v/>
      </c>
      <c r="V938" s="15">
        <f>INT((2^$J$12-1)*U938/100)/(2^$J$12-1)*100</f>
        <v/>
      </c>
      <c r="X938" s="15">
        <f>M938 * 1.05</f>
        <v/>
      </c>
      <c r="Y938" s="15">
        <f>M938 * 0.95</f>
        <v/>
      </c>
      <c r="Z938" s="15">
        <f>IF(AND(V938 &lt;= X938, V938 &gt;= Y938), 1, 0)</f>
        <v/>
      </c>
      <c r="AC938" s="15">
        <f>N938^2</f>
        <v/>
      </c>
      <c r="AD938" s="15">
        <f>ABS(N938)</f>
        <v/>
      </c>
      <c r="AE938" s="15">
        <f>IF(M938&gt;0, ABS(N938)*(L938-$D$16),0)</f>
        <v/>
      </c>
    </row>
    <row r="939">
      <c r="L939" s="15" t="n">
        <v>937</v>
      </c>
      <c r="M939" s="15">
        <f>IF(L939&lt;$D$16,$D$12,IF(L939&lt;$E$16,$E$12,$F$13))</f>
        <v/>
      </c>
      <c r="N939" s="15">
        <f>M939-V939</f>
        <v/>
      </c>
      <c r="O939" s="15">
        <f>IF(MOD(L939,$B$11)=0,OFFSET(O939,-$B$11,0)+ $E$2*N939+$E$3*OFFSET(N939,-$B$11,0)+ $E$4*OFFSET(N939,-2* $B$11,0), O938)</f>
        <v/>
      </c>
      <c r="P939" s="15">
        <f>INT((2^$J$12-1)*O939/100)/(2^$J$12-1)*100</f>
        <v/>
      </c>
      <c r="Q939" s="15" t="n">
        <v>0</v>
      </c>
      <c r="R939" s="15">
        <f>P939+Q939</f>
        <v/>
      </c>
      <c r="S939" s="15">
        <f>$I$1*S938-$I$2*S937+$I$3*R918+$I$4*R917</f>
        <v/>
      </c>
      <c r="T939" s="15" t="n">
        <v>0</v>
      </c>
      <c r="U939" s="15">
        <f>S939+T939</f>
        <v/>
      </c>
      <c r="V939" s="15">
        <f>INT((2^$J$12-1)*U939/100)/(2^$J$12-1)*100</f>
        <v/>
      </c>
      <c r="X939" s="15">
        <f>M939 * 1.05</f>
        <v/>
      </c>
      <c r="Y939" s="15">
        <f>M939 * 0.95</f>
        <v/>
      </c>
      <c r="Z939" s="15">
        <f>IF(AND(V939 &lt;= X939, V939 &gt;= Y939), 1, 0)</f>
        <v/>
      </c>
      <c r="AC939" s="15">
        <f>N939^2</f>
        <v/>
      </c>
      <c r="AD939" s="15">
        <f>ABS(N939)</f>
        <v/>
      </c>
      <c r="AE939" s="15">
        <f>IF(M939&gt;0, ABS(N939)*(L939-$D$16),0)</f>
        <v/>
      </c>
    </row>
    <row r="940">
      <c r="L940" s="15" t="n">
        <v>938</v>
      </c>
      <c r="M940" s="15">
        <f>IF(L940&lt;$D$16,$D$12,IF(L940&lt;$E$16,$E$12,$F$13))</f>
        <v/>
      </c>
      <c r="N940" s="15">
        <f>M940-V940</f>
        <v/>
      </c>
      <c r="O940" s="15">
        <f>IF(MOD(L940,$B$11)=0,OFFSET(O940,-$B$11,0)+ $E$2*N940+$E$3*OFFSET(N940,-$B$11,0)+ $E$4*OFFSET(N940,-2* $B$11,0), O939)</f>
        <v/>
      </c>
      <c r="P940" s="15">
        <f>INT((2^$J$12-1)*O940/100)/(2^$J$12-1)*100</f>
        <v/>
      </c>
      <c r="Q940" s="15" t="n">
        <v>0</v>
      </c>
      <c r="R940" s="15">
        <f>P940+Q940</f>
        <v/>
      </c>
      <c r="S940" s="15">
        <f>$I$1*S939-$I$2*S938+$I$3*R919+$I$4*R918</f>
        <v/>
      </c>
      <c r="T940" s="15" t="n">
        <v>0</v>
      </c>
      <c r="U940" s="15">
        <f>S940+T940</f>
        <v/>
      </c>
      <c r="V940" s="15">
        <f>INT((2^$J$12-1)*U940/100)/(2^$J$12-1)*100</f>
        <v/>
      </c>
      <c r="X940" s="15">
        <f>M940 * 1.05</f>
        <v/>
      </c>
      <c r="Y940" s="15">
        <f>M940 * 0.95</f>
        <v/>
      </c>
      <c r="Z940" s="15">
        <f>IF(AND(V940 &lt;= X940, V940 &gt;= Y940), 1, 0)</f>
        <v/>
      </c>
      <c r="AC940" s="15">
        <f>N940^2</f>
        <v/>
      </c>
      <c r="AD940" s="15">
        <f>ABS(N940)</f>
        <v/>
      </c>
      <c r="AE940" s="15">
        <f>IF(M940&gt;0, ABS(N940)*(L940-$D$16),0)</f>
        <v/>
      </c>
    </row>
    <row r="941">
      <c r="L941" s="15" t="n">
        <v>939</v>
      </c>
      <c r="M941" s="15">
        <f>IF(L941&lt;$D$16,$D$12,IF(L941&lt;$E$16,$E$12,$F$13))</f>
        <v/>
      </c>
      <c r="N941" s="15">
        <f>M941-V941</f>
        <v/>
      </c>
      <c r="O941" s="15">
        <f>IF(MOD(L941,$B$11)=0,OFFSET(O941,-$B$11,0)+ $E$2*N941+$E$3*OFFSET(N941,-$B$11,0)+ $E$4*OFFSET(N941,-2* $B$11,0), O940)</f>
        <v/>
      </c>
      <c r="P941" s="15">
        <f>INT((2^$J$12-1)*O941/100)/(2^$J$12-1)*100</f>
        <v/>
      </c>
      <c r="Q941" s="15" t="n">
        <v>0</v>
      </c>
      <c r="R941" s="15">
        <f>P941+Q941</f>
        <v/>
      </c>
      <c r="S941" s="15">
        <f>$I$1*S940-$I$2*S939+$I$3*R920+$I$4*R919</f>
        <v/>
      </c>
      <c r="T941" s="15" t="n">
        <v>0</v>
      </c>
      <c r="U941" s="15">
        <f>S941+T941</f>
        <v/>
      </c>
      <c r="V941" s="15">
        <f>INT((2^$J$12-1)*U941/100)/(2^$J$12-1)*100</f>
        <v/>
      </c>
      <c r="X941" s="15">
        <f>M941 * 1.05</f>
        <v/>
      </c>
      <c r="Y941" s="15">
        <f>M941 * 0.95</f>
        <v/>
      </c>
      <c r="Z941" s="15">
        <f>IF(AND(V941 &lt;= X941, V941 &gt;= Y941), 1, 0)</f>
        <v/>
      </c>
      <c r="AC941" s="15">
        <f>N941^2</f>
        <v/>
      </c>
      <c r="AD941" s="15">
        <f>ABS(N941)</f>
        <v/>
      </c>
      <c r="AE941" s="15">
        <f>IF(M941&gt;0, ABS(N941)*(L941-$D$16),0)</f>
        <v/>
      </c>
    </row>
    <row r="942">
      <c r="L942" s="15" t="n">
        <v>940</v>
      </c>
      <c r="M942" s="15">
        <f>IF(L942&lt;$D$16,$D$12,IF(L942&lt;$E$16,$E$12,$F$13))</f>
        <v/>
      </c>
      <c r="N942" s="15">
        <f>M942-V942</f>
        <v/>
      </c>
      <c r="O942" s="15">
        <f>IF(MOD(L942,$B$11)=0,OFFSET(O942,-$B$11,0)+ $E$2*N942+$E$3*OFFSET(N942,-$B$11,0)+ $E$4*OFFSET(N942,-2* $B$11,0), O941)</f>
        <v/>
      </c>
      <c r="P942" s="15">
        <f>INT((2^$J$12-1)*O942/100)/(2^$J$12-1)*100</f>
        <v/>
      </c>
      <c r="Q942" s="15" t="n">
        <v>0</v>
      </c>
      <c r="R942" s="15">
        <f>P942+Q942</f>
        <v/>
      </c>
      <c r="S942" s="15">
        <f>$I$1*S941-$I$2*S940+$I$3*R921+$I$4*R920</f>
        <v/>
      </c>
      <c r="T942" s="15" t="n">
        <v>0</v>
      </c>
      <c r="U942" s="15">
        <f>S942+T942</f>
        <v/>
      </c>
      <c r="V942" s="15">
        <f>INT((2^$J$12-1)*U942/100)/(2^$J$12-1)*100</f>
        <v/>
      </c>
      <c r="X942" s="15">
        <f>M942 * 1.05</f>
        <v/>
      </c>
      <c r="Y942" s="15">
        <f>M942 * 0.95</f>
        <v/>
      </c>
      <c r="Z942" s="15">
        <f>IF(AND(V942 &lt;= X942, V942 &gt;= Y942), 1, 0)</f>
        <v/>
      </c>
      <c r="AC942" s="15">
        <f>N942^2</f>
        <v/>
      </c>
      <c r="AD942" s="15">
        <f>ABS(N942)</f>
        <v/>
      </c>
      <c r="AE942" s="15">
        <f>IF(M942&gt;0, ABS(N942)*(L942-$D$16),0)</f>
        <v/>
      </c>
    </row>
    <row r="943">
      <c r="L943" s="15" t="n">
        <v>941</v>
      </c>
      <c r="M943" s="15">
        <f>IF(L943&lt;$D$16,$D$12,IF(L943&lt;$E$16,$E$12,$F$13))</f>
        <v/>
      </c>
      <c r="N943" s="15">
        <f>M943-V943</f>
        <v/>
      </c>
      <c r="O943" s="15">
        <f>IF(MOD(L943,$B$11)=0,OFFSET(O943,-$B$11,0)+ $E$2*N943+$E$3*OFFSET(N943,-$B$11,0)+ $E$4*OFFSET(N943,-2* $B$11,0), O942)</f>
        <v/>
      </c>
      <c r="P943" s="15">
        <f>INT((2^$J$12-1)*O943/100)/(2^$J$12-1)*100</f>
        <v/>
      </c>
      <c r="Q943" s="15" t="n">
        <v>0</v>
      </c>
      <c r="R943" s="15">
        <f>P943+Q943</f>
        <v/>
      </c>
      <c r="S943" s="15">
        <f>$I$1*S942-$I$2*S941+$I$3*R922+$I$4*R921</f>
        <v/>
      </c>
      <c r="T943" s="15" t="n">
        <v>0</v>
      </c>
      <c r="U943" s="15">
        <f>S943+T943</f>
        <v/>
      </c>
      <c r="V943" s="15">
        <f>INT((2^$J$12-1)*U943/100)/(2^$J$12-1)*100</f>
        <v/>
      </c>
      <c r="X943" s="15">
        <f>M943 * 1.05</f>
        <v/>
      </c>
      <c r="Y943" s="15">
        <f>M943 * 0.95</f>
        <v/>
      </c>
      <c r="Z943" s="15">
        <f>IF(AND(V943 &lt;= X943, V943 &gt;= Y943), 1, 0)</f>
        <v/>
      </c>
      <c r="AC943" s="15">
        <f>N943^2</f>
        <v/>
      </c>
      <c r="AD943" s="15">
        <f>ABS(N943)</f>
        <v/>
      </c>
      <c r="AE943" s="15">
        <f>IF(M943&gt;0, ABS(N943)*(L943-$D$16),0)</f>
        <v/>
      </c>
    </row>
    <row r="944">
      <c r="L944" s="15" t="n">
        <v>942</v>
      </c>
      <c r="M944" s="15">
        <f>IF(L944&lt;$D$16,$D$12,IF(L944&lt;$E$16,$E$12,$F$13))</f>
        <v/>
      </c>
      <c r="N944" s="15">
        <f>M944-V944</f>
        <v/>
      </c>
      <c r="O944" s="15">
        <f>IF(MOD(L944,$B$11)=0,OFFSET(O944,-$B$11,0)+ $E$2*N944+$E$3*OFFSET(N944,-$B$11,0)+ $E$4*OFFSET(N944,-2* $B$11,0), O943)</f>
        <v/>
      </c>
      <c r="P944" s="15">
        <f>INT((2^$J$12-1)*O944/100)/(2^$J$12-1)*100</f>
        <v/>
      </c>
      <c r="Q944" s="15" t="n">
        <v>0</v>
      </c>
      <c r="R944" s="15">
        <f>P944+Q944</f>
        <v/>
      </c>
      <c r="S944" s="15">
        <f>$I$1*S943-$I$2*S942+$I$3*R923+$I$4*R922</f>
        <v/>
      </c>
      <c r="T944" s="15" t="n">
        <v>0</v>
      </c>
      <c r="U944" s="15">
        <f>S944+T944</f>
        <v/>
      </c>
      <c r="V944" s="15">
        <f>INT((2^$J$12-1)*U944/100)/(2^$J$12-1)*100</f>
        <v/>
      </c>
      <c r="X944" s="15">
        <f>M944 * 1.05</f>
        <v/>
      </c>
      <c r="Y944" s="15">
        <f>M944 * 0.95</f>
        <v/>
      </c>
      <c r="Z944" s="15">
        <f>IF(AND(V944 &lt;= X944, V944 &gt;= Y944), 1, 0)</f>
        <v/>
      </c>
      <c r="AC944" s="15">
        <f>N944^2</f>
        <v/>
      </c>
      <c r="AD944" s="15">
        <f>ABS(N944)</f>
        <v/>
      </c>
      <c r="AE944" s="15">
        <f>IF(M944&gt;0, ABS(N944)*(L944-$D$16),0)</f>
        <v/>
      </c>
    </row>
    <row r="945">
      <c r="L945" s="15" t="n">
        <v>943</v>
      </c>
      <c r="M945" s="15">
        <f>IF(L945&lt;$D$16,$D$12,IF(L945&lt;$E$16,$E$12,$F$13))</f>
        <v/>
      </c>
      <c r="N945" s="15">
        <f>M945-V945</f>
        <v/>
      </c>
      <c r="O945" s="15">
        <f>IF(MOD(L945,$B$11)=0,OFFSET(O945,-$B$11,0)+ $E$2*N945+$E$3*OFFSET(N945,-$B$11,0)+ $E$4*OFFSET(N945,-2* $B$11,0), O944)</f>
        <v/>
      </c>
      <c r="P945" s="15">
        <f>INT((2^$J$12-1)*O945/100)/(2^$J$12-1)*100</f>
        <v/>
      </c>
      <c r="Q945" s="15" t="n">
        <v>0</v>
      </c>
      <c r="R945" s="15">
        <f>P945+Q945</f>
        <v/>
      </c>
      <c r="S945" s="15">
        <f>$I$1*S944-$I$2*S943+$I$3*R924+$I$4*R923</f>
        <v/>
      </c>
      <c r="T945" s="15" t="n">
        <v>0</v>
      </c>
      <c r="U945" s="15">
        <f>S945+T945</f>
        <v/>
      </c>
      <c r="V945" s="15">
        <f>INT((2^$J$12-1)*U945/100)/(2^$J$12-1)*100</f>
        <v/>
      </c>
      <c r="X945" s="15">
        <f>M945 * 1.05</f>
        <v/>
      </c>
      <c r="Y945" s="15">
        <f>M945 * 0.95</f>
        <v/>
      </c>
      <c r="Z945" s="15">
        <f>IF(AND(V945 &lt;= X945, V945 &gt;= Y945), 1, 0)</f>
        <v/>
      </c>
      <c r="AC945" s="15">
        <f>N945^2</f>
        <v/>
      </c>
      <c r="AD945" s="15">
        <f>ABS(N945)</f>
        <v/>
      </c>
      <c r="AE945" s="15">
        <f>IF(M945&gt;0, ABS(N945)*(L945-$D$16),0)</f>
        <v/>
      </c>
    </row>
    <row r="946">
      <c r="L946" s="15" t="n">
        <v>944</v>
      </c>
      <c r="M946" s="15">
        <f>IF(L946&lt;$D$16,$D$12,IF(L946&lt;$E$16,$E$12,$F$13))</f>
        <v/>
      </c>
      <c r="N946" s="15">
        <f>M946-V946</f>
        <v/>
      </c>
      <c r="O946" s="15">
        <f>IF(MOD(L946,$B$11)=0,OFFSET(O946,-$B$11,0)+ $E$2*N946+$E$3*OFFSET(N946,-$B$11,0)+ $E$4*OFFSET(N946,-2* $B$11,0), O945)</f>
        <v/>
      </c>
      <c r="P946" s="15">
        <f>INT((2^$J$12-1)*O946/100)/(2^$J$12-1)*100</f>
        <v/>
      </c>
      <c r="Q946" s="15" t="n">
        <v>0</v>
      </c>
      <c r="R946" s="15">
        <f>P946+Q946</f>
        <v/>
      </c>
      <c r="S946" s="15">
        <f>$I$1*S945-$I$2*S944+$I$3*R925+$I$4*R924</f>
        <v/>
      </c>
      <c r="T946" s="15" t="n">
        <v>0</v>
      </c>
      <c r="U946" s="15">
        <f>S946+T946</f>
        <v/>
      </c>
      <c r="V946" s="15">
        <f>INT((2^$J$12-1)*U946/100)/(2^$J$12-1)*100</f>
        <v/>
      </c>
      <c r="X946" s="15">
        <f>M946 * 1.05</f>
        <v/>
      </c>
      <c r="Y946" s="15">
        <f>M946 * 0.95</f>
        <v/>
      </c>
      <c r="Z946" s="15">
        <f>IF(AND(V946 &lt;= X946, V946 &gt;= Y946), 1, 0)</f>
        <v/>
      </c>
      <c r="AC946" s="15">
        <f>N946^2</f>
        <v/>
      </c>
      <c r="AD946" s="15">
        <f>ABS(N946)</f>
        <v/>
      </c>
      <c r="AE946" s="15">
        <f>IF(M946&gt;0, ABS(N946)*(L946-$D$16),0)</f>
        <v/>
      </c>
    </row>
    <row r="947">
      <c r="L947" s="15" t="n">
        <v>945</v>
      </c>
      <c r="M947" s="15">
        <f>IF(L947&lt;$D$16,$D$12,IF(L947&lt;$E$16,$E$12,$F$13))</f>
        <v/>
      </c>
      <c r="N947" s="15">
        <f>M947-V947</f>
        <v/>
      </c>
      <c r="O947" s="15">
        <f>IF(MOD(L947,$B$11)=0,OFFSET(O947,-$B$11,0)+ $E$2*N947+$E$3*OFFSET(N947,-$B$11,0)+ $E$4*OFFSET(N947,-2* $B$11,0), O946)</f>
        <v/>
      </c>
      <c r="P947" s="15">
        <f>INT((2^$J$12-1)*O947/100)/(2^$J$12-1)*100</f>
        <v/>
      </c>
      <c r="Q947" s="15" t="n">
        <v>0</v>
      </c>
      <c r="R947" s="15">
        <f>P947+Q947</f>
        <v/>
      </c>
      <c r="S947" s="15">
        <f>$I$1*S946-$I$2*S945+$I$3*R926+$I$4*R925</f>
        <v/>
      </c>
      <c r="T947" s="15" t="n">
        <v>0</v>
      </c>
      <c r="U947" s="15">
        <f>S947+T947</f>
        <v/>
      </c>
      <c r="V947" s="15">
        <f>INT((2^$J$12-1)*U947/100)/(2^$J$12-1)*100</f>
        <v/>
      </c>
      <c r="X947" s="15">
        <f>M947 * 1.05</f>
        <v/>
      </c>
      <c r="Y947" s="15">
        <f>M947 * 0.95</f>
        <v/>
      </c>
      <c r="Z947" s="15">
        <f>IF(AND(V947 &lt;= X947, V947 &gt;= Y947), 1, 0)</f>
        <v/>
      </c>
      <c r="AC947" s="15">
        <f>N947^2</f>
        <v/>
      </c>
      <c r="AD947" s="15">
        <f>ABS(N947)</f>
        <v/>
      </c>
      <c r="AE947" s="15">
        <f>IF(M947&gt;0, ABS(N947)*(L947-$D$16),0)</f>
        <v/>
      </c>
    </row>
    <row r="948">
      <c r="L948" s="15" t="n">
        <v>946</v>
      </c>
      <c r="M948" s="15">
        <f>IF(L948&lt;$D$16,$D$12,IF(L948&lt;$E$16,$E$12,$F$13))</f>
        <v/>
      </c>
      <c r="N948" s="15">
        <f>M948-V948</f>
        <v/>
      </c>
      <c r="O948" s="15">
        <f>IF(MOD(L948,$B$11)=0,OFFSET(O948,-$B$11,0)+ $E$2*N948+$E$3*OFFSET(N948,-$B$11,0)+ $E$4*OFFSET(N948,-2* $B$11,0), O947)</f>
        <v/>
      </c>
      <c r="P948" s="15">
        <f>INT((2^$J$12-1)*O948/100)/(2^$J$12-1)*100</f>
        <v/>
      </c>
      <c r="Q948" s="15" t="n">
        <v>0</v>
      </c>
      <c r="R948" s="15">
        <f>P948+Q948</f>
        <v/>
      </c>
      <c r="S948" s="15">
        <f>$I$1*S947-$I$2*S946+$I$3*R927+$I$4*R926</f>
        <v/>
      </c>
      <c r="T948" s="15" t="n">
        <v>0</v>
      </c>
      <c r="U948" s="15">
        <f>S948+T948</f>
        <v/>
      </c>
      <c r="V948" s="15">
        <f>INT((2^$J$12-1)*U948/100)/(2^$J$12-1)*100</f>
        <v/>
      </c>
      <c r="X948" s="15">
        <f>M948 * 1.05</f>
        <v/>
      </c>
      <c r="Y948" s="15">
        <f>M948 * 0.95</f>
        <v/>
      </c>
      <c r="Z948" s="15">
        <f>IF(AND(V948 &lt;= X948, V948 &gt;= Y948), 1, 0)</f>
        <v/>
      </c>
      <c r="AC948" s="15">
        <f>N948^2</f>
        <v/>
      </c>
      <c r="AD948" s="15">
        <f>ABS(N948)</f>
        <v/>
      </c>
      <c r="AE948" s="15">
        <f>IF(M948&gt;0, ABS(N948)*(L948-$D$16),0)</f>
        <v/>
      </c>
    </row>
    <row r="949">
      <c r="L949" s="15" t="n">
        <v>947</v>
      </c>
      <c r="M949" s="15">
        <f>IF(L949&lt;$D$16,$D$12,IF(L949&lt;$E$16,$E$12,$F$13))</f>
        <v/>
      </c>
      <c r="N949" s="15">
        <f>M949-V949</f>
        <v/>
      </c>
      <c r="O949" s="15">
        <f>IF(MOD(L949,$B$11)=0,OFFSET(O949,-$B$11,0)+ $E$2*N949+$E$3*OFFSET(N949,-$B$11,0)+ $E$4*OFFSET(N949,-2* $B$11,0), O948)</f>
        <v/>
      </c>
      <c r="P949" s="15">
        <f>INT((2^$J$12-1)*O949/100)/(2^$J$12-1)*100</f>
        <v/>
      </c>
      <c r="Q949" s="15" t="n">
        <v>0</v>
      </c>
      <c r="R949" s="15">
        <f>P949+Q949</f>
        <v/>
      </c>
      <c r="S949" s="15">
        <f>$I$1*S948-$I$2*S947+$I$3*R928+$I$4*R927</f>
        <v/>
      </c>
      <c r="T949" s="15" t="n">
        <v>0</v>
      </c>
      <c r="U949" s="15">
        <f>S949+T949</f>
        <v/>
      </c>
      <c r="V949" s="15">
        <f>INT((2^$J$12-1)*U949/100)/(2^$J$12-1)*100</f>
        <v/>
      </c>
      <c r="X949" s="15">
        <f>M949 * 1.05</f>
        <v/>
      </c>
      <c r="Y949" s="15">
        <f>M949 * 0.95</f>
        <v/>
      </c>
      <c r="Z949" s="15">
        <f>IF(AND(V949 &lt;= X949, V949 &gt;= Y949), 1, 0)</f>
        <v/>
      </c>
      <c r="AC949" s="15">
        <f>N949^2</f>
        <v/>
      </c>
      <c r="AD949" s="15">
        <f>ABS(N949)</f>
        <v/>
      </c>
      <c r="AE949" s="15">
        <f>IF(M949&gt;0, ABS(N949)*(L949-$D$16),0)</f>
        <v/>
      </c>
    </row>
    <row r="950">
      <c r="L950" s="15" t="n">
        <v>948</v>
      </c>
      <c r="M950" s="15">
        <f>IF(L950&lt;$D$16,$D$12,IF(L950&lt;$E$16,$E$12,$F$13))</f>
        <v/>
      </c>
      <c r="N950" s="15">
        <f>M950-V950</f>
        <v/>
      </c>
      <c r="O950" s="15">
        <f>IF(MOD(L950,$B$11)=0,OFFSET(O950,-$B$11,0)+ $E$2*N950+$E$3*OFFSET(N950,-$B$11,0)+ $E$4*OFFSET(N950,-2* $B$11,0), O949)</f>
        <v/>
      </c>
      <c r="P950" s="15">
        <f>INT((2^$J$12-1)*O950/100)/(2^$J$12-1)*100</f>
        <v/>
      </c>
      <c r="Q950" s="15" t="n">
        <v>0</v>
      </c>
      <c r="R950" s="15">
        <f>P950+Q950</f>
        <v/>
      </c>
      <c r="S950" s="15">
        <f>$I$1*S949-$I$2*S948+$I$3*R929+$I$4*R928</f>
        <v/>
      </c>
      <c r="T950" s="15" t="n">
        <v>0</v>
      </c>
      <c r="U950" s="15">
        <f>S950+T950</f>
        <v/>
      </c>
      <c r="V950" s="15">
        <f>INT((2^$J$12-1)*U950/100)/(2^$J$12-1)*100</f>
        <v/>
      </c>
      <c r="X950" s="15">
        <f>M950 * 1.05</f>
        <v/>
      </c>
      <c r="Y950" s="15">
        <f>M950 * 0.95</f>
        <v/>
      </c>
      <c r="Z950" s="15">
        <f>IF(AND(V950 &lt;= X950, V950 &gt;= Y950), 1, 0)</f>
        <v/>
      </c>
      <c r="AC950" s="15">
        <f>N950^2</f>
        <v/>
      </c>
      <c r="AD950" s="15">
        <f>ABS(N950)</f>
        <v/>
      </c>
      <c r="AE950" s="15">
        <f>IF(M950&gt;0, ABS(N950)*(L950-$D$16),0)</f>
        <v/>
      </c>
    </row>
    <row r="951">
      <c r="L951" s="15" t="n">
        <v>949</v>
      </c>
      <c r="M951" s="15">
        <f>IF(L951&lt;$D$16,$D$12,IF(L951&lt;$E$16,$E$12,$F$13))</f>
        <v/>
      </c>
      <c r="N951" s="15">
        <f>M951-V951</f>
        <v/>
      </c>
      <c r="O951" s="15">
        <f>IF(MOD(L951,$B$11)=0,OFFSET(O951,-$B$11,0)+ $E$2*N951+$E$3*OFFSET(N951,-$B$11,0)+ $E$4*OFFSET(N951,-2* $B$11,0), O950)</f>
        <v/>
      </c>
      <c r="P951" s="15">
        <f>INT((2^$J$12-1)*O951/100)/(2^$J$12-1)*100</f>
        <v/>
      </c>
      <c r="Q951" s="15" t="n">
        <v>0</v>
      </c>
      <c r="R951" s="15">
        <f>P951+Q951</f>
        <v/>
      </c>
      <c r="S951" s="15">
        <f>$I$1*S950-$I$2*S949+$I$3*R930+$I$4*R929</f>
        <v/>
      </c>
      <c r="T951" s="15" t="n">
        <v>0</v>
      </c>
      <c r="U951" s="15">
        <f>S951+T951</f>
        <v/>
      </c>
      <c r="V951" s="15">
        <f>INT((2^$J$12-1)*U951/100)/(2^$J$12-1)*100</f>
        <v/>
      </c>
      <c r="X951" s="15">
        <f>M951 * 1.05</f>
        <v/>
      </c>
      <c r="Y951" s="15">
        <f>M951 * 0.95</f>
        <v/>
      </c>
      <c r="Z951" s="15">
        <f>IF(AND(V951 &lt;= X951, V951 &gt;= Y951), 1, 0)</f>
        <v/>
      </c>
      <c r="AC951" s="15">
        <f>N951^2</f>
        <v/>
      </c>
      <c r="AD951" s="15">
        <f>ABS(N951)</f>
        <v/>
      </c>
      <c r="AE951" s="15">
        <f>IF(M951&gt;0, ABS(N951)*(L951-$D$16),0)</f>
        <v/>
      </c>
    </row>
    <row r="952">
      <c r="L952" s="15" t="n">
        <v>950</v>
      </c>
      <c r="M952" s="15">
        <f>IF(L952&lt;$D$16,$D$12,IF(L952&lt;$E$16,$E$12,$F$13))</f>
        <v/>
      </c>
      <c r="N952" s="15">
        <f>M952-V952</f>
        <v/>
      </c>
      <c r="O952" s="15">
        <f>IF(MOD(L952,$B$11)=0,OFFSET(O952,-$B$11,0)+ $E$2*N952+$E$3*OFFSET(N952,-$B$11,0)+ $E$4*OFFSET(N952,-2* $B$11,0), O951)</f>
        <v/>
      </c>
      <c r="P952" s="15">
        <f>INT((2^$J$12-1)*O952/100)/(2^$J$12-1)*100</f>
        <v/>
      </c>
      <c r="Q952" s="15" t="n">
        <v>0</v>
      </c>
      <c r="R952" s="15">
        <f>P952+Q952</f>
        <v/>
      </c>
      <c r="S952" s="15">
        <f>$I$1*S951-$I$2*S950+$I$3*R931+$I$4*R930</f>
        <v/>
      </c>
      <c r="T952" s="15" t="n">
        <v>0</v>
      </c>
      <c r="U952" s="15">
        <f>S952+T952</f>
        <v/>
      </c>
      <c r="V952" s="15">
        <f>INT((2^$J$12-1)*U952/100)/(2^$J$12-1)*100</f>
        <v/>
      </c>
      <c r="X952" s="15">
        <f>M952 * 1.05</f>
        <v/>
      </c>
      <c r="Y952" s="15">
        <f>M952 * 0.95</f>
        <v/>
      </c>
      <c r="Z952" s="15">
        <f>IF(AND(V952 &lt;= X952, V952 &gt;= Y952), 1, 0)</f>
        <v/>
      </c>
      <c r="AC952" s="15">
        <f>N952^2</f>
        <v/>
      </c>
      <c r="AD952" s="15">
        <f>ABS(N952)</f>
        <v/>
      </c>
      <c r="AE952" s="15">
        <f>IF(M952&gt;0, ABS(N952)*(L952-$D$16),0)</f>
        <v/>
      </c>
    </row>
    <row r="953">
      <c r="L953" s="15" t="n">
        <v>951</v>
      </c>
      <c r="M953" s="15">
        <f>IF(L953&lt;$D$16,$D$12,IF(L953&lt;$E$16,$E$12,$F$13))</f>
        <v/>
      </c>
      <c r="N953" s="15">
        <f>M953-V953</f>
        <v/>
      </c>
      <c r="O953" s="15">
        <f>IF(MOD(L953,$B$11)=0,OFFSET(O953,-$B$11,0)+ $E$2*N953+$E$3*OFFSET(N953,-$B$11,0)+ $E$4*OFFSET(N953,-2* $B$11,0), O952)</f>
        <v/>
      </c>
      <c r="P953" s="15">
        <f>INT((2^$J$12-1)*O953/100)/(2^$J$12-1)*100</f>
        <v/>
      </c>
      <c r="Q953" s="15" t="n">
        <v>0</v>
      </c>
      <c r="R953" s="15">
        <f>P953+Q953</f>
        <v/>
      </c>
      <c r="S953" s="15">
        <f>$I$1*S952-$I$2*S951+$I$3*R932+$I$4*R931</f>
        <v/>
      </c>
      <c r="T953" s="15" t="n">
        <v>0</v>
      </c>
      <c r="U953" s="15">
        <f>S953+T953</f>
        <v/>
      </c>
      <c r="V953" s="15">
        <f>INT((2^$J$12-1)*U953/100)/(2^$J$12-1)*100</f>
        <v/>
      </c>
      <c r="X953" s="15">
        <f>M953 * 1.05</f>
        <v/>
      </c>
      <c r="Y953" s="15">
        <f>M953 * 0.95</f>
        <v/>
      </c>
      <c r="Z953" s="15">
        <f>IF(AND(V953 &lt;= X953, V953 &gt;= Y953), 1, 0)</f>
        <v/>
      </c>
      <c r="AC953" s="15">
        <f>N953^2</f>
        <v/>
      </c>
      <c r="AD953" s="15">
        <f>ABS(N953)</f>
        <v/>
      </c>
      <c r="AE953" s="15">
        <f>IF(M953&gt;0, ABS(N953)*(L953-$D$16),0)</f>
        <v/>
      </c>
    </row>
    <row r="954">
      <c r="L954" s="15" t="n">
        <v>952</v>
      </c>
      <c r="M954" s="15">
        <f>IF(L954&lt;$D$16,$D$12,IF(L954&lt;$E$16,$E$12,$F$13))</f>
        <v/>
      </c>
      <c r="N954" s="15">
        <f>M954-V954</f>
        <v/>
      </c>
      <c r="O954" s="15">
        <f>IF(MOD(L954,$B$11)=0,OFFSET(O954,-$B$11,0)+ $E$2*N954+$E$3*OFFSET(N954,-$B$11,0)+ $E$4*OFFSET(N954,-2* $B$11,0), O953)</f>
        <v/>
      </c>
      <c r="P954" s="15">
        <f>INT((2^$J$12-1)*O954/100)/(2^$J$12-1)*100</f>
        <v/>
      </c>
      <c r="Q954" s="15" t="n">
        <v>0</v>
      </c>
      <c r="R954" s="15">
        <f>P954+Q954</f>
        <v/>
      </c>
      <c r="S954" s="15">
        <f>$I$1*S953-$I$2*S952+$I$3*R933+$I$4*R932</f>
        <v/>
      </c>
      <c r="T954" s="15" t="n">
        <v>0</v>
      </c>
      <c r="U954" s="15">
        <f>S954+T954</f>
        <v/>
      </c>
      <c r="V954" s="15">
        <f>INT((2^$J$12-1)*U954/100)/(2^$J$12-1)*100</f>
        <v/>
      </c>
      <c r="X954" s="15">
        <f>M954 * 1.05</f>
        <v/>
      </c>
      <c r="Y954" s="15">
        <f>M954 * 0.95</f>
        <v/>
      </c>
      <c r="Z954" s="15">
        <f>IF(AND(V954 &lt;= X954, V954 &gt;= Y954), 1, 0)</f>
        <v/>
      </c>
      <c r="AC954" s="15">
        <f>N954^2</f>
        <v/>
      </c>
      <c r="AD954" s="15">
        <f>ABS(N954)</f>
        <v/>
      </c>
      <c r="AE954" s="15">
        <f>IF(M954&gt;0, ABS(N954)*(L954-$D$16),0)</f>
        <v/>
      </c>
    </row>
    <row r="955">
      <c r="L955" s="15" t="n">
        <v>953</v>
      </c>
      <c r="M955" s="15">
        <f>IF(L955&lt;$D$16,$D$12,IF(L955&lt;$E$16,$E$12,$F$13))</f>
        <v/>
      </c>
      <c r="N955" s="15">
        <f>M955-V955</f>
        <v/>
      </c>
      <c r="O955" s="15">
        <f>IF(MOD(L955,$B$11)=0,OFFSET(O955,-$B$11,0)+ $E$2*N955+$E$3*OFFSET(N955,-$B$11,0)+ $E$4*OFFSET(N955,-2* $B$11,0), O954)</f>
        <v/>
      </c>
      <c r="P955" s="15">
        <f>INT((2^$J$12-1)*O955/100)/(2^$J$12-1)*100</f>
        <v/>
      </c>
      <c r="Q955" s="15" t="n">
        <v>0</v>
      </c>
      <c r="R955" s="15">
        <f>P955+Q955</f>
        <v/>
      </c>
      <c r="S955" s="15">
        <f>$I$1*S954-$I$2*S953+$I$3*R934+$I$4*R933</f>
        <v/>
      </c>
      <c r="T955" s="15" t="n">
        <v>0</v>
      </c>
      <c r="U955" s="15">
        <f>S955+T955</f>
        <v/>
      </c>
      <c r="V955" s="15">
        <f>INT((2^$J$12-1)*U955/100)/(2^$J$12-1)*100</f>
        <v/>
      </c>
      <c r="X955" s="15">
        <f>M955 * 1.05</f>
        <v/>
      </c>
      <c r="Y955" s="15">
        <f>M955 * 0.95</f>
        <v/>
      </c>
      <c r="Z955" s="15">
        <f>IF(AND(V955 &lt;= X955, V955 &gt;= Y955), 1, 0)</f>
        <v/>
      </c>
      <c r="AC955" s="15">
        <f>N955^2</f>
        <v/>
      </c>
      <c r="AD955" s="15">
        <f>ABS(N955)</f>
        <v/>
      </c>
      <c r="AE955" s="15">
        <f>IF(M955&gt;0, ABS(N955)*(L955-$D$16),0)</f>
        <v/>
      </c>
    </row>
    <row r="956">
      <c r="L956" s="15" t="n">
        <v>954</v>
      </c>
      <c r="M956" s="15">
        <f>IF(L956&lt;$D$16,$D$12,IF(L956&lt;$E$16,$E$12,$F$13))</f>
        <v/>
      </c>
      <c r="N956" s="15">
        <f>M956-V956</f>
        <v/>
      </c>
      <c r="O956" s="15">
        <f>IF(MOD(L956,$B$11)=0,OFFSET(O956,-$B$11,0)+ $E$2*N956+$E$3*OFFSET(N956,-$B$11,0)+ $E$4*OFFSET(N956,-2* $B$11,0), O955)</f>
        <v/>
      </c>
      <c r="P956" s="15">
        <f>INT((2^$J$12-1)*O956/100)/(2^$J$12-1)*100</f>
        <v/>
      </c>
      <c r="Q956" s="15" t="n">
        <v>0</v>
      </c>
      <c r="R956" s="15">
        <f>P956+Q956</f>
        <v/>
      </c>
      <c r="S956" s="15">
        <f>$I$1*S955-$I$2*S954+$I$3*R935+$I$4*R934</f>
        <v/>
      </c>
      <c r="T956" s="15" t="n">
        <v>0</v>
      </c>
      <c r="U956" s="15">
        <f>S956+T956</f>
        <v/>
      </c>
      <c r="V956" s="15">
        <f>INT((2^$J$12-1)*U956/100)/(2^$J$12-1)*100</f>
        <v/>
      </c>
      <c r="X956" s="15">
        <f>M956 * 1.05</f>
        <v/>
      </c>
      <c r="Y956" s="15">
        <f>M956 * 0.95</f>
        <v/>
      </c>
      <c r="Z956" s="15">
        <f>IF(AND(V956 &lt;= X956, V956 &gt;= Y956), 1, 0)</f>
        <v/>
      </c>
      <c r="AC956" s="15">
        <f>N956^2</f>
        <v/>
      </c>
      <c r="AD956" s="15">
        <f>ABS(N956)</f>
        <v/>
      </c>
      <c r="AE956" s="15">
        <f>IF(M956&gt;0, ABS(N956)*(L956-$D$16),0)</f>
        <v/>
      </c>
    </row>
    <row r="957">
      <c r="L957" s="15" t="n">
        <v>955</v>
      </c>
      <c r="M957" s="15">
        <f>IF(L957&lt;$D$16,$D$12,IF(L957&lt;$E$16,$E$12,$F$13))</f>
        <v/>
      </c>
      <c r="N957" s="15">
        <f>M957-V957</f>
        <v/>
      </c>
      <c r="O957" s="15">
        <f>IF(MOD(L957,$B$11)=0,OFFSET(O957,-$B$11,0)+ $E$2*N957+$E$3*OFFSET(N957,-$B$11,0)+ $E$4*OFFSET(N957,-2* $B$11,0), O956)</f>
        <v/>
      </c>
      <c r="P957" s="15">
        <f>INT((2^$J$12-1)*O957/100)/(2^$J$12-1)*100</f>
        <v/>
      </c>
      <c r="Q957" s="15" t="n">
        <v>0</v>
      </c>
      <c r="R957" s="15">
        <f>P957+Q957</f>
        <v/>
      </c>
      <c r="S957" s="15">
        <f>$I$1*S956-$I$2*S955+$I$3*R936+$I$4*R935</f>
        <v/>
      </c>
      <c r="T957" s="15" t="n">
        <v>0</v>
      </c>
      <c r="U957" s="15">
        <f>S957+T957</f>
        <v/>
      </c>
      <c r="V957" s="15">
        <f>INT((2^$J$12-1)*U957/100)/(2^$J$12-1)*100</f>
        <v/>
      </c>
      <c r="X957" s="15">
        <f>M957 * 1.05</f>
        <v/>
      </c>
      <c r="Y957" s="15">
        <f>M957 * 0.95</f>
        <v/>
      </c>
      <c r="Z957" s="15">
        <f>IF(AND(V957 &lt;= X957, V957 &gt;= Y957), 1, 0)</f>
        <v/>
      </c>
      <c r="AC957" s="15">
        <f>N957^2</f>
        <v/>
      </c>
      <c r="AD957" s="15">
        <f>ABS(N957)</f>
        <v/>
      </c>
      <c r="AE957" s="15">
        <f>IF(M957&gt;0, ABS(N957)*(L957-$D$16),0)</f>
        <v/>
      </c>
    </row>
    <row r="958">
      <c r="L958" s="15" t="n">
        <v>956</v>
      </c>
      <c r="M958" s="15">
        <f>IF(L958&lt;$D$16,$D$12,IF(L958&lt;$E$16,$E$12,$F$13))</f>
        <v/>
      </c>
      <c r="N958" s="15">
        <f>M958-V958</f>
        <v/>
      </c>
      <c r="O958" s="15">
        <f>IF(MOD(L958,$B$11)=0,OFFSET(O958,-$B$11,0)+ $E$2*N958+$E$3*OFFSET(N958,-$B$11,0)+ $E$4*OFFSET(N958,-2* $B$11,0), O957)</f>
        <v/>
      </c>
      <c r="P958" s="15">
        <f>INT((2^$J$12-1)*O958/100)/(2^$J$12-1)*100</f>
        <v/>
      </c>
      <c r="Q958" s="15" t="n">
        <v>0</v>
      </c>
      <c r="R958" s="15">
        <f>P958+Q958</f>
        <v/>
      </c>
      <c r="S958" s="15">
        <f>$I$1*S957-$I$2*S956+$I$3*R937+$I$4*R936</f>
        <v/>
      </c>
      <c r="T958" s="15" t="n">
        <v>0</v>
      </c>
      <c r="U958" s="15">
        <f>S958+T958</f>
        <v/>
      </c>
      <c r="V958" s="15">
        <f>INT((2^$J$12-1)*U958/100)/(2^$J$12-1)*100</f>
        <v/>
      </c>
      <c r="X958" s="15">
        <f>M958 * 1.05</f>
        <v/>
      </c>
      <c r="Y958" s="15">
        <f>M958 * 0.95</f>
        <v/>
      </c>
      <c r="Z958" s="15">
        <f>IF(AND(V958 &lt;= X958, V958 &gt;= Y958), 1, 0)</f>
        <v/>
      </c>
      <c r="AC958" s="15">
        <f>N958^2</f>
        <v/>
      </c>
      <c r="AD958" s="15">
        <f>ABS(N958)</f>
        <v/>
      </c>
      <c r="AE958" s="15">
        <f>IF(M958&gt;0, ABS(N958)*(L958-$D$16),0)</f>
        <v/>
      </c>
    </row>
    <row r="959">
      <c r="L959" s="15" t="n">
        <v>957</v>
      </c>
      <c r="M959" s="15">
        <f>IF(L959&lt;$D$16,$D$12,IF(L959&lt;$E$16,$E$12,$F$13))</f>
        <v/>
      </c>
      <c r="N959" s="15">
        <f>M959-V959</f>
        <v/>
      </c>
      <c r="O959" s="15">
        <f>IF(MOD(L959,$B$11)=0,OFFSET(O959,-$B$11,0)+ $E$2*N959+$E$3*OFFSET(N959,-$B$11,0)+ $E$4*OFFSET(N959,-2* $B$11,0), O958)</f>
        <v/>
      </c>
      <c r="P959" s="15">
        <f>INT((2^$J$12-1)*O959/100)/(2^$J$12-1)*100</f>
        <v/>
      </c>
      <c r="Q959" s="15" t="n">
        <v>0</v>
      </c>
      <c r="R959" s="15">
        <f>P959+Q959</f>
        <v/>
      </c>
      <c r="S959" s="15">
        <f>$I$1*S958-$I$2*S957+$I$3*R938+$I$4*R937</f>
        <v/>
      </c>
      <c r="T959" s="15" t="n">
        <v>0</v>
      </c>
      <c r="U959" s="15">
        <f>S959+T959</f>
        <v/>
      </c>
      <c r="V959" s="15">
        <f>INT((2^$J$12-1)*U959/100)/(2^$J$12-1)*100</f>
        <v/>
      </c>
      <c r="X959" s="15">
        <f>M959 * 1.05</f>
        <v/>
      </c>
      <c r="Y959" s="15">
        <f>M959 * 0.95</f>
        <v/>
      </c>
      <c r="Z959" s="15">
        <f>IF(AND(V959 &lt;= X959, V959 &gt;= Y959), 1, 0)</f>
        <v/>
      </c>
      <c r="AC959" s="15">
        <f>N959^2</f>
        <v/>
      </c>
      <c r="AD959" s="15">
        <f>ABS(N959)</f>
        <v/>
      </c>
      <c r="AE959" s="15">
        <f>IF(M959&gt;0, ABS(N959)*(L959-$D$16),0)</f>
        <v/>
      </c>
    </row>
    <row r="960">
      <c r="L960" s="15" t="n">
        <v>958</v>
      </c>
      <c r="M960" s="15">
        <f>IF(L960&lt;$D$16,$D$12,IF(L960&lt;$E$16,$E$12,$F$13))</f>
        <v/>
      </c>
      <c r="N960" s="15">
        <f>M960-V960</f>
        <v/>
      </c>
      <c r="O960" s="15">
        <f>IF(MOD(L960,$B$11)=0,OFFSET(O960,-$B$11,0)+ $E$2*N960+$E$3*OFFSET(N960,-$B$11,0)+ $E$4*OFFSET(N960,-2* $B$11,0), O959)</f>
        <v/>
      </c>
      <c r="P960" s="15">
        <f>INT((2^$J$12-1)*O960/100)/(2^$J$12-1)*100</f>
        <v/>
      </c>
      <c r="Q960" s="15" t="n">
        <v>0</v>
      </c>
      <c r="R960" s="15">
        <f>P960+Q960</f>
        <v/>
      </c>
      <c r="S960" s="15">
        <f>$I$1*S959-$I$2*S958+$I$3*R939+$I$4*R938</f>
        <v/>
      </c>
      <c r="T960" s="15" t="n">
        <v>0</v>
      </c>
      <c r="U960" s="15">
        <f>S960+T960</f>
        <v/>
      </c>
      <c r="V960" s="15">
        <f>INT((2^$J$12-1)*U960/100)/(2^$J$12-1)*100</f>
        <v/>
      </c>
      <c r="X960" s="15">
        <f>M960 * 1.05</f>
        <v/>
      </c>
      <c r="Y960" s="15">
        <f>M960 * 0.95</f>
        <v/>
      </c>
      <c r="Z960" s="15">
        <f>IF(AND(V960 &lt;= X960, V960 &gt;= Y960), 1, 0)</f>
        <v/>
      </c>
      <c r="AC960" s="15">
        <f>N960^2</f>
        <v/>
      </c>
      <c r="AD960" s="15">
        <f>ABS(N960)</f>
        <v/>
      </c>
      <c r="AE960" s="15">
        <f>IF(M960&gt;0, ABS(N960)*(L960-$D$16),0)</f>
        <v/>
      </c>
    </row>
    <row r="961">
      <c r="L961" s="15" t="n">
        <v>959</v>
      </c>
      <c r="M961" s="15">
        <f>IF(L961&lt;$D$16,$D$12,IF(L961&lt;$E$16,$E$12,$F$13))</f>
        <v/>
      </c>
      <c r="N961" s="15">
        <f>M961-V961</f>
        <v/>
      </c>
      <c r="O961" s="15">
        <f>IF(MOD(L961,$B$11)=0,OFFSET(O961,-$B$11,0)+ $E$2*N961+$E$3*OFFSET(N961,-$B$11,0)+ $E$4*OFFSET(N961,-2* $B$11,0), O960)</f>
        <v/>
      </c>
      <c r="P961" s="15">
        <f>INT((2^$J$12-1)*O961/100)/(2^$J$12-1)*100</f>
        <v/>
      </c>
      <c r="Q961" s="15" t="n">
        <v>0</v>
      </c>
      <c r="R961" s="15">
        <f>P961+Q961</f>
        <v/>
      </c>
      <c r="S961" s="15">
        <f>$I$1*S960-$I$2*S959+$I$3*R940+$I$4*R939</f>
        <v/>
      </c>
      <c r="T961" s="15" t="n">
        <v>0</v>
      </c>
      <c r="U961" s="15">
        <f>S961+T961</f>
        <v/>
      </c>
      <c r="V961" s="15">
        <f>INT((2^$J$12-1)*U961/100)/(2^$J$12-1)*100</f>
        <v/>
      </c>
      <c r="X961" s="15">
        <f>M961 * 1.05</f>
        <v/>
      </c>
      <c r="Y961" s="15">
        <f>M961 * 0.95</f>
        <v/>
      </c>
      <c r="Z961" s="15">
        <f>IF(AND(V961 &lt;= X961, V961 &gt;= Y961), 1, 0)</f>
        <v/>
      </c>
      <c r="AC961" s="15">
        <f>N961^2</f>
        <v/>
      </c>
      <c r="AD961" s="15">
        <f>ABS(N961)</f>
        <v/>
      </c>
      <c r="AE961" s="15">
        <f>IF(M961&gt;0, ABS(N961)*(L961-$D$16),0)</f>
        <v/>
      </c>
    </row>
    <row r="962">
      <c r="L962" s="15" t="n">
        <v>960</v>
      </c>
      <c r="M962" s="15">
        <f>IF(L962&lt;$D$16,$D$12,IF(L962&lt;$E$16,$E$12,$F$13))</f>
        <v/>
      </c>
      <c r="N962" s="15">
        <f>M962-V962</f>
        <v/>
      </c>
      <c r="O962" s="15">
        <f>IF(MOD(L962,$B$11)=0,OFFSET(O962,-$B$11,0)+ $E$2*N962+$E$3*OFFSET(N962,-$B$11,0)+ $E$4*OFFSET(N962,-2* $B$11,0), O961)</f>
        <v/>
      </c>
      <c r="P962" s="15">
        <f>INT((2^$J$12-1)*O962/100)/(2^$J$12-1)*100</f>
        <v/>
      </c>
      <c r="Q962" s="15" t="n">
        <v>0</v>
      </c>
      <c r="R962" s="15">
        <f>P962+Q962</f>
        <v/>
      </c>
      <c r="S962" s="15">
        <f>$I$1*S961-$I$2*S960+$I$3*R941+$I$4*R940</f>
        <v/>
      </c>
      <c r="T962" s="15" t="n">
        <v>0</v>
      </c>
      <c r="U962" s="15">
        <f>S962+T962</f>
        <v/>
      </c>
      <c r="V962" s="15">
        <f>INT((2^$J$12-1)*U962/100)/(2^$J$12-1)*100</f>
        <v/>
      </c>
      <c r="X962" s="15">
        <f>M962 * 1.05</f>
        <v/>
      </c>
      <c r="Y962" s="15">
        <f>M962 * 0.95</f>
        <v/>
      </c>
      <c r="Z962" s="15">
        <f>IF(AND(V962 &lt;= X962, V962 &gt;= Y962), 1, 0)</f>
        <v/>
      </c>
      <c r="AC962" s="15">
        <f>N962^2</f>
        <v/>
      </c>
      <c r="AD962" s="15">
        <f>ABS(N962)</f>
        <v/>
      </c>
      <c r="AE962" s="15">
        <f>IF(M962&gt;0, ABS(N962)*(L962-$D$16),0)</f>
        <v/>
      </c>
    </row>
    <row r="963">
      <c r="L963" s="15" t="n">
        <v>961</v>
      </c>
      <c r="M963" s="15">
        <f>IF(L963&lt;$D$16,$D$12,IF(L963&lt;$E$16,$E$12,$F$13))</f>
        <v/>
      </c>
      <c r="N963" s="15">
        <f>M963-V963</f>
        <v/>
      </c>
      <c r="O963" s="15">
        <f>IF(MOD(L963,$B$11)=0,OFFSET(O963,-$B$11,0)+ $E$2*N963+$E$3*OFFSET(N963,-$B$11,0)+ $E$4*OFFSET(N963,-2* $B$11,0), O962)</f>
        <v/>
      </c>
      <c r="P963" s="15">
        <f>INT((2^$J$12-1)*O963/100)/(2^$J$12-1)*100</f>
        <v/>
      </c>
      <c r="Q963" s="15" t="n">
        <v>0</v>
      </c>
      <c r="R963" s="15">
        <f>P963+Q963</f>
        <v/>
      </c>
      <c r="S963" s="15">
        <f>$I$1*S962-$I$2*S961+$I$3*R942+$I$4*R941</f>
        <v/>
      </c>
      <c r="T963" s="15" t="n">
        <v>0</v>
      </c>
      <c r="U963" s="15">
        <f>S963+T963</f>
        <v/>
      </c>
      <c r="V963" s="15">
        <f>INT((2^$J$12-1)*U963/100)/(2^$J$12-1)*100</f>
        <v/>
      </c>
      <c r="X963" s="15">
        <f>M963 * 1.05</f>
        <v/>
      </c>
      <c r="Y963" s="15">
        <f>M963 * 0.95</f>
        <v/>
      </c>
      <c r="Z963" s="15">
        <f>IF(AND(V963 &lt;= X963, V963 &gt;= Y963), 1, 0)</f>
        <v/>
      </c>
      <c r="AC963" s="15">
        <f>N963^2</f>
        <v/>
      </c>
      <c r="AD963" s="15">
        <f>ABS(N963)</f>
        <v/>
      </c>
      <c r="AE963" s="15">
        <f>IF(M963&gt;0, ABS(N963)*(L963-$D$16),0)</f>
        <v/>
      </c>
    </row>
    <row r="964">
      <c r="L964" s="15" t="n">
        <v>962</v>
      </c>
      <c r="M964" s="15">
        <f>IF(L964&lt;$D$16,$D$12,IF(L964&lt;$E$16,$E$12,$F$13))</f>
        <v/>
      </c>
      <c r="N964" s="15">
        <f>M964-V964</f>
        <v/>
      </c>
      <c r="O964" s="15">
        <f>IF(MOD(L964,$B$11)=0,OFFSET(O964,-$B$11,0)+ $E$2*N964+$E$3*OFFSET(N964,-$B$11,0)+ $E$4*OFFSET(N964,-2* $B$11,0), O963)</f>
        <v/>
      </c>
      <c r="P964" s="15">
        <f>INT((2^$J$12-1)*O964/100)/(2^$J$12-1)*100</f>
        <v/>
      </c>
      <c r="Q964" s="15" t="n">
        <v>0</v>
      </c>
      <c r="R964" s="15">
        <f>P964+Q964</f>
        <v/>
      </c>
      <c r="S964" s="15">
        <f>$I$1*S963-$I$2*S962+$I$3*R943+$I$4*R942</f>
        <v/>
      </c>
      <c r="T964" s="15" t="n">
        <v>0</v>
      </c>
      <c r="U964" s="15">
        <f>S964+T964</f>
        <v/>
      </c>
      <c r="V964" s="15">
        <f>INT((2^$J$12-1)*U964/100)/(2^$J$12-1)*100</f>
        <v/>
      </c>
      <c r="X964" s="15">
        <f>M964 * 1.05</f>
        <v/>
      </c>
      <c r="Y964" s="15">
        <f>M964 * 0.95</f>
        <v/>
      </c>
      <c r="Z964" s="15">
        <f>IF(AND(V964 &lt;= X964, V964 &gt;= Y964), 1, 0)</f>
        <v/>
      </c>
      <c r="AC964" s="15">
        <f>N964^2</f>
        <v/>
      </c>
      <c r="AD964" s="15">
        <f>ABS(N964)</f>
        <v/>
      </c>
      <c r="AE964" s="15">
        <f>IF(M964&gt;0, ABS(N964)*(L964-$D$16),0)</f>
        <v/>
      </c>
    </row>
    <row r="965">
      <c r="L965" s="15" t="n">
        <v>963</v>
      </c>
      <c r="M965" s="15">
        <f>IF(L965&lt;$D$16,$D$12,IF(L965&lt;$E$16,$E$12,$F$13))</f>
        <v/>
      </c>
      <c r="N965" s="15">
        <f>M965-V965</f>
        <v/>
      </c>
      <c r="O965" s="15">
        <f>IF(MOD(L965,$B$11)=0,OFFSET(O965,-$B$11,0)+ $E$2*N965+$E$3*OFFSET(N965,-$B$11,0)+ $E$4*OFFSET(N965,-2* $B$11,0), O964)</f>
        <v/>
      </c>
      <c r="P965" s="15">
        <f>INT((2^$J$12-1)*O965/100)/(2^$J$12-1)*100</f>
        <v/>
      </c>
      <c r="Q965" s="15" t="n">
        <v>0</v>
      </c>
      <c r="R965" s="15">
        <f>P965+Q965</f>
        <v/>
      </c>
      <c r="S965" s="15">
        <f>$I$1*S964-$I$2*S963+$I$3*R944+$I$4*R943</f>
        <v/>
      </c>
      <c r="T965" s="15" t="n">
        <v>0</v>
      </c>
      <c r="U965" s="15">
        <f>S965+T965</f>
        <v/>
      </c>
      <c r="V965" s="15">
        <f>INT((2^$J$12-1)*U965/100)/(2^$J$12-1)*100</f>
        <v/>
      </c>
      <c r="X965" s="15">
        <f>M965 * 1.05</f>
        <v/>
      </c>
      <c r="Y965" s="15">
        <f>M965 * 0.95</f>
        <v/>
      </c>
      <c r="Z965" s="15">
        <f>IF(AND(V965 &lt;= X965, V965 &gt;= Y965), 1, 0)</f>
        <v/>
      </c>
      <c r="AC965" s="15">
        <f>N965^2</f>
        <v/>
      </c>
      <c r="AD965" s="15">
        <f>ABS(N965)</f>
        <v/>
      </c>
      <c r="AE965" s="15">
        <f>IF(M965&gt;0, ABS(N965)*(L965-$D$16),0)</f>
        <v/>
      </c>
    </row>
    <row r="966">
      <c r="L966" s="15" t="n">
        <v>964</v>
      </c>
      <c r="M966" s="15">
        <f>IF(L966&lt;$D$16,$D$12,IF(L966&lt;$E$16,$E$12,$F$13))</f>
        <v/>
      </c>
      <c r="N966" s="15">
        <f>M966-V966</f>
        <v/>
      </c>
      <c r="O966" s="15">
        <f>IF(MOD(L966,$B$11)=0,OFFSET(O966,-$B$11,0)+ $E$2*N966+$E$3*OFFSET(N966,-$B$11,0)+ $E$4*OFFSET(N966,-2* $B$11,0), O965)</f>
        <v/>
      </c>
      <c r="P966" s="15">
        <f>INT((2^$J$12-1)*O966/100)/(2^$J$12-1)*100</f>
        <v/>
      </c>
      <c r="Q966" s="15" t="n">
        <v>0</v>
      </c>
      <c r="R966" s="15">
        <f>P966+Q966</f>
        <v/>
      </c>
      <c r="S966" s="15">
        <f>$I$1*S965-$I$2*S964+$I$3*R945+$I$4*R944</f>
        <v/>
      </c>
      <c r="T966" s="15" t="n">
        <v>0</v>
      </c>
      <c r="U966" s="15">
        <f>S966+T966</f>
        <v/>
      </c>
      <c r="V966" s="15">
        <f>INT((2^$J$12-1)*U966/100)/(2^$J$12-1)*100</f>
        <v/>
      </c>
      <c r="X966" s="15">
        <f>M966 * 1.05</f>
        <v/>
      </c>
      <c r="Y966" s="15">
        <f>M966 * 0.95</f>
        <v/>
      </c>
      <c r="Z966" s="15">
        <f>IF(AND(V966 &lt;= X966, V966 &gt;= Y966), 1, 0)</f>
        <v/>
      </c>
      <c r="AC966" s="15">
        <f>N966^2</f>
        <v/>
      </c>
      <c r="AD966" s="15">
        <f>ABS(N966)</f>
        <v/>
      </c>
      <c r="AE966" s="15">
        <f>IF(M966&gt;0, ABS(N966)*(L966-$D$16),0)</f>
        <v/>
      </c>
    </row>
    <row r="967">
      <c r="L967" s="15" t="n">
        <v>965</v>
      </c>
      <c r="M967" s="15">
        <f>IF(L967&lt;$D$16,$D$12,IF(L967&lt;$E$16,$E$12,$F$13))</f>
        <v/>
      </c>
      <c r="N967" s="15">
        <f>M967-V967</f>
        <v/>
      </c>
      <c r="O967" s="15">
        <f>IF(MOD(L967,$B$11)=0,OFFSET(O967,-$B$11,0)+ $E$2*N967+$E$3*OFFSET(N967,-$B$11,0)+ $E$4*OFFSET(N967,-2* $B$11,0), O966)</f>
        <v/>
      </c>
      <c r="P967" s="15">
        <f>INT((2^$J$12-1)*O967/100)/(2^$J$12-1)*100</f>
        <v/>
      </c>
      <c r="Q967" s="15" t="n">
        <v>0</v>
      </c>
      <c r="R967" s="15">
        <f>P967+Q967</f>
        <v/>
      </c>
      <c r="S967" s="15">
        <f>$I$1*S966-$I$2*S965+$I$3*R946+$I$4*R945</f>
        <v/>
      </c>
      <c r="T967" s="15" t="n">
        <v>0</v>
      </c>
      <c r="U967" s="15">
        <f>S967+T967</f>
        <v/>
      </c>
      <c r="V967" s="15">
        <f>INT((2^$J$12-1)*U967/100)/(2^$J$12-1)*100</f>
        <v/>
      </c>
      <c r="X967" s="15">
        <f>M967 * 1.05</f>
        <v/>
      </c>
      <c r="Y967" s="15">
        <f>M967 * 0.95</f>
        <v/>
      </c>
      <c r="Z967" s="15">
        <f>IF(AND(V967 &lt;= X967, V967 &gt;= Y967), 1, 0)</f>
        <v/>
      </c>
      <c r="AC967" s="15">
        <f>N967^2</f>
        <v/>
      </c>
      <c r="AD967" s="15">
        <f>ABS(N967)</f>
        <v/>
      </c>
      <c r="AE967" s="15">
        <f>IF(M967&gt;0, ABS(N967)*(L967-$D$16),0)</f>
        <v/>
      </c>
    </row>
    <row r="968">
      <c r="L968" s="15" t="n">
        <v>966</v>
      </c>
      <c r="M968" s="15">
        <f>IF(L968&lt;$D$16,$D$12,IF(L968&lt;$E$16,$E$12,$F$13))</f>
        <v/>
      </c>
      <c r="N968" s="15">
        <f>M968-V968</f>
        <v/>
      </c>
      <c r="O968" s="15">
        <f>IF(MOD(L968,$B$11)=0,OFFSET(O968,-$B$11,0)+ $E$2*N968+$E$3*OFFSET(N968,-$B$11,0)+ $E$4*OFFSET(N968,-2* $B$11,0), O967)</f>
        <v/>
      </c>
      <c r="P968" s="15">
        <f>INT((2^$J$12-1)*O968/100)/(2^$J$12-1)*100</f>
        <v/>
      </c>
      <c r="Q968" s="15" t="n">
        <v>0</v>
      </c>
      <c r="R968" s="15">
        <f>P968+Q968</f>
        <v/>
      </c>
      <c r="S968" s="15">
        <f>$I$1*S967-$I$2*S966+$I$3*R947+$I$4*R946</f>
        <v/>
      </c>
      <c r="T968" s="15" t="n">
        <v>0</v>
      </c>
      <c r="U968" s="15">
        <f>S968+T968</f>
        <v/>
      </c>
      <c r="V968" s="15">
        <f>INT((2^$J$12-1)*U968/100)/(2^$J$12-1)*100</f>
        <v/>
      </c>
      <c r="X968" s="15">
        <f>M968 * 1.05</f>
        <v/>
      </c>
      <c r="Y968" s="15">
        <f>M968 * 0.95</f>
        <v/>
      </c>
      <c r="Z968" s="15">
        <f>IF(AND(V968 &lt;= X968, V968 &gt;= Y968), 1, 0)</f>
        <v/>
      </c>
      <c r="AC968" s="15">
        <f>N968^2</f>
        <v/>
      </c>
      <c r="AD968" s="15">
        <f>ABS(N968)</f>
        <v/>
      </c>
      <c r="AE968" s="15">
        <f>IF(M968&gt;0, ABS(N968)*(L968-$D$16),0)</f>
        <v/>
      </c>
    </row>
    <row r="969">
      <c r="L969" s="15" t="n">
        <v>967</v>
      </c>
      <c r="M969" s="15">
        <f>IF(L969&lt;$D$16,$D$12,IF(L969&lt;$E$16,$E$12,$F$13))</f>
        <v/>
      </c>
      <c r="N969" s="15">
        <f>M969-V969</f>
        <v/>
      </c>
      <c r="O969" s="15">
        <f>IF(MOD(L969,$B$11)=0,OFFSET(O969,-$B$11,0)+ $E$2*N969+$E$3*OFFSET(N969,-$B$11,0)+ $E$4*OFFSET(N969,-2* $B$11,0), O968)</f>
        <v/>
      </c>
      <c r="P969" s="15">
        <f>INT((2^$J$12-1)*O969/100)/(2^$J$12-1)*100</f>
        <v/>
      </c>
      <c r="Q969" s="15" t="n">
        <v>0</v>
      </c>
      <c r="R969" s="15">
        <f>P969+Q969</f>
        <v/>
      </c>
      <c r="S969" s="15">
        <f>$I$1*S968-$I$2*S967+$I$3*R948+$I$4*R947</f>
        <v/>
      </c>
      <c r="T969" s="15" t="n">
        <v>0</v>
      </c>
      <c r="U969" s="15">
        <f>S969+T969</f>
        <v/>
      </c>
      <c r="V969" s="15">
        <f>INT((2^$J$12-1)*U969/100)/(2^$J$12-1)*100</f>
        <v/>
      </c>
      <c r="X969" s="15">
        <f>M969 * 1.05</f>
        <v/>
      </c>
      <c r="Y969" s="15">
        <f>M969 * 0.95</f>
        <v/>
      </c>
      <c r="Z969" s="15">
        <f>IF(AND(V969 &lt;= X969, V969 &gt;= Y969), 1, 0)</f>
        <v/>
      </c>
      <c r="AC969" s="15">
        <f>N969^2</f>
        <v/>
      </c>
      <c r="AD969" s="15">
        <f>ABS(N969)</f>
        <v/>
      </c>
      <c r="AE969" s="15">
        <f>IF(M969&gt;0, ABS(N969)*(L969-$D$16),0)</f>
        <v/>
      </c>
    </row>
    <row r="970">
      <c r="L970" s="15" t="n">
        <v>968</v>
      </c>
      <c r="M970" s="15">
        <f>IF(L970&lt;$D$16,$D$12,IF(L970&lt;$E$16,$E$12,$F$13))</f>
        <v/>
      </c>
      <c r="N970" s="15">
        <f>M970-V970</f>
        <v/>
      </c>
      <c r="O970" s="15">
        <f>IF(MOD(L970,$B$11)=0,OFFSET(O970,-$B$11,0)+ $E$2*N970+$E$3*OFFSET(N970,-$B$11,0)+ $E$4*OFFSET(N970,-2* $B$11,0), O969)</f>
        <v/>
      </c>
      <c r="P970" s="15">
        <f>INT((2^$J$12-1)*O970/100)/(2^$J$12-1)*100</f>
        <v/>
      </c>
      <c r="Q970" s="15" t="n">
        <v>0</v>
      </c>
      <c r="R970" s="15">
        <f>P970+Q970</f>
        <v/>
      </c>
      <c r="S970" s="15">
        <f>$I$1*S969-$I$2*S968+$I$3*R949+$I$4*R948</f>
        <v/>
      </c>
      <c r="T970" s="15" t="n">
        <v>0</v>
      </c>
      <c r="U970" s="15">
        <f>S970+T970</f>
        <v/>
      </c>
      <c r="V970" s="15">
        <f>INT((2^$J$12-1)*U970/100)/(2^$J$12-1)*100</f>
        <v/>
      </c>
      <c r="X970" s="15">
        <f>M970 * 1.05</f>
        <v/>
      </c>
      <c r="Y970" s="15">
        <f>M970 * 0.95</f>
        <v/>
      </c>
      <c r="Z970" s="15">
        <f>IF(AND(V970 &lt;= X970, V970 &gt;= Y970), 1, 0)</f>
        <v/>
      </c>
      <c r="AC970" s="15">
        <f>N970^2</f>
        <v/>
      </c>
      <c r="AD970" s="15">
        <f>ABS(N970)</f>
        <v/>
      </c>
      <c r="AE970" s="15">
        <f>IF(M970&gt;0, ABS(N970)*(L970-$D$16),0)</f>
        <v/>
      </c>
    </row>
    <row r="971">
      <c r="L971" s="15" t="n">
        <v>969</v>
      </c>
      <c r="M971" s="15">
        <f>IF(L971&lt;$D$16,$D$12,IF(L971&lt;$E$16,$E$12,$F$13))</f>
        <v/>
      </c>
      <c r="N971" s="15">
        <f>M971-V971</f>
        <v/>
      </c>
      <c r="O971" s="15">
        <f>IF(MOD(L971,$B$11)=0,OFFSET(O971,-$B$11,0)+ $E$2*N971+$E$3*OFFSET(N971,-$B$11,0)+ $E$4*OFFSET(N971,-2* $B$11,0), O970)</f>
        <v/>
      </c>
      <c r="P971" s="15">
        <f>INT((2^$J$12-1)*O971/100)/(2^$J$12-1)*100</f>
        <v/>
      </c>
      <c r="Q971" s="15" t="n">
        <v>0</v>
      </c>
      <c r="R971" s="15">
        <f>P971+Q971</f>
        <v/>
      </c>
      <c r="S971" s="15">
        <f>$I$1*S970-$I$2*S969+$I$3*R950+$I$4*R949</f>
        <v/>
      </c>
      <c r="T971" s="15" t="n">
        <v>0</v>
      </c>
      <c r="U971" s="15">
        <f>S971+T971</f>
        <v/>
      </c>
      <c r="V971" s="15">
        <f>INT((2^$J$12-1)*U971/100)/(2^$J$12-1)*100</f>
        <v/>
      </c>
      <c r="X971" s="15">
        <f>M971 * 1.05</f>
        <v/>
      </c>
      <c r="Y971" s="15">
        <f>M971 * 0.95</f>
        <v/>
      </c>
      <c r="Z971" s="15">
        <f>IF(AND(V971 &lt;= X971, V971 &gt;= Y971), 1, 0)</f>
        <v/>
      </c>
      <c r="AC971" s="15">
        <f>N971^2</f>
        <v/>
      </c>
      <c r="AD971" s="15">
        <f>ABS(N971)</f>
        <v/>
      </c>
      <c r="AE971" s="15">
        <f>IF(M971&gt;0, ABS(N971)*(L971-$D$16),0)</f>
        <v/>
      </c>
    </row>
    <row r="972">
      <c r="L972" s="15" t="n">
        <v>970</v>
      </c>
      <c r="M972" s="15">
        <f>IF(L972&lt;$D$16,$D$12,IF(L972&lt;$E$16,$E$12,$F$13))</f>
        <v/>
      </c>
      <c r="N972" s="15">
        <f>M972-V972</f>
        <v/>
      </c>
      <c r="O972" s="15">
        <f>IF(MOD(L972,$B$11)=0,OFFSET(O972,-$B$11,0)+ $E$2*N972+$E$3*OFFSET(N972,-$B$11,0)+ $E$4*OFFSET(N972,-2* $B$11,0), O971)</f>
        <v/>
      </c>
      <c r="P972" s="15">
        <f>INT((2^$J$12-1)*O972/100)/(2^$J$12-1)*100</f>
        <v/>
      </c>
      <c r="Q972" s="15" t="n">
        <v>0</v>
      </c>
      <c r="R972" s="15">
        <f>P972+Q972</f>
        <v/>
      </c>
      <c r="S972" s="15">
        <f>$I$1*S971-$I$2*S970+$I$3*R951+$I$4*R950</f>
        <v/>
      </c>
      <c r="T972" s="15" t="n">
        <v>0</v>
      </c>
      <c r="U972" s="15">
        <f>S972+T972</f>
        <v/>
      </c>
      <c r="V972" s="15">
        <f>INT((2^$J$12-1)*U972/100)/(2^$J$12-1)*100</f>
        <v/>
      </c>
      <c r="X972" s="15">
        <f>M972 * 1.05</f>
        <v/>
      </c>
      <c r="Y972" s="15">
        <f>M972 * 0.95</f>
        <v/>
      </c>
      <c r="Z972" s="15">
        <f>IF(AND(V972 &lt;= X972, V972 &gt;= Y972), 1, 0)</f>
        <v/>
      </c>
      <c r="AC972" s="15">
        <f>N972^2</f>
        <v/>
      </c>
      <c r="AD972" s="15">
        <f>ABS(N972)</f>
        <v/>
      </c>
      <c r="AE972" s="15">
        <f>IF(M972&gt;0, ABS(N972)*(L972-$D$16),0)</f>
        <v/>
      </c>
    </row>
    <row r="973">
      <c r="L973" s="15" t="n">
        <v>971</v>
      </c>
      <c r="M973" s="15">
        <f>IF(L973&lt;$D$16,$D$12,IF(L973&lt;$E$16,$E$12,$F$13))</f>
        <v/>
      </c>
      <c r="N973" s="15">
        <f>M973-V973</f>
        <v/>
      </c>
      <c r="O973" s="15">
        <f>IF(MOD(L973,$B$11)=0,OFFSET(O973,-$B$11,0)+ $E$2*N973+$E$3*OFFSET(N973,-$B$11,0)+ $E$4*OFFSET(N973,-2* $B$11,0), O972)</f>
        <v/>
      </c>
      <c r="P973" s="15">
        <f>INT((2^$J$12-1)*O973/100)/(2^$J$12-1)*100</f>
        <v/>
      </c>
      <c r="Q973" s="15" t="n">
        <v>0</v>
      </c>
      <c r="R973" s="15">
        <f>P973+Q973</f>
        <v/>
      </c>
      <c r="S973" s="15">
        <f>$I$1*S972-$I$2*S971+$I$3*R952+$I$4*R951</f>
        <v/>
      </c>
      <c r="T973" s="15" t="n">
        <v>0</v>
      </c>
      <c r="U973" s="15">
        <f>S973+T973</f>
        <v/>
      </c>
      <c r="V973" s="15">
        <f>INT((2^$J$12-1)*U973/100)/(2^$J$12-1)*100</f>
        <v/>
      </c>
      <c r="X973" s="15">
        <f>M973 * 1.05</f>
        <v/>
      </c>
      <c r="Y973" s="15">
        <f>M973 * 0.95</f>
        <v/>
      </c>
      <c r="Z973" s="15">
        <f>IF(AND(V973 &lt;= X973, V973 &gt;= Y973), 1, 0)</f>
        <v/>
      </c>
      <c r="AC973" s="15">
        <f>N973^2</f>
        <v/>
      </c>
      <c r="AD973" s="15">
        <f>ABS(N973)</f>
        <v/>
      </c>
      <c r="AE973" s="15">
        <f>IF(M973&gt;0, ABS(N973)*(L973-$D$16),0)</f>
        <v/>
      </c>
    </row>
    <row r="974">
      <c r="L974" s="15" t="n">
        <v>972</v>
      </c>
      <c r="M974" s="15">
        <f>IF(L974&lt;$D$16,$D$12,IF(L974&lt;$E$16,$E$12,$F$13))</f>
        <v/>
      </c>
      <c r="N974" s="15">
        <f>M974-V974</f>
        <v/>
      </c>
      <c r="O974" s="15">
        <f>IF(MOD(L974,$B$11)=0,OFFSET(O974,-$B$11,0)+ $E$2*N974+$E$3*OFFSET(N974,-$B$11,0)+ $E$4*OFFSET(N974,-2* $B$11,0), O973)</f>
        <v/>
      </c>
      <c r="P974" s="15">
        <f>INT((2^$J$12-1)*O974/100)/(2^$J$12-1)*100</f>
        <v/>
      </c>
      <c r="Q974" s="15" t="n">
        <v>0</v>
      </c>
      <c r="R974" s="15">
        <f>P974+Q974</f>
        <v/>
      </c>
      <c r="S974" s="15">
        <f>$I$1*S973-$I$2*S972+$I$3*R953+$I$4*R952</f>
        <v/>
      </c>
      <c r="T974" s="15" t="n">
        <v>0</v>
      </c>
      <c r="U974" s="15">
        <f>S974+T974</f>
        <v/>
      </c>
      <c r="V974" s="15">
        <f>INT((2^$J$12-1)*U974/100)/(2^$J$12-1)*100</f>
        <v/>
      </c>
      <c r="X974" s="15">
        <f>M974 * 1.05</f>
        <v/>
      </c>
      <c r="Y974" s="15">
        <f>M974 * 0.95</f>
        <v/>
      </c>
      <c r="Z974" s="15">
        <f>IF(AND(V974 &lt;= X974, V974 &gt;= Y974), 1, 0)</f>
        <v/>
      </c>
      <c r="AC974" s="15">
        <f>N974^2</f>
        <v/>
      </c>
      <c r="AD974" s="15">
        <f>ABS(N974)</f>
        <v/>
      </c>
      <c r="AE974" s="15">
        <f>IF(M974&gt;0, ABS(N974)*(L974-$D$16),0)</f>
        <v/>
      </c>
    </row>
    <row r="975">
      <c r="L975" s="15" t="n">
        <v>973</v>
      </c>
      <c r="M975" s="15">
        <f>IF(L975&lt;$D$16,$D$12,IF(L975&lt;$E$16,$E$12,$F$13))</f>
        <v/>
      </c>
      <c r="N975" s="15">
        <f>M975-V975</f>
        <v/>
      </c>
      <c r="O975" s="15">
        <f>IF(MOD(L975,$B$11)=0,OFFSET(O975,-$B$11,0)+ $E$2*N975+$E$3*OFFSET(N975,-$B$11,0)+ $E$4*OFFSET(N975,-2* $B$11,0), O974)</f>
        <v/>
      </c>
      <c r="P975" s="15">
        <f>INT((2^$J$12-1)*O975/100)/(2^$J$12-1)*100</f>
        <v/>
      </c>
      <c r="Q975" s="15" t="n">
        <v>0</v>
      </c>
      <c r="R975" s="15">
        <f>P975+Q975</f>
        <v/>
      </c>
      <c r="S975" s="15">
        <f>$I$1*S974-$I$2*S973+$I$3*R954+$I$4*R953</f>
        <v/>
      </c>
      <c r="T975" s="15" t="n">
        <v>0</v>
      </c>
      <c r="U975" s="15">
        <f>S975+T975</f>
        <v/>
      </c>
      <c r="V975" s="15">
        <f>INT((2^$J$12-1)*U975/100)/(2^$J$12-1)*100</f>
        <v/>
      </c>
      <c r="X975" s="15">
        <f>M975 * 1.05</f>
        <v/>
      </c>
      <c r="Y975" s="15">
        <f>M975 * 0.95</f>
        <v/>
      </c>
      <c r="Z975" s="15">
        <f>IF(AND(V975 &lt;= X975, V975 &gt;= Y975), 1, 0)</f>
        <v/>
      </c>
      <c r="AC975" s="15">
        <f>N975^2</f>
        <v/>
      </c>
      <c r="AD975" s="15">
        <f>ABS(N975)</f>
        <v/>
      </c>
      <c r="AE975" s="15">
        <f>IF(M975&gt;0, ABS(N975)*(L975-$D$16),0)</f>
        <v/>
      </c>
    </row>
    <row r="976">
      <c r="L976" s="15" t="n">
        <v>974</v>
      </c>
      <c r="M976" s="15">
        <f>IF(L976&lt;$D$16,$D$12,IF(L976&lt;$E$16,$E$12,$F$13))</f>
        <v/>
      </c>
      <c r="N976" s="15">
        <f>M976-V976</f>
        <v/>
      </c>
      <c r="O976" s="15">
        <f>IF(MOD(L976,$B$11)=0,OFFSET(O976,-$B$11,0)+ $E$2*N976+$E$3*OFFSET(N976,-$B$11,0)+ $E$4*OFFSET(N976,-2* $B$11,0), O975)</f>
        <v/>
      </c>
      <c r="P976" s="15">
        <f>INT((2^$J$12-1)*O976/100)/(2^$J$12-1)*100</f>
        <v/>
      </c>
      <c r="Q976" s="15" t="n">
        <v>0</v>
      </c>
      <c r="R976" s="15">
        <f>P976+Q976</f>
        <v/>
      </c>
      <c r="S976" s="15">
        <f>$I$1*S975-$I$2*S974+$I$3*R955+$I$4*R954</f>
        <v/>
      </c>
      <c r="T976" s="15" t="n">
        <v>0</v>
      </c>
      <c r="U976" s="15">
        <f>S976+T976</f>
        <v/>
      </c>
      <c r="V976" s="15">
        <f>INT((2^$J$12-1)*U976/100)/(2^$J$12-1)*100</f>
        <v/>
      </c>
      <c r="X976" s="15">
        <f>M976 * 1.05</f>
        <v/>
      </c>
      <c r="Y976" s="15">
        <f>M976 * 0.95</f>
        <v/>
      </c>
      <c r="Z976" s="15">
        <f>IF(AND(V976 &lt;= X976, V976 &gt;= Y976), 1, 0)</f>
        <v/>
      </c>
      <c r="AC976" s="15">
        <f>N976^2</f>
        <v/>
      </c>
      <c r="AD976" s="15">
        <f>ABS(N976)</f>
        <v/>
      </c>
      <c r="AE976" s="15">
        <f>IF(M976&gt;0, ABS(N976)*(L976-$D$16),0)</f>
        <v/>
      </c>
    </row>
    <row r="977">
      <c r="L977" s="15" t="n">
        <v>975</v>
      </c>
      <c r="M977" s="15">
        <f>IF(L977&lt;$D$16,$D$12,IF(L977&lt;$E$16,$E$12,$F$13))</f>
        <v/>
      </c>
      <c r="N977" s="15">
        <f>M977-V977</f>
        <v/>
      </c>
      <c r="O977" s="15">
        <f>IF(MOD(L977,$B$11)=0,OFFSET(O977,-$B$11,0)+ $E$2*N977+$E$3*OFFSET(N977,-$B$11,0)+ $E$4*OFFSET(N977,-2* $B$11,0), O976)</f>
        <v/>
      </c>
      <c r="P977" s="15">
        <f>INT((2^$J$12-1)*O977/100)/(2^$J$12-1)*100</f>
        <v/>
      </c>
      <c r="Q977" s="15" t="n">
        <v>0</v>
      </c>
      <c r="R977" s="15">
        <f>P977+Q977</f>
        <v/>
      </c>
      <c r="S977" s="15">
        <f>$I$1*S976-$I$2*S975+$I$3*R956+$I$4*R955</f>
        <v/>
      </c>
      <c r="T977" s="15" t="n">
        <v>0</v>
      </c>
      <c r="U977" s="15">
        <f>S977+T977</f>
        <v/>
      </c>
      <c r="V977" s="15">
        <f>INT((2^$J$12-1)*U977/100)/(2^$J$12-1)*100</f>
        <v/>
      </c>
      <c r="X977" s="15">
        <f>M977 * 1.05</f>
        <v/>
      </c>
      <c r="Y977" s="15">
        <f>M977 * 0.95</f>
        <v/>
      </c>
      <c r="Z977" s="15">
        <f>IF(AND(V977 &lt;= X977, V977 &gt;= Y977), 1, 0)</f>
        <v/>
      </c>
      <c r="AC977" s="15">
        <f>N977^2</f>
        <v/>
      </c>
      <c r="AD977" s="15">
        <f>ABS(N977)</f>
        <v/>
      </c>
      <c r="AE977" s="15">
        <f>IF(M977&gt;0, ABS(N977)*(L977-$D$16),0)</f>
        <v/>
      </c>
    </row>
    <row r="978">
      <c r="L978" s="15" t="n">
        <v>976</v>
      </c>
      <c r="M978" s="15">
        <f>IF(L978&lt;$D$16,$D$12,IF(L978&lt;$E$16,$E$12,$F$13))</f>
        <v/>
      </c>
      <c r="N978" s="15">
        <f>M978-V978</f>
        <v/>
      </c>
      <c r="O978" s="15">
        <f>IF(MOD(L978,$B$11)=0,OFFSET(O978,-$B$11,0)+ $E$2*N978+$E$3*OFFSET(N978,-$B$11,0)+ $E$4*OFFSET(N978,-2* $B$11,0), O977)</f>
        <v/>
      </c>
      <c r="P978" s="15">
        <f>INT((2^$J$12-1)*O978/100)/(2^$J$12-1)*100</f>
        <v/>
      </c>
      <c r="Q978" s="15" t="n">
        <v>0</v>
      </c>
      <c r="R978" s="15">
        <f>P978+Q978</f>
        <v/>
      </c>
      <c r="S978" s="15">
        <f>$I$1*S977-$I$2*S976+$I$3*R957+$I$4*R956</f>
        <v/>
      </c>
      <c r="T978" s="15" t="n">
        <v>0</v>
      </c>
      <c r="U978" s="15">
        <f>S978+T978</f>
        <v/>
      </c>
      <c r="V978" s="15">
        <f>INT((2^$J$12-1)*U978/100)/(2^$J$12-1)*100</f>
        <v/>
      </c>
      <c r="X978" s="15">
        <f>M978 * 1.05</f>
        <v/>
      </c>
      <c r="Y978" s="15">
        <f>M978 * 0.95</f>
        <v/>
      </c>
      <c r="Z978" s="15">
        <f>IF(AND(V978 &lt;= X978, V978 &gt;= Y978), 1, 0)</f>
        <v/>
      </c>
      <c r="AC978" s="15">
        <f>N978^2</f>
        <v/>
      </c>
      <c r="AD978" s="15">
        <f>ABS(N978)</f>
        <v/>
      </c>
      <c r="AE978" s="15">
        <f>IF(M978&gt;0, ABS(N978)*(L978-$D$16),0)</f>
        <v/>
      </c>
    </row>
    <row r="979">
      <c r="L979" s="15" t="n">
        <v>977</v>
      </c>
      <c r="M979" s="15">
        <f>IF(L979&lt;$D$16,$D$12,IF(L979&lt;$E$16,$E$12,$F$13))</f>
        <v/>
      </c>
      <c r="N979" s="15">
        <f>M979-V979</f>
        <v/>
      </c>
      <c r="O979" s="15">
        <f>IF(MOD(L979,$B$11)=0,OFFSET(O979,-$B$11,0)+ $E$2*N979+$E$3*OFFSET(N979,-$B$11,0)+ $E$4*OFFSET(N979,-2* $B$11,0), O978)</f>
        <v/>
      </c>
      <c r="P979" s="15">
        <f>INT((2^$J$12-1)*O979/100)/(2^$J$12-1)*100</f>
        <v/>
      </c>
      <c r="Q979" s="15" t="n">
        <v>0</v>
      </c>
      <c r="R979" s="15">
        <f>P979+Q979</f>
        <v/>
      </c>
      <c r="S979" s="15">
        <f>$I$1*S978-$I$2*S977+$I$3*R958+$I$4*R957</f>
        <v/>
      </c>
      <c r="T979" s="15" t="n">
        <v>0</v>
      </c>
      <c r="U979" s="15">
        <f>S979+T979</f>
        <v/>
      </c>
      <c r="V979" s="15">
        <f>INT((2^$J$12-1)*U979/100)/(2^$J$12-1)*100</f>
        <v/>
      </c>
      <c r="X979" s="15">
        <f>M979 * 1.05</f>
        <v/>
      </c>
      <c r="Y979" s="15">
        <f>M979 * 0.95</f>
        <v/>
      </c>
      <c r="Z979" s="15">
        <f>IF(AND(V979 &lt;= X979, V979 &gt;= Y979), 1, 0)</f>
        <v/>
      </c>
      <c r="AC979" s="15">
        <f>N979^2</f>
        <v/>
      </c>
      <c r="AD979" s="15">
        <f>ABS(N979)</f>
        <v/>
      </c>
      <c r="AE979" s="15">
        <f>IF(M979&gt;0, ABS(N979)*(L979-$D$16),0)</f>
        <v/>
      </c>
    </row>
    <row r="980">
      <c r="L980" s="15" t="n">
        <v>978</v>
      </c>
      <c r="M980" s="15">
        <f>IF(L980&lt;$D$16,$D$12,IF(L980&lt;$E$16,$E$12,$F$13))</f>
        <v/>
      </c>
      <c r="N980" s="15">
        <f>M980-V980</f>
        <v/>
      </c>
      <c r="O980" s="15">
        <f>IF(MOD(L980,$B$11)=0,OFFSET(O980,-$B$11,0)+ $E$2*N980+$E$3*OFFSET(N980,-$B$11,0)+ $E$4*OFFSET(N980,-2* $B$11,0), O979)</f>
        <v/>
      </c>
      <c r="P980" s="15">
        <f>INT((2^$J$12-1)*O980/100)/(2^$J$12-1)*100</f>
        <v/>
      </c>
      <c r="Q980" s="15" t="n">
        <v>0</v>
      </c>
      <c r="R980" s="15">
        <f>P980+Q980</f>
        <v/>
      </c>
      <c r="S980" s="15">
        <f>$I$1*S979-$I$2*S978+$I$3*R959+$I$4*R958</f>
        <v/>
      </c>
      <c r="T980" s="15" t="n">
        <v>0</v>
      </c>
      <c r="U980" s="15">
        <f>S980+T980</f>
        <v/>
      </c>
      <c r="V980" s="15">
        <f>INT((2^$J$12-1)*U980/100)/(2^$J$12-1)*100</f>
        <v/>
      </c>
      <c r="X980" s="15">
        <f>M980 * 1.05</f>
        <v/>
      </c>
      <c r="Y980" s="15">
        <f>M980 * 0.95</f>
        <v/>
      </c>
      <c r="Z980" s="15">
        <f>IF(AND(V980 &lt;= X980, V980 &gt;= Y980), 1, 0)</f>
        <v/>
      </c>
      <c r="AC980" s="15">
        <f>N980^2</f>
        <v/>
      </c>
      <c r="AD980" s="15">
        <f>ABS(N980)</f>
        <v/>
      </c>
      <c r="AE980" s="15">
        <f>IF(M980&gt;0, ABS(N980)*(L980-$D$16),0)</f>
        <v/>
      </c>
    </row>
    <row r="981">
      <c r="L981" s="15" t="n">
        <v>979</v>
      </c>
      <c r="M981" s="15">
        <f>IF(L981&lt;$D$16,$D$12,IF(L981&lt;$E$16,$E$12,$F$13))</f>
        <v/>
      </c>
      <c r="N981" s="15">
        <f>M981-V981</f>
        <v/>
      </c>
      <c r="O981" s="15">
        <f>IF(MOD(L981,$B$11)=0,OFFSET(O981,-$B$11,0)+ $E$2*N981+$E$3*OFFSET(N981,-$B$11,0)+ $E$4*OFFSET(N981,-2* $B$11,0), O980)</f>
        <v/>
      </c>
      <c r="P981" s="15">
        <f>INT((2^$J$12-1)*O981/100)/(2^$J$12-1)*100</f>
        <v/>
      </c>
      <c r="Q981" s="15" t="n">
        <v>0</v>
      </c>
      <c r="R981" s="15">
        <f>P981+Q981</f>
        <v/>
      </c>
      <c r="S981" s="15">
        <f>$I$1*S980-$I$2*S979+$I$3*R960+$I$4*R959</f>
        <v/>
      </c>
      <c r="T981" s="15" t="n">
        <v>0</v>
      </c>
      <c r="U981" s="15">
        <f>S981+T981</f>
        <v/>
      </c>
      <c r="V981" s="15">
        <f>INT((2^$J$12-1)*U981/100)/(2^$J$12-1)*100</f>
        <v/>
      </c>
      <c r="X981" s="15">
        <f>M981 * 1.05</f>
        <v/>
      </c>
      <c r="Y981" s="15">
        <f>M981 * 0.95</f>
        <v/>
      </c>
      <c r="Z981" s="15">
        <f>IF(AND(V981 &lt;= X981, V981 &gt;= Y981), 1, 0)</f>
        <v/>
      </c>
      <c r="AC981" s="15">
        <f>N981^2</f>
        <v/>
      </c>
      <c r="AD981" s="15">
        <f>ABS(N981)</f>
        <v/>
      </c>
      <c r="AE981" s="15">
        <f>IF(M981&gt;0, ABS(N981)*(L981-$D$16),0)</f>
        <v/>
      </c>
    </row>
    <row r="982">
      <c r="L982" s="15" t="n">
        <v>980</v>
      </c>
      <c r="M982" s="15">
        <f>IF(L982&lt;$D$16,$D$12,IF(L982&lt;$E$16,$E$12,$F$13))</f>
        <v/>
      </c>
      <c r="N982" s="15">
        <f>M982-V982</f>
        <v/>
      </c>
      <c r="O982" s="15">
        <f>IF(MOD(L982,$B$11)=0,OFFSET(O982,-$B$11,0)+ $E$2*N982+$E$3*OFFSET(N982,-$B$11,0)+ $E$4*OFFSET(N982,-2* $B$11,0), O981)</f>
        <v/>
      </c>
      <c r="P982" s="15">
        <f>INT((2^$J$12-1)*O982/100)/(2^$J$12-1)*100</f>
        <v/>
      </c>
      <c r="Q982" s="15" t="n">
        <v>0</v>
      </c>
      <c r="R982" s="15">
        <f>P982+Q982</f>
        <v/>
      </c>
      <c r="S982" s="15">
        <f>$I$1*S981-$I$2*S980+$I$3*R961+$I$4*R960</f>
        <v/>
      </c>
      <c r="T982" s="15" t="n">
        <v>0</v>
      </c>
      <c r="U982" s="15">
        <f>S982+T982</f>
        <v/>
      </c>
      <c r="V982" s="15">
        <f>INT((2^$J$12-1)*U982/100)/(2^$J$12-1)*100</f>
        <v/>
      </c>
      <c r="X982" s="15">
        <f>M982 * 1.05</f>
        <v/>
      </c>
      <c r="Y982" s="15">
        <f>M982 * 0.95</f>
        <v/>
      </c>
      <c r="Z982" s="15">
        <f>IF(AND(V982 &lt;= X982, V982 &gt;= Y982), 1, 0)</f>
        <v/>
      </c>
      <c r="AC982" s="15">
        <f>N982^2</f>
        <v/>
      </c>
      <c r="AD982" s="15">
        <f>ABS(N982)</f>
        <v/>
      </c>
      <c r="AE982" s="15">
        <f>IF(M982&gt;0, ABS(N982)*(L982-$D$16),0)</f>
        <v/>
      </c>
    </row>
    <row r="983">
      <c r="L983" s="15" t="n">
        <v>981</v>
      </c>
      <c r="M983" s="15">
        <f>IF(L983&lt;$D$16,$D$12,IF(L983&lt;$E$16,$E$12,$F$13))</f>
        <v/>
      </c>
      <c r="N983" s="15">
        <f>M983-V983</f>
        <v/>
      </c>
      <c r="O983" s="15">
        <f>IF(MOD(L983,$B$11)=0,OFFSET(O983,-$B$11,0)+ $E$2*N983+$E$3*OFFSET(N983,-$B$11,0)+ $E$4*OFFSET(N983,-2* $B$11,0), O982)</f>
        <v/>
      </c>
      <c r="P983" s="15">
        <f>INT((2^$J$12-1)*O983/100)/(2^$J$12-1)*100</f>
        <v/>
      </c>
      <c r="Q983" s="15" t="n">
        <v>0</v>
      </c>
      <c r="R983" s="15">
        <f>P983+Q983</f>
        <v/>
      </c>
      <c r="S983" s="15">
        <f>$I$1*S982-$I$2*S981+$I$3*R962+$I$4*R961</f>
        <v/>
      </c>
      <c r="T983" s="15" t="n">
        <v>0</v>
      </c>
      <c r="U983" s="15">
        <f>S983+T983</f>
        <v/>
      </c>
      <c r="V983" s="15">
        <f>INT((2^$J$12-1)*U983/100)/(2^$J$12-1)*100</f>
        <v/>
      </c>
      <c r="X983" s="15">
        <f>M983 * 1.05</f>
        <v/>
      </c>
      <c r="Y983" s="15">
        <f>M983 * 0.95</f>
        <v/>
      </c>
      <c r="Z983" s="15">
        <f>IF(AND(V983 &lt;= X983, V983 &gt;= Y983), 1, 0)</f>
        <v/>
      </c>
      <c r="AC983" s="15">
        <f>N983^2</f>
        <v/>
      </c>
      <c r="AD983" s="15">
        <f>ABS(N983)</f>
        <v/>
      </c>
      <c r="AE983" s="15">
        <f>IF(M983&gt;0, ABS(N983)*(L983-$D$16),0)</f>
        <v/>
      </c>
    </row>
    <row r="984">
      <c r="L984" s="15" t="n">
        <v>982</v>
      </c>
      <c r="M984" s="15">
        <f>IF(L984&lt;$D$16,$D$12,IF(L984&lt;$E$16,$E$12,$F$13))</f>
        <v/>
      </c>
      <c r="N984" s="15">
        <f>M984-V984</f>
        <v/>
      </c>
      <c r="O984" s="15">
        <f>IF(MOD(L984,$B$11)=0,OFFSET(O984,-$B$11,0)+ $E$2*N984+$E$3*OFFSET(N984,-$B$11,0)+ $E$4*OFFSET(N984,-2* $B$11,0), O983)</f>
        <v/>
      </c>
      <c r="P984" s="15">
        <f>INT((2^$J$12-1)*O984/100)/(2^$J$12-1)*100</f>
        <v/>
      </c>
      <c r="Q984" s="15" t="n">
        <v>0</v>
      </c>
      <c r="R984" s="15">
        <f>P984+Q984</f>
        <v/>
      </c>
      <c r="S984" s="15">
        <f>$I$1*S983-$I$2*S982+$I$3*R963+$I$4*R962</f>
        <v/>
      </c>
      <c r="T984" s="15" t="n">
        <v>0</v>
      </c>
      <c r="U984" s="15">
        <f>S984+T984</f>
        <v/>
      </c>
      <c r="V984" s="15">
        <f>INT((2^$J$12-1)*U984/100)/(2^$J$12-1)*100</f>
        <v/>
      </c>
      <c r="X984" s="15">
        <f>M984 * 1.05</f>
        <v/>
      </c>
      <c r="Y984" s="15">
        <f>M984 * 0.95</f>
        <v/>
      </c>
      <c r="Z984" s="15">
        <f>IF(AND(V984 &lt;= X984, V984 &gt;= Y984), 1, 0)</f>
        <v/>
      </c>
      <c r="AC984" s="15">
        <f>N984^2</f>
        <v/>
      </c>
      <c r="AD984" s="15">
        <f>ABS(N984)</f>
        <v/>
      </c>
      <c r="AE984" s="15">
        <f>IF(M984&gt;0, ABS(N984)*(L984-$D$16),0)</f>
        <v/>
      </c>
    </row>
    <row r="985">
      <c r="L985" s="15" t="n">
        <v>983</v>
      </c>
      <c r="M985" s="15">
        <f>IF(L985&lt;$D$16,$D$12,IF(L985&lt;$E$16,$E$12,$F$13))</f>
        <v/>
      </c>
      <c r="N985" s="15">
        <f>M985-V985</f>
        <v/>
      </c>
      <c r="O985" s="15">
        <f>IF(MOD(L985,$B$11)=0,OFFSET(O985,-$B$11,0)+ $E$2*N985+$E$3*OFFSET(N985,-$B$11,0)+ $E$4*OFFSET(N985,-2* $B$11,0), O984)</f>
        <v/>
      </c>
      <c r="P985" s="15">
        <f>INT((2^$J$12-1)*O985/100)/(2^$J$12-1)*100</f>
        <v/>
      </c>
      <c r="Q985" s="15" t="n">
        <v>0</v>
      </c>
      <c r="R985" s="15">
        <f>P985+Q985</f>
        <v/>
      </c>
      <c r="S985" s="15">
        <f>$I$1*S984-$I$2*S983+$I$3*R964+$I$4*R963</f>
        <v/>
      </c>
      <c r="T985" s="15" t="n">
        <v>0</v>
      </c>
      <c r="U985" s="15">
        <f>S985+T985</f>
        <v/>
      </c>
      <c r="V985" s="15">
        <f>INT((2^$J$12-1)*U985/100)/(2^$J$12-1)*100</f>
        <v/>
      </c>
      <c r="X985" s="15">
        <f>M985 * 1.05</f>
        <v/>
      </c>
      <c r="Y985" s="15">
        <f>M985 * 0.95</f>
        <v/>
      </c>
      <c r="Z985" s="15">
        <f>IF(AND(V985 &lt;= X985, V985 &gt;= Y985), 1, 0)</f>
        <v/>
      </c>
      <c r="AC985" s="15">
        <f>N985^2</f>
        <v/>
      </c>
      <c r="AD985" s="15">
        <f>ABS(N985)</f>
        <v/>
      </c>
      <c r="AE985" s="15">
        <f>IF(M985&gt;0, ABS(N985)*(L985-$D$16),0)</f>
        <v/>
      </c>
    </row>
    <row r="986">
      <c r="L986" s="15" t="n">
        <v>984</v>
      </c>
      <c r="M986" s="15">
        <f>IF(L986&lt;$D$16,$D$12,IF(L986&lt;$E$16,$E$12,$F$13))</f>
        <v/>
      </c>
      <c r="N986" s="15">
        <f>M986-V986</f>
        <v/>
      </c>
      <c r="O986" s="15">
        <f>IF(MOD(L986,$B$11)=0,OFFSET(O986,-$B$11,0)+ $E$2*N986+$E$3*OFFSET(N986,-$B$11,0)+ $E$4*OFFSET(N986,-2* $B$11,0), O985)</f>
        <v/>
      </c>
      <c r="P986" s="15">
        <f>INT((2^$J$12-1)*O986/100)/(2^$J$12-1)*100</f>
        <v/>
      </c>
      <c r="Q986" s="15" t="n">
        <v>0</v>
      </c>
      <c r="R986" s="15">
        <f>P986+Q986</f>
        <v/>
      </c>
      <c r="S986" s="15">
        <f>$I$1*S985-$I$2*S984+$I$3*R965+$I$4*R964</f>
        <v/>
      </c>
      <c r="T986" s="15" t="n">
        <v>0</v>
      </c>
      <c r="U986" s="15">
        <f>S986+T986</f>
        <v/>
      </c>
      <c r="V986" s="15">
        <f>INT((2^$J$12-1)*U986/100)/(2^$J$12-1)*100</f>
        <v/>
      </c>
      <c r="X986" s="15">
        <f>M986 * 1.05</f>
        <v/>
      </c>
      <c r="Y986" s="15">
        <f>M986 * 0.95</f>
        <v/>
      </c>
      <c r="Z986" s="15">
        <f>IF(AND(V986 &lt;= X986, V986 &gt;= Y986), 1, 0)</f>
        <v/>
      </c>
      <c r="AC986" s="15">
        <f>N986^2</f>
        <v/>
      </c>
      <c r="AD986" s="15">
        <f>ABS(N986)</f>
        <v/>
      </c>
      <c r="AE986" s="15">
        <f>IF(M986&gt;0, ABS(N986)*(L986-$D$16),0)</f>
        <v/>
      </c>
    </row>
    <row r="987">
      <c r="L987" s="15" t="n">
        <v>985</v>
      </c>
      <c r="M987" s="15">
        <f>IF(L987&lt;$D$16,$D$12,IF(L987&lt;$E$16,$E$12,$F$13))</f>
        <v/>
      </c>
      <c r="N987" s="15">
        <f>M987-V987</f>
        <v/>
      </c>
      <c r="O987" s="15">
        <f>IF(MOD(L987,$B$11)=0,OFFSET(O987,-$B$11,0)+ $E$2*N987+$E$3*OFFSET(N987,-$B$11,0)+ $E$4*OFFSET(N987,-2* $B$11,0), O986)</f>
        <v/>
      </c>
      <c r="P987" s="15">
        <f>INT((2^$J$12-1)*O987/100)/(2^$J$12-1)*100</f>
        <v/>
      </c>
      <c r="Q987" s="15" t="n">
        <v>0</v>
      </c>
      <c r="R987" s="15">
        <f>P987+Q987</f>
        <v/>
      </c>
      <c r="S987" s="15">
        <f>$I$1*S986-$I$2*S985+$I$3*R966+$I$4*R965</f>
        <v/>
      </c>
      <c r="T987" s="15" t="n">
        <v>0</v>
      </c>
      <c r="U987" s="15">
        <f>S987+T987</f>
        <v/>
      </c>
      <c r="V987" s="15">
        <f>INT((2^$J$12-1)*U987/100)/(2^$J$12-1)*100</f>
        <v/>
      </c>
      <c r="X987" s="15">
        <f>M987 * 1.05</f>
        <v/>
      </c>
      <c r="Y987" s="15">
        <f>M987 * 0.95</f>
        <v/>
      </c>
      <c r="Z987" s="15">
        <f>IF(AND(V987 &lt;= X987, V987 &gt;= Y987), 1, 0)</f>
        <v/>
      </c>
      <c r="AC987" s="15">
        <f>N987^2</f>
        <v/>
      </c>
      <c r="AD987" s="15">
        <f>ABS(N987)</f>
        <v/>
      </c>
      <c r="AE987" s="15">
        <f>IF(M987&gt;0, ABS(N987)*(L987-$D$16),0)</f>
        <v/>
      </c>
    </row>
    <row r="988">
      <c r="L988" s="15" t="n">
        <v>986</v>
      </c>
      <c r="M988" s="15">
        <f>IF(L988&lt;$D$16,$D$12,IF(L988&lt;$E$16,$E$12,$F$13))</f>
        <v/>
      </c>
      <c r="N988" s="15">
        <f>M988-V988</f>
        <v/>
      </c>
      <c r="O988" s="15">
        <f>IF(MOD(L988,$B$11)=0,OFFSET(O988,-$B$11,0)+ $E$2*N988+$E$3*OFFSET(N988,-$B$11,0)+ $E$4*OFFSET(N988,-2* $B$11,0), O987)</f>
        <v/>
      </c>
      <c r="P988" s="15">
        <f>INT((2^$J$12-1)*O988/100)/(2^$J$12-1)*100</f>
        <v/>
      </c>
      <c r="Q988" s="15" t="n">
        <v>0</v>
      </c>
      <c r="R988" s="15">
        <f>P988+Q988</f>
        <v/>
      </c>
      <c r="S988" s="15">
        <f>$I$1*S987-$I$2*S986+$I$3*R967+$I$4*R966</f>
        <v/>
      </c>
      <c r="T988" s="15" t="n">
        <v>0</v>
      </c>
      <c r="U988" s="15">
        <f>S988+T988</f>
        <v/>
      </c>
      <c r="V988" s="15">
        <f>INT((2^$J$12-1)*U988/100)/(2^$J$12-1)*100</f>
        <v/>
      </c>
      <c r="X988" s="15">
        <f>M988 * 1.05</f>
        <v/>
      </c>
      <c r="Y988" s="15">
        <f>M988 * 0.95</f>
        <v/>
      </c>
      <c r="Z988" s="15">
        <f>IF(AND(V988 &lt;= X988, V988 &gt;= Y988), 1, 0)</f>
        <v/>
      </c>
      <c r="AC988" s="15">
        <f>N988^2</f>
        <v/>
      </c>
      <c r="AD988" s="15">
        <f>ABS(N988)</f>
        <v/>
      </c>
      <c r="AE988" s="15">
        <f>IF(M988&gt;0, ABS(N988)*(L988-$D$16),0)</f>
        <v/>
      </c>
    </row>
    <row r="989">
      <c r="L989" s="15" t="n">
        <v>987</v>
      </c>
      <c r="M989" s="15">
        <f>IF(L989&lt;$D$16,$D$12,IF(L989&lt;$E$16,$E$12,$F$13))</f>
        <v/>
      </c>
      <c r="N989" s="15">
        <f>M989-V989</f>
        <v/>
      </c>
      <c r="O989" s="15">
        <f>IF(MOD(L989,$B$11)=0,OFFSET(O989,-$B$11,0)+ $E$2*N989+$E$3*OFFSET(N989,-$B$11,0)+ $E$4*OFFSET(N989,-2* $B$11,0), O988)</f>
        <v/>
      </c>
      <c r="P989" s="15">
        <f>INT((2^$J$12-1)*O989/100)/(2^$J$12-1)*100</f>
        <v/>
      </c>
      <c r="Q989" s="15" t="n">
        <v>0</v>
      </c>
      <c r="R989" s="15">
        <f>P989+Q989</f>
        <v/>
      </c>
      <c r="S989" s="15">
        <f>$I$1*S988-$I$2*S987+$I$3*R968+$I$4*R967</f>
        <v/>
      </c>
      <c r="T989" s="15" t="n">
        <v>0</v>
      </c>
      <c r="U989" s="15">
        <f>S989+T989</f>
        <v/>
      </c>
      <c r="V989" s="15">
        <f>INT((2^$J$12-1)*U989/100)/(2^$J$12-1)*100</f>
        <v/>
      </c>
      <c r="X989" s="15">
        <f>M989 * 1.05</f>
        <v/>
      </c>
      <c r="Y989" s="15">
        <f>M989 * 0.95</f>
        <v/>
      </c>
      <c r="Z989" s="15">
        <f>IF(AND(V989 &lt;= X989, V989 &gt;= Y989), 1, 0)</f>
        <v/>
      </c>
      <c r="AC989" s="15">
        <f>N989^2</f>
        <v/>
      </c>
      <c r="AD989" s="15">
        <f>ABS(N989)</f>
        <v/>
      </c>
      <c r="AE989" s="15">
        <f>IF(M989&gt;0, ABS(N989)*(L989-$D$16),0)</f>
        <v/>
      </c>
    </row>
    <row r="990">
      <c r="L990" s="15" t="n">
        <v>988</v>
      </c>
      <c r="M990" s="15">
        <f>IF(L990&lt;$D$16,$D$12,IF(L990&lt;$E$16,$E$12,$F$13))</f>
        <v/>
      </c>
      <c r="N990" s="15">
        <f>M990-V990</f>
        <v/>
      </c>
      <c r="O990" s="15">
        <f>IF(MOD(L990,$B$11)=0,OFFSET(O990,-$B$11,0)+ $E$2*N990+$E$3*OFFSET(N990,-$B$11,0)+ $E$4*OFFSET(N990,-2* $B$11,0), O989)</f>
        <v/>
      </c>
      <c r="P990" s="15">
        <f>INT((2^$J$12-1)*O990/100)/(2^$J$12-1)*100</f>
        <v/>
      </c>
      <c r="Q990" s="15" t="n">
        <v>0</v>
      </c>
      <c r="R990" s="15">
        <f>P990+Q990</f>
        <v/>
      </c>
      <c r="S990" s="15">
        <f>$I$1*S989-$I$2*S988+$I$3*R969+$I$4*R968</f>
        <v/>
      </c>
      <c r="T990" s="15" t="n">
        <v>0</v>
      </c>
      <c r="U990" s="15">
        <f>S990+T990</f>
        <v/>
      </c>
      <c r="V990" s="15">
        <f>INT((2^$J$12-1)*U990/100)/(2^$J$12-1)*100</f>
        <v/>
      </c>
      <c r="X990" s="15">
        <f>M990 * 1.05</f>
        <v/>
      </c>
      <c r="Y990" s="15">
        <f>M990 * 0.95</f>
        <v/>
      </c>
      <c r="Z990" s="15">
        <f>IF(AND(V990 &lt;= X990, V990 &gt;= Y990), 1, 0)</f>
        <v/>
      </c>
      <c r="AC990" s="15">
        <f>N990^2</f>
        <v/>
      </c>
      <c r="AD990" s="15">
        <f>ABS(N990)</f>
        <v/>
      </c>
      <c r="AE990" s="15">
        <f>IF(M990&gt;0, ABS(N990)*(L990-$D$16),0)</f>
        <v/>
      </c>
    </row>
    <row r="991">
      <c r="L991" s="15" t="n">
        <v>989</v>
      </c>
      <c r="M991" s="15">
        <f>IF(L991&lt;$D$16,$D$12,IF(L991&lt;$E$16,$E$12,$F$13))</f>
        <v/>
      </c>
      <c r="N991" s="15">
        <f>M991-V991</f>
        <v/>
      </c>
      <c r="O991" s="15">
        <f>IF(MOD(L991,$B$11)=0,OFFSET(O991,-$B$11,0)+ $E$2*N991+$E$3*OFFSET(N991,-$B$11,0)+ $E$4*OFFSET(N991,-2* $B$11,0), O990)</f>
        <v/>
      </c>
      <c r="P991" s="15">
        <f>INT((2^$J$12-1)*O991/100)/(2^$J$12-1)*100</f>
        <v/>
      </c>
      <c r="Q991" s="15" t="n">
        <v>0</v>
      </c>
      <c r="R991" s="15">
        <f>P991+Q991</f>
        <v/>
      </c>
      <c r="S991" s="15">
        <f>$I$1*S990-$I$2*S989+$I$3*R970+$I$4*R969</f>
        <v/>
      </c>
      <c r="T991" s="15" t="n">
        <v>0</v>
      </c>
      <c r="U991" s="15">
        <f>S991+T991</f>
        <v/>
      </c>
      <c r="V991" s="15">
        <f>INT((2^$J$12-1)*U991/100)/(2^$J$12-1)*100</f>
        <v/>
      </c>
      <c r="X991" s="15">
        <f>M991 * 1.05</f>
        <v/>
      </c>
      <c r="Y991" s="15">
        <f>M991 * 0.95</f>
        <v/>
      </c>
      <c r="Z991" s="15">
        <f>IF(AND(V991 &lt;= X991, V991 &gt;= Y991), 1, 0)</f>
        <v/>
      </c>
      <c r="AC991" s="15">
        <f>N991^2</f>
        <v/>
      </c>
      <c r="AD991" s="15">
        <f>ABS(N991)</f>
        <v/>
      </c>
      <c r="AE991" s="15">
        <f>IF(M991&gt;0, ABS(N991)*(L991-$D$16),0)</f>
        <v/>
      </c>
    </row>
    <row r="992">
      <c r="L992" s="15" t="n">
        <v>990</v>
      </c>
      <c r="M992" s="15">
        <f>IF(L992&lt;$D$16,$D$12,IF(L992&lt;$E$16,$E$12,$F$13))</f>
        <v/>
      </c>
      <c r="N992" s="15">
        <f>M992-V992</f>
        <v/>
      </c>
      <c r="O992" s="15">
        <f>IF(MOD(L992,$B$11)=0,OFFSET(O992,-$B$11,0)+ $E$2*N992+$E$3*OFFSET(N992,-$B$11,0)+ $E$4*OFFSET(N992,-2* $B$11,0), O991)</f>
        <v/>
      </c>
      <c r="P992" s="15">
        <f>INT((2^$J$12-1)*O992/100)/(2^$J$12-1)*100</f>
        <v/>
      </c>
      <c r="Q992" s="15" t="n">
        <v>0</v>
      </c>
      <c r="R992" s="15">
        <f>P992+Q992</f>
        <v/>
      </c>
      <c r="S992" s="15">
        <f>$I$1*S991-$I$2*S990+$I$3*R971+$I$4*R970</f>
        <v/>
      </c>
      <c r="T992" s="15" t="n">
        <v>0</v>
      </c>
      <c r="U992" s="15">
        <f>S992+T992</f>
        <v/>
      </c>
      <c r="V992" s="15">
        <f>INT((2^$J$12-1)*U992/100)/(2^$J$12-1)*100</f>
        <v/>
      </c>
      <c r="X992" s="15">
        <f>M992 * 1.05</f>
        <v/>
      </c>
      <c r="Y992" s="15">
        <f>M992 * 0.95</f>
        <v/>
      </c>
      <c r="Z992" s="15">
        <f>IF(AND(V992 &lt;= X992, V992 &gt;= Y992), 1, 0)</f>
        <v/>
      </c>
      <c r="AC992" s="15">
        <f>N992^2</f>
        <v/>
      </c>
      <c r="AD992" s="15">
        <f>ABS(N992)</f>
        <v/>
      </c>
      <c r="AE992" s="15">
        <f>IF(M992&gt;0, ABS(N992)*(L992-$D$16),0)</f>
        <v/>
      </c>
    </row>
    <row r="993">
      <c r="L993" s="15" t="n">
        <v>991</v>
      </c>
      <c r="M993" s="15">
        <f>IF(L993&lt;$D$16,$D$12,IF(L993&lt;$E$16,$E$12,$F$13))</f>
        <v/>
      </c>
      <c r="N993" s="15">
        <f>M993-V993</f>
        <v/>
      </c>
      <c r="O993" s="15">
        <f>IF(MOD(L993,$B$11)=0,OFFSET(O993,-$B$11,0)+ $E$2*N993+$E$3*OFFSET(N993,-$B$11,0)+ $E$4*OFFSET(N993,-2* $B$11,0), O992)</f>
        <v/>
      </c>
      <c r="P993" s="15">
        <f>INT((2^$J$12-1)*O993/100)/(2^$J$12-1)*100</f>
        <v/>
      </c>
      <c r="Q993" s="15" t="n">
        <v>0</v>
      </c>
      <c r="R993" s="15">
        <f>P993+Q993</f>
        <v/>
      </c>
      <c r="S993" s="15">
        <f>$I$1*S992-$I$2*S991+$I$3*R972+$I$4*R971</f>
        <v/>
      </c>
      <c r="T993" s="15" t="n">
        <v>0</v>
      </c>
      <c r="U993" s="15">
        <f>S993+T993</f>
        <v/>
      </c>
      <c r="V993" s="15">
        <f>INT((2^$J$12-1)*U993/100)/(2^$J$12-1)*100</f>
        <v/>
      </c>
      <c r="X993" s="15">
        <f>M993 * 1.05</f>
        <v/>
      </c>
      <c r="Y993" s="15">
        <f>M993 * 0.95</f>
        <v/>
      </c>
      <c r="Z993" s="15">
        <f>IF(AND(V993 &lt;= X993, V993 &gt;= Y993), 1, 0)</f>
        <v/>
      </c>
      <c r="AC993" s="15">
        <f>N993^2</f>
        <v/>
      </c>
      <c r="AD993" s="15">
        <f>ABS(N993)</f>
        <v/>
      </c>
      <c r="AE993" s="15">
        <f>IF(M993&gt;0, ABS(N993)*(L993-$D$16),0)</f>
        <v/>
      </c>
    </row>
    <row r="994">
      <c r="L994" s="15" t="n">
        <v>992</v>
      </c>
      <c r="M994" s="15">
        <f>IF(L994&lt;$D$16,$D$12,IF(L994&lt;$E$16,$E$12,$F$13))</f>
        <v/>
      </c>
      <c r="N994" s="15">
        <f>M994-V994</f>
        <v/>
      </c>
      <c r="O994" s="15">
        <f>IF(MOD(L994,$B$11)=0,OFFSET(O994,-$B$11,0)+ $E$2*N994+$E$3*OFFSET(N994,-$B$11,0)+ $E$4*OFFSET(N994,-2* $B$11,0), O993)</f>
        <v/>
      </c>
      <c r="P994" s="15">
        <f>INT((2^$J$12-1)*O994/100)/(2^$J$12-1)*100</f>
        <v/>
      </c>
      <c r="Q994" s="15" t="n">
        <v>0</v>
      </c>
      <c r="R994" s="15">
        <f>P994+Q994</f>
        <v/>
      </c>
      <c r="S994" s="15">
        <f>$I$1*S993-$I$2*S992+$I$3*R973+$I$4*R972</f>
        <v/>
      </c>
      <c r="T994" s="15" t="n">
        <v>0</v>
      </c>
      <c r="U994" s="15">
        <f>S994+T994</f>
        <v/>
      </c>
      <c r="V994" s="15">
        <f>INT((2^$J$12-1)*U994/100)/(2^$J$12-1)*100</f>
        <v/>
      </c>
      <c r="X994" s="15">
        <f>M994 * 1.05</f>
        <v/>
      </c>
      <c r="Y994" s="15">
        <f>M994 * 0.95</f>
        <v/>
      </c>
      <c r="Z994" s="15">
        <f>IF(AND(V994 &lt;= X994, V994 &gt;= Y994), 1, 0)</f>
        <v/>
      </c>
      <c r="AC994" s="15">
        <f>N994^2</f>
        <v/>
      </c>
      <c r="AD994" s="15">
        <f>ABS(N994)</f>
        <v/>
      </c>
      <c r="AE994" s="15">
        <f>IF(M994&gt;0, ABS(N994)*(L994-$D$16),0)</f>
        <v/>
      </c>
    </row>
    <row r="995">
      <c r="L995" s="15" t="n">
        <v>993</v>
      </c>
      <c r="M995" s="15">
        <f>IF(L995&lt;$D$16,$D$12,IF(L995&lt;$E$16,$E$12,$F$13))</f>
        <v/>
      </c>
      <c r="N995" s="15">
        <f>M995-V995</f>
        <v/>
      </c>
      <c r="O995" s="15">
        <f>IF(MOD(L995,$B$11)=0,OFFSET(O995,-$B$11,0)+ $E$2*N995+$E$3*OFFSET(N995,-$B$11,0)+ $E$4*OFFSET(N995,-2* $B$11,0), O994)</f>
        <v/>
      </c>
      <c r="P995" s="15">
        <f>INT((2^$J$12-1)*O995/100)/(2^$J$12-1)*100</f>
        <v/>
      </c>
      <c r="Q995" s="15" t="n">
        <v>0</v>
      </c>
      <c r="R995" s="15">
        <f>P995+Q995</f>
        <v/>
      </c>
      <c r="S995" s="15">
        <f>$I$1*S994-$I$2*S993+$I$3*R974+$I$4*R973</f>
        <v/>
      </c>
      <c r="T995" s="15" t="n">
        <v>0</v>
      </c>
      <c r="U995" s="15">
        <f>S995+T995</f>
        <v/>
      </c>
      <c r="V995" s="15">
        <f>INT((2^$J$12-1)*U995/100)/(2^$J$12-1)*100</f>
        <v/>
      </c>
      <c r="X995" s="15">
        <f>M995 * 1.05</f>
        <v/>
      </c>
      <c r="Y995" s="15">
        <f>M995 * 0.95</f>
        <v/>
      </c>
      <c r="Z995" s="15">
        <f>IF(AND(V995 &lt;= X995, V995 &gt;= Y995), 1, 0)</f>
        <v/>
      </c>
      <c r="AC995" s="15">
        <f>N995^2</f>
        <v/>
      </c>
      <c r="AD995" s="15">
        <f>ABS(N995)</f>
        <v/>
      </c>
      <c r="AE995" s="15">
        <f>IF(M995&gt;0, ABS(N995)*(L995-$D$16),0)</f>
        <v/>
      </c>
    </row>
    <row r="996">
      <c r="L996" s="15" t="n">
        <v>994</v>
      </c>
      <c r="M996" s="15">
        <f>IF(L996&lt;$D$16,$D$12,IF(L996&lt;$E$16,$E$12,$F$13))</f>
        <v/>
      </c>
      <c r="N996" s="15">
        <f>M996-V996</f>
        <v/>
      </c>
      <c r="O996" s="15">
        <f>IF(MOD(L996,$B$11)=0,OFFSET(O996,-$B$11,0)+ $E$2*N996+$E$3*OFFSET(N996,-$B$11,0)+ $E$4*OFFSET(N996,-2* $B$11,0), O995)</f>
        <v/>
      </c>
      <c r="P996" s="15">
        <f>INT((2^$J$12-1)*O996/100)/(2^$J$12-1)*100</f>
        <v/>
      </c>
      <c r="Q996" s="15" t="n">
        <v>0</v>
      </c>
      <c r="R996" s="15">
        <f>P996+Q996</f>
        <v/>
      </c>
      <c r="S996" s="15">
        <f>$I$1*S995-$I$2*S994+$I$3*R975+$I$4*R974</f>
        <v/>
      </c>
      <c r="T996" s="15" t="n">
        <v>0</v>
      </c>
      <c r="U996" s="15">
        <f>S996+T996</f>
        <v/>
      </c>
      <c r="V996" s="15">
        <f>INT((2^$J$12-1)*U996/100)/(2^$J$12-1)*100</f>
        <v/>
      </c>
      <c r="X996" s="15">
        <f>M996 * 1.05</f>
        <v/>
      </c>
      <c r="Y996" s="15">
        <f>M996 * 0.95</f>
        <v/>
      </c>
      <c r="Z996" s="15">
        <f>IF(AND(V996 &lt;= X996, V996 &gt;= Y996), 1, 0)</f>
        <v/>
      </c>
      <c r="AC996" s="15">
        <f>N996^2</f>
        <v/>
      </c>
      <c r="AD996" s="15">
        <f>ABS(N996)</f>
        <v/>
      </c>
      <c r="AE996" s="15">
        <f>IF(M996&gt;0, ABS(N996)*(L996-$D$16),0)</f>
        <v/>
      </c>
    </row>
    <row r="997">
      <c r="L997" s="15" t="n">
        <v>995</v>
      </c>
      <c r="M997" s="15">
        <f>IF(L997&lt;$D$16,$D$12,IF(L997&lt;$E$16,$E$12,$F$13))</f>
        <v/>
      </c>
      <c r="N997" s="15">
        <f>M997-V997</f>
        <v/>
      </c>
      <c r="O997" s="15">
        <f>IF(MOD(L997,$B$11)=0,OFFSET(O997,-$B$11,0)+ $E$2*N997+$E$3*OFFSET(N997,-$B$11,0)+ $E$4*OFFSET(N997,-2* $B$11,0), O996)</f>
        <v/>
      </c>
      <c r="P997" s="15">
        <f>INT((2^$J$12-1)*O997/100)/(2^$J$12-1)*100</f>
        <v/>
      </c>
      <c r="Q997" s="15" t="n">
        <v>0</v>
      </c>
      <c r="R997" s="15">
        <f>P997+Q997</f>
        <v/>
      </c>
      <c r="S997" s="15">
        <f>$I$1*S996-$I$2*S995+$I$3*R976+$I$4*R975</f>
        <v/>
      </c>
      <c r="T997" s="15" t="n">
        <v>0</v>
      </c>
      <c r="U997" s="15">
        <f>S997+T997</f>
        <v/>
      </c>
      <c r="V997" s="15">
        <f>INT((2^$J$12-1)*U997/100)/(2^$J$12-1)*100</f>
        <v/>
      </c>
      <c r="X997" s="15">
        <f>M997 * 1.05</f>
        <v/>
      </c>
      <c r="Y997" s="15">
        <f>M997 * 0.95</f>
        <v/>
      </c>
      <c r="Z997" s="15">
        <f>IF(AND(V997 &lt;= X997, V997 &gt;= Y997), 1, 0)</f>
        <v/>
      </c>
      <c r="AC997" s="15">
        <f>N997^2</f>
        <v/>
      </c>
      <c r="AD997" s="15">
        <f>ABS(N997)</f>
        <v/>
      </c>
      <c r="AE997" s="15">
        <f>IF(M997&gt;0, ABS(N997)*(L997-$D$16),0)</f>
        <v/>
      </c>
    </row>
    <row r="998">
      <c r="L998" s="15" t="n">
        <v>996</v>
      </c>
      <c r="M998" s="15">
        <f>IF(L998&lt;$D$16,$D$12,IF(L998&lt;$E$16,$E$12,$F$13))</f>
        <v/>
      </c>
      <c r="N998" s="15">
        <f>M998-V998</f>
        <v/>
      </c>
      <c r="O998" s="15">
        <f>IF(MOD(L998,$B$11)=0,OFFSET(O998,-$B$11,0)+ $E$2*N998+$E$3*OFFSET(N998,-$B$11,0)+ $E$4*OFFSET(N998,-2* $B$11,0), O997)</f>
        <v/>
      </c>
      <c r="P998" s="15">
        <f>INT((2^$J$12-1)*O998/100)/(2^$J$12-1)*100</f>
        <v/>
      </c>
      <c r="Q998" s="15" t="n">
        <v>0</v>
      </c>
      <c r="R998" s="15">
        <f>P998+Q998</f>
        <v/>
      </c>
      <c r="S998" s="15">
        <f>$I$1*S997-$I$2*S996+$I$3*R977+$I$4*R976</f>
        <v/>
      </c>
      <c r="T998" s="15" t="n">
        <v>0</v>
      </c>
      <c r="U998" s="15">
        <f>S998+T998</f>
        <v/>
      </c>
      <c r="V998" s="15">
        <f>INT((2^$J$12-1)*U998/100)/(2^$J$12-1)*100</f>
        <v/>
      </c>
      <c r="X998" s="15">
        <f>M998 * 1.05</f>
        <v/>
      </c>
      <c r="Y998" s="15">
        <f>M998 * 0.95</f>
        <v/>
      </c>
      <c r="Z998" s="15">
        <f>IF(AND(V998 &lt;= X998, V998 &gt;= Y998), 1, 0)</f>
        <v/>
      </c>
      <c r="AC998" s="15">
        <f>N998^2</f>
        <v/>
      </c>
      <c r="AD998" s="15">
        <f>ABS(N998)</f>
        <v/>
      </c>
      <c r="AE998" s="15">
        <f>IF(M998&gt;0, ABS(N998)*(L998-$D$16),0)</f>
        <v/>
      </c>
    </row>
    <row r="999">
      <c r="L999" s="15" t="n">
        <v>997</v>
      </c>
      <c r="M999" s="15">
        <f>IF(L999&lt;$D$16,$D$12,IF(L999&lt;$E$16,$E$12,$F$13))</f>
        <v/>
      </c>
      <c r="N999" s="15">
        <f>M999-V999</f>
        <v/>
      </c>
      <c r="O999" s="15">
        <f>IF(MOD(L999,$B$11)=0,OFFSET(O999,-$B$11,0)+ $E$2*N999+$E$3*OFFSET(N999,-$B$11,0)+ $E$4*OFFSET(N999,-2* $B$11,0), O998)</f>
        <v/>
      </c>
      <c r="P999" s="15">
        <f>INT((2^$J$12-1)*O999/100)/(2^$J$12-1)*100</f>
        <v/>
      </c>
      <c r="Q999" s="15" t="n">
        <v>0</v>
      </c>
      <c r="R999" s="15">
        <f>P999+Q999</f>
        <v/>
      </c>
      <c r="S999" s="15">
        <f>$I$1*S998-$I$2*S997+$I$3*R978+$I$4*R977</f>
        <v/>
      </c>
      <c r="T999" s="15" t="n">
        <v>0</v>
      </c>
      <c r="U999" s="15">
        <f>S999+T999</f>
        <v/>
      </c>
      <c r="V999" s="15">
        <f>INT((2^$J$12-1)*U999/100)/(2^$J$12-1)*100</f>
        <v/>
      </c>
      <c r="X999" s="15">
        <f>M999 * 1.05</f>
        <v/>
      </c>
      <c r="Y999" s="15">
        <f>M999 * 0.95</f>
        <v/>
      </c>
      <c r="Z999" s="15">
        <f>IF(AND(V999 &lt;= X999, V999 &gt;= Y999), 1, 0)</f>
        <v/>
      </c>
      <c r="AC999" s="15">
        <f>N999^2</f>
        <v/>
      </c>
      <c r="AD999" s="15">
        <f>ABS(N999)</f>
        <v/>
      </c>
      <c r="AE999" s="15">
        <f>IF(M999&gt;0, ABS(N999)*(L999-$D$16),0)</f>
        <v/>
      </c>
    </row>
    <row r="1000">
      <c r="L1000" s="15" t="n">
        <v>998</v>
      </c>
      <c r="M1000" s="15">
        <f>IF(L1000&lt;$D$16,$D$12,IF(L1000&lt;$E$16,$E$12,$F$13))</f>
        <v/>
      </c>
      <c r="N1000" s="15">
        <f>M1000-V1000</f>
        <v/>
      </c>
      <c r="O1000" s="15">
        <f>IF(MOD(L1000,$B$11)=0,OFFSET(O1000,-$B$11,0)+ $E$2*N1000+$E$3*OFFSET(N1000,-$B$11,0)+ $E$4*OFFSET(N1000,-2* $B$11,0), O999)</f>
        <v/>
      </c>
      <c r="P1000" s="15">
        <f>INT((2^$J$12-1)*O1000/100)/(2^$J$12-1)*100</f>
        <v/>
      </c>
      <c r="Q1000" s="15" t="n">
        <v>0</v>
      </c>
      <c r="R1000" s="15">
        <f>P1000+Q1000</f>
        <v/>
      </c>
      <c r="S1000" s="15">
        <f>$I$1*S999-$I$2*S998+$I$3*R979+$I$4*R978</f>
        <v/>
      </c>
      <c r="T1000" s="15" t="n">
        <v>0</v>
      </c>
      <c r="U1000" s="15">
        <f>S1000+T1000</f>
        <v/>
      </c>
      <c r="V1000" s="15">
        <f>INT((2^$J$12-1)*U1000/100)/(2^$J$12-1)*100</f>
        <v/>
      </c>
      <c r="X1000" s="15">
        <f>M1000 * 1.05</f>
        <v/>
      </c>
      <c r="Y1000" s="15">
        <f>M1000 * 0.95</f>
        <v/>
      </c>
      <c r="Z1000" s="15">
        <f>IF(AND(V1000 &lt;= X1000, V1000 &gt;= Y1000), 1, 0)</f>
        <v/>
      </c>
      <c r="AC1000" s="15">
        <f>N1000^2</f>
        <v/>
      </c>
      <c r="AD1000" s="15">
        <f>ABS(N1000)</f>
        <v/>
      </c>
      <c r="AE1000" s="15">
        <f>IF(M1000&gt;0, ABS(N1000)*(L1000-$D$16),0)</f>
        <v/>
      </c>
    </row>
    <row r="1001">
      <c r="L1001" s="15" t="n">
        <v>999</v>
      </c>
      <c r="M1001" s="15">
        <f>IF(L1001&lt;$D$16,$D$12,IF(L1001&lt;$E$16,$E$12,$F$13))</f>
        <v/>
      </c>
      <c r="N1001" s="15">
        <f>M1001-V1001</f>
        <v/>
      </c>
      <c r="O1001" s="15">
        <f>IF(MOD(L1001,$B$11)=0,OFFSET(O1001,-$B$11,0)+ $E$2*N1001+$E$3*OFFSET(N1001,-$B$11,0)+ $E$4*OFFSET(N1001,-2* $B$11,0), O1000)</f>
        <v/>
      </c>
      <c r="P1001" s="15">
        <f>INT((2^$J$12-1)*O1001/100)/(2^$J$12-1)*100</f>
        <v/>
      </c>
      <c r="Q1001" s="15" t="n">
        <v>0</v>
      </c>
      <c r="R1001" s="15">
        <f>P1001+Q1001</f>
        <v/>
      </c>
      <c r="S1001" s="15">
        <f>$I$1*S1000-$I$2*S999+$I$3*R980+$I$4*R979</f>
        <v/>
      </c>
      <c r="T1001" s="15" t="n">
        <v>0</v>
      </c>
      <c r="U1001" s="15">
        <f>S1001+T1001</f>
        <v/>
      </c>
      <c r="V1001" s="15">
        <f>INT((2^$J$12-1)*U1001/100)/(2^$J$12-1)*100</f>
        <v/>
      </c>
      <c r="X1001" s="15">
        <f>M1001 * 1.05</f>
        <v/>
      </c>
      <c r="Y1001" s="15">
        <f>M1001 * 0.95</f>
        <v/>
      </c>
      <c r="Z1001" s="15">
        <f>IF(AND(V1001 &lt;= X1001, V1001 &gt;= Y1001), 1, 0)</f>
        <v/>
      </c>
      <c r="AC1001" s="15">
        <f>N1001^2</f>
        <v/>
      </c>
      <c r="AD1001" s="15">
        <f>ABS(N1001)</f>
        <v/>
      </c>
      <c r="AE1001" s="15">
        <f>IF(M1001&gt;0, ABS(N1001)*(L1001-$D$16),0)</f>
        <v/>
      </c>
    </row>
    <row r="1002">
      <c r="L1002" s="15" t="n">
        <v>1000</v>
      </c>
      <c r="M1002" s="15">
        <f>IF(L1002&lt;$D$16,$D$12,IF(L1002&lt;$E$16,$E$12,$F$13))</f>
        <v/>
      </c>
      <c r="N1002" s="15">
        <f>M1002-V1002</f>
        <v/>
      </c>
      <c r="O1002" s="15">
        <f>IF(MOD(L1002,$B$11)=0,OFFSET(O1002,-$B$11,0)+ $E$2*N1002+$E$3*OFFSET(N1002,-$B$11,0)+ $E$4*OFFSET(N1002,-2* $B$11,0), O1001)</f>
        <v/>
      </c>
      <c r="P1002" s="15">
        <f>INT((2^$J$12-1)*O1002/100)/(2^$J$12-1)*100</f>
        <v/>
      </c>
      <c r="Q1002" s="15" t="n">
        <v>0</v>
      </c>
      <c r="R1002" s="15">
        <f>P1002+Q1002</f>
        <v/>
      </c>
      <c r="S1002" s="15">
        <f>$I$1*S1001-$I$2*S1000+$I$3*R981+$I$4*R980</f>
        <v/>
      </c>
      <c r="T1002" s="15" t="n">
        <v>0</v>
      </c>
      <c r="U1002" s="15">
        <f>S1002+T1002</f>
        <v/>
      </c>
      <c r="V1002" s="15">
        <f>INT((2^$J$12-1)*U1002/100)/(2^$J$12-1)*100</f>
        <v/>
      </c>
      <c r="X1002" s="15">
        <f>M1002 * 1.05</f>
        <v/>
      </c>
      <c r="Y1002" s="15">
        <f>M1002 * 0.95</f>
        <v/>
      </c>
      <c r="Z1002" s="15">
        <f>IF(AND(V1002 &lt;= X1002, V1002 &gt;= Y1002), 1, 0)</f>
        <v/>
      </c>
      <c r="AC1002" s="15">
        <f>N1002^2</f>
        <v/>
      </c>
      <c r="AD1002" s="15">
        <f>ABS(N1002)</f>
        <v/>
      </c>
      <c r="AE1002" s="15">
        <f>IF(M1002&gt;0, ABS(N1002)*(L1002-$D$16),0)</f>
        <v/>
      </c>
    </row>
  </sheetData>
  <mergeCells count="2">
    <mergeCell ref="A1:B1"/>
    <mergeCell ref="A7:B7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35" customWidth="1" min="7" max="7"/>
    <col width="12" customWidth="1" min="8" max="8"/>
  </cols>
  <sheetData>
    <row r="1">
      <c r="A1" t="inlineStr">
        <is>
          <t>Параметры обьекта</t>
        </is>
      </c>
      <c r="D1" t="inlineStr">
        <is>
          <t>Т0</t>
        </is>
      </c>
      <c r="E1" t="n">
        <v>1</v>
      </c>
      <c r="H1" t="inlineStr">
        <is>
          <t>A1</t>
        </is>
      </c>
      <c r="I1">
        <f>EXP(-B$6/$B$4)+EXP(-B$6/$B$5)</f>
        <v/>
      </c>
      <c r="L1" t="inlineStr">
        <is>
          <t>t</t>
        </is>
      </c>
      <c r="M1" t="inlineStr">
        <is>
          <t>g(nT0)</t>
        </is>
      </c>
      <c r="N1" t="inlineStr">
        <is>
          <t>e(nT0)</t>
        </is>
      </c>
      <c r="O1" t="inlineStr">
        <is>
          <t>u(nT0)</t>
        </is>
      </c>
      <c r="P1" t="inlineStr">
        <is>
          <t>u(t)</t>
        </is>
      </c>
      <c r="Q1" t="inlineStr">
        <is>
          <t>f(t)</t>
        </is>
      </c>
      <c r="R1" t="inlineStr">
        <is>
          <t>x(t)</t>
        </is>
      </c>
      <c r="S1" t="inlineStr">
        <is>
          <t>x*(t)</t>
        </is>
      </c>
      <c r="T1" t="inlineStr">
        <is>
          <t>s(t)</t>
        </is>
      </c>
      <c r="U1" t="inlineStr">
        <is>
          <t>y(t)</t>
        </is>
      </c>
      <c r="V1" t="inlineStr">
        <is>
          <t>y(nT0)</t>
        </is>
      </c>
      <c r="X1" t="inlineStr">
        <is>
          <t>Граница верх</t>
        </is>
      </c>
    </row>
    <row r="2">
      <c r="A2" t="inlineStr">
        <is>
          <t>K</t>
        </is>
      </c>
      <c r="B2" t="n">
        <v>4</v>
      </c>
      <c r="D2" t="inlineStr">
        <is>
          <t>q0</t>
        </is>
      </c>
      <c r="E2">
        <f>$B$8*(1+B11/(2*$B$9)+B10/B11)</f>
        <v/>
      </c>
      <c r="H2" t="inlineStr">
        <is>
          <t>A2</t>
        </is>
      </c>
      <c r="I2">
        <f>EXP(-B$6/$B$4)*EXP(-B$6/$B$5)</f>
        <v/>
      </c>
      <c r="L2" t="n">
        <v>0</v>
      </c>
      <c r="M2">
        <f>IF(L2&lt;$D$16,$D$13,IF(L2&lt;$E$16,$E$13,$F$13))</f>
        <v/>
      </c>
      <c r="N2">
        <f>M2-V2</f>
        <v/>
      </c>
      <c r="O2" t="inlineStr">
        <is>
          <t>0</t>
        </is>
      </c>
      <c r="P2">
        <f>INT((2^$J$12-1)*O2/100)/(2^$J$12-1)*100</f>
        <v/>
      </c>
      <c r="Q2">
        <f>RAND()*$G$12</f>
        <v/>
      </c>
      <c r="R2">
        <f>P2+Q2</f>
        <v/>
      </c>
      <c r="S2">
        <f>INT((2^$J$12-1)*R2/100)/(2^$J$12-1)*100</f>
        <v/>
      </c>
      <c r="T2">
        <f>RAND()*$G$12</f>
        <v/>
      </c>
      <c r="U2" t="inlineStr">
        <is>
          <t>0</t>
        </is>
      </c>
      <c r="V2">
        <f>INT((2^$J$12-1)*U2/100)/(2^$J$12-1)*100</f>
        <v/>
      </c>
      <c r="X2">
        <f>M2 * 1.05</f>
        <v/>
      </c>
    </row>
    <row r="3">
      <c r="A3" t="inlineStr">
        <is>
          <t>tau</t>
        </is>
      </c>
      <c r="B3" t="n">
        <v>40</v>
      </c>
      <c r="D3" t="inlineStr">
        <is>
          <t>q1</t>
        </is>
      </c>
      <c r="E3">
        <f>$B$8*(B11/(2*$B$9)-1-2*$B$10/B11)</f>
        <v/>
      </c>
      <c r="H3" t="inlineStr">
        <is>
          <t>B1</t>
        </is>
      </c>
      <c r="I3">
        <f>$B$2*(1+$B$4/($B$5-$B$4)*EXP(-B6/$B$4)-$B$5/($B$5-$B$4)*EXP(-B6/$B$5))</f>
        <v/>
      </c>
      <c r="L3" t="n">
        <v>1</v>
      </c>
      <c r="M3">
        <f>IF(L3&lt;$D$16,$D$13,IF(L3&lt;$E$16,$E$13,$F$13))</f>
        <v/>
      </c>
      <c r="N3">
        <f>M3-V3</f>
        <v/>
      </c>
      <c r="O3" t="inlineStr">
        <is>
          <t>0</t>
        </is>
      </c>
      <c r="P3">
        <f>INT((2^$J$12-1)*O3/100)/(2^$J$12-1)*100</f>
        <v/>
      </c>
      <c r="Q3">
        <f>RAND()*$G$12</f>
        <v/>
      </c>
      <c r="R3">
        <f>P3+Q3</f>
        <v/>
      </c>
      <c r="S3">
        <f>INT((2^$J$12-1)*R3/100)/(2^$J$12-1)*100</f>
        <v/>
      </c>
      <c r="T3">
        <f>RAND()*$G$12</f>
        <v/>
      </c>
      <c r="U3" t="inlineStr">
        <is>
          <t>0</t>
        </is>
      </c>
      <c r="V3">
        <f>INT((2^$J$12-1)*U3/100)/(2^$J$12-1)*100</f>
        <v/>
      </c>
      <c r="X3">
        <f>M3 * 1.05</f>
        <v/>
      </c>
    </row>
    <row r="4">
      <c r="A4" t="inlineStr">
        <is>
          <t>T1</t>
        </is>
      </c>
      <c r="B4" t="n">
        <v>17</v>
      </c>
      <c r="D4" t="inlineStr">
        <is>
          <t>q2</t>
        </is>
      </c>
      <c r="E4">
        <f>$B$8*$B$10/B11</f>
        <v/>
      </c>
      <c r="H4" t="inlineStr">
        <is>
          <t>B2</t>
        </is>
      </c>
      <c r="I4">
        <f>$B$2*(EXP(-B6/$B$4)*EXP(-B6/$B$5)+$B$4/($B$5-$B$4)*EXP(-B6/$B$5)-$B$5/($B$5-$B$4)*EXP(-B6/$B$4))</f>
        <v/>
      </c>
      <c r="L4" t="n">
        <v>2</v>
      </c>
      <c r="M4">
        <f>IF(L4&lt;$D$16,$D$13,IF(L4&lt;$E$16,$E$13,$F$13))</f>
        <v/>
      </c>
      <c r="N4">
        <f>M4-V4</f>
        <v/>
      </c>
      <c r="O4" t="inlineStr">
        <is>
          <t>0</t>
        </is>
      </c>
      <c r="P4">
        <f>INT((2^$J$12-1)*O4/100)/(2^$J$12-1)*100</f>
        <v/>
      </c>
      <c r="Q4">
        <f>RAND()*$G$12</f>
        <v/>
      </c>
      <c r="R4">
        <f>P4+Q4</f>
        <v/>
      </c>
      <c r="S4">
        <f>INT((2^$J$12-1)*R4/100)/(2^$J$12-1)*100</f>
        <v/>
      </c>
      <c r="T4">
        <f>RAND()*$G$12</f>
        <v/>
      </c>
      <c r="U4">
        <f>$I$1*U3-$I$2*U2+$I$3*0+$I$4*0</f>
        <v/>
      </c>
      <c r="V4">
        <f>INT((2^$J$12-1)*U4/100)/(2^$J$12-1)*100</f>
        <v/>
      </c>
      <c r="X4">
        <f>M4 * 1.05</f>
        <v/>
      </c>
    </row>
    <row r="5">
      <c r="A5" t="inlineStr">
        <is>
          <t>T2</t>
        </is>
      </c>
      <c r="B5" t="n">
        <v>13</v>
      </c>
      <c r="D5" t="inlineStr">
        <is>
          <t>T0</t>
        </is>
      </c>
      <c r="L5" t="n">
        <v>3</v>
      </c>
      <c r="M5">
        <f>IF(L5&lt;$D$16,$D$13,IF(L5&lt;$E$16,$E$13,$F$13))</f>
        <v/>
      </c>
      <c r="N5">
        <f>M5-V5</f>
        <v/>
      </c>
      <c r="O5" t="inlineStr">
        <is>
          <t>0</t>
        </is>
      </c>
      <c r="P5">
        <f>INT((2^$J$12-1)*O5/100)/(2^$J$12-1)*100</f>
        <v/>
      </c>
      <c r="Q5">
        <f>RAND()*$G$12</f>
        <v/>
      </c>
      <c r="R5">
        <f>P5+Q5</f>
        <v/>
      </c>
      <c r="S5">
        <f>INT((2^$J$12-1)*R5/100)/(2^$J$12-1)*100</f>
        <v/>
      </c>
      <c r="T5">
        <f>RAND()*$G$12</f>
        <v/>
      </c>
      <c r="U5">
        <f>$I$1*U4-$I$2*U3+$I$3*0+$I$4*0</f>
        <v/>
      </c>
      <c r="V5">
        <f>INT((2^$J$12-1)*U5/100)/(2^$J$12-1)*100</f>
        <v/>
      </c>
      <c r="X5">
        <f>M5 * 1.05</f>
        <v/>
      </c>
    </row>
    <row r="6">
      <c r="A6" t="inlineStr">
        <is>
          <t>T0</t>
        </is>
      </c>
      <c r="B6" t="n">
        <v>1</v>
      </c>
      <c r="L6" t="n">
        <v>4</v>
      </c>
      <c r="M6">
        <f>IF(L6&lt;$D$16,$D$13,IF(L6&lt;$E$16,$E$13,$F$13))</f>
        <v/>
      </c>
      <c r="N6">
        <f>M6-V6</f>
        <v/>
      </c>
      <c r="O6" t="inlineStr">
        <is>
          <t>0</t>
        </is>
      </c>
      <c r="P6">
        <f>INT((2^$J$12-1)*O6/100)/(2^$J$12-1)*100</f>
        <v/>
      </c>
      <c r="Q6">
        <f>RAND()*$G$12</f>
        <v/>
      </c>
      <c r="R6">
        <f>P6+Q6</f>
        <v/>
      </c>
      <c r="S6">
        <f>INT((2^$J$12-1)*R6/100)/(2^$J$12-1)*100</f>
        <v/>
      </c>
      <c r="T6">
        <f>RAND()*$G$12</f>
        <v/>
      </c>
      <c r="U6">
        <f>$I$1*U5-$I$2*U4+$I$3*0+$I$4*0</f>
        <v/>
      </c>
      <c r="V6">
        <f>INT((2^$J$12-1)*U6/100)/(2^$J$12-1)*100</f>
        <v/>
      </c>
      <c r="X6">
        <f>M6 * 1.05</f>
        <v/>
      </c>
    </row>
    <row r="7">
      <c r="A7" t="inlineStr">
        <is>
          <t>Параметры регулятор</t>
        </is>
      </c>
      <c r="L7" t="n">
        <v>5</v>
      </c>
      <c r="M7">
        <f>IF(L7&lt;$D$16,$D$13,IF(L7&lt;$E$16,$E$13,$F$13))</f>
        <v/>
      </c>
      <c r="N7">
        <f>M7-V7</f>
        <v/>
      </c>
      <c r="O7" t="inlineStr">
        <is>
          <t>0</t>
        </is>
      </c>
      <c r="P7">
        <f>INT((2^$J$12-1)*O7/100)/(2^$J$12-1)*100</f>
        <v/>
      </c>
      <c r="Q7">
        <f>RAND()*$G$12</f>
        <v/>
      </c>
      <c r="R7">
        <f>P7+Q7</f>
        <v/>
      </c>
      <c r="S7">
        <f>INT((2^$J$12-1)*R7/100)/(2^$J$12-1)*100</f>
        <v/>
      </c>
      <c r="T7">
        <f>RAND()*$G$12</f>
        <v/>
      </c>
      <c r="U7">
        <f>$I$1*U6-$I$2*U5+$I$3*0+$I$4*0</f>
        <v/>
      </c>
      <c r="V7">
        <f>INT((2^$J$12-1)*U7/100)/(2^$J$12-1)*100</f>
        <v/>
      </c>
      <c r="X7">
        <f>M7 * 1.05</f>
        <v/>
      </c>
    </row>
    <row r="8">
      <c r="A8" t="inlineStr">
        <is>
          <t>kr</t>
        </is>
      </c>
      <c r="B8" t="n">
        <v>0.18</v>
      </c>
      <c r="L8" t="n">
        <v>6</v>
      </c>
      <c r="M8">
        <f>IF(L8&lt;$D$16,$D$13,IF(L8&lt;$E$16,$E$13,$F$13))</f>
        <v/>
      </c>
      <c r="N8">
        <f>M8-V8</f>
        <v/>
      </c>
      <c r="O8" t="inlineStr">
        <is>
          <t>0</t>
        </is>
      </c>
      <c r="P8">
        <f>INT((2^$J$12-1)*O8/100)/(2^$J$12-1)*100</f>
        <v/>
      </c>
      <c r="Q8">
        <f>RAND()*$G$12</f>
        <v/>
      </c>
      <c r="R8">
        <f>P8+Q8</f>
        <v/>
      </c>
      <c r="S8">
        <f>INT((2^$J$12-1)*R8/100)/(2^$J$12-1)*100</f>
        <v/>
      </c>
      <c r="T8">
        <f>RAND()*$G$12</f>
        <v/>
      </c>
      <c r="U8">
        <f>$I$1*U7-$I$2*U6+$I$3*0+$I$4*0</f>
        <v/>
      </c>
      <c r="V8">
        <f>INT((2^$J$12-1)*U8/100)/(2^$J$12-1)*100</f>
        <v/>
      </c>
      <c r="X8">
        <f>M8 * 1.05</f>
        <v/>
      </c>
    </row>
    <row r="9">
      <c r="A9" t="inlineStr">
        <is>
          <t>Ti</t>
        </is>
      </c>
      <c r="B9" t="n">
        <v>27.5</v>
      </c>
      <c r="L9" t="n">
        <v>7</v>
      </c>
      <c r="M9">
        <f>IF(L9&lt;$D$16,$D$13,IF(L9&lt;$E$16,$E$13,$F$13))</f>
        <v/>
      </c>
      <c r="N9">
        <f>M9-V9</f>
        <v/>
      </c>
      <c r="O9" t="inlineStr">
        <is>
          <t>0</t>
        </is>
      </c>
      <c r="P9">
        <f>INT((2^$J$12-1)*O9/100)/(2^$J$12-1)*100</f>
        <v/>
      </c>
      <c r="Q9">
        <f>RAND()*$G$12</f>
        <v/>
      </c>
      <c r="R9">
        <f>P9+Q9</f>
        <v/>
      </c>
      <c r="S9">
        <f>INT((2^$J$12-1)*R9/100)/(2^$J$12-1)*100</f>
        <v/>
      </c>
      <c r="T9">
        <f>RAND()*$G$12</f>
        <v/>
      </c>
      <c r="U9">
        <f>$I$1*U8-$I$2*U7+$I$3*0+$I$4*0</f>
        <v/>
      </c>
      <c r="V9">
        <f>INT((2^$J$12-1)*U9/100)/(2^$J$12-1)*100</f>
        <v/>
      </c>
      <c r="X9">
        <f>M9 * 1.05</f>
        <v/>
      </c>
    </row>
    <row r="10">
      <c r="A10" t="inlineStr">
        <is>
          <t>Td</t>
        </is>
      </c>
      <c r="B10" t="n">
        <v>10</v>
      </c>
      <c r="L10" t="n">
        <v>8</v>
      </c>
      <c r="M10">
        <f>IF(L10&lt;$D$16,$D$13,IF(L10&lt;$E$16,$E$13,$F$13))</f>
        <v/>
      </c>
      <c r="N10">
        <f>M10-V10</f>
        <v/>
      </c>
      <c r="O10" t="inlineStr">
        <is>
          <t>0</t>
        </is>
      </c>
      <c r="P10">
        <f>INT((2^$J$12-1)*O10/100)/(2^$J$12-1)*100</f>
        <v/>
      </c>
      <c r="Q10">
        <f>RAND()*$G$12</f>
        <v/>
      </c>
      <c r="R10">
        <f>P10+Q10</f>
        <v/>
      </c>
      <c r="S10">
        <f>INT((2^$J$12-1)*R10/100)/(2^$J$12-1)*100</f>
        <v/>
      </c>
      <c r="T10">
        <f>RAND()*$G$12</f>
        <v/>
      </c>
      <c r="U10">
        <f>$I$1*U9-$I$2*U8+$I$3*0+$I$4*0</f>
        <v/>
      </c>
      <c r="V10">
        <f>INT((2^$J$12-1)*U10/100)/(2^$J$12-1)*100</f>
        <v/>
      </c>
      <c r="X10">
        <f>M10 * 1.05</f>
        <v/>
      </c>
    </row>
    <row r="11">
      <c r="A11" t="inlineStr">
        <is>
          <t>T0</t>
        </is>
      </c>
      <c r="B11" t="n">
        <v>3</v>
      </c>
      <c r="D11" t="inlineStr">
        <is>
          <t>g(nT0)</t>
        </is>
      </c>
      <c r="E11" t="inlineStr">
        <is>
          <t>g(nT1)</t>
        </is>
      </c>
      <c r="F11" t="inlineStr">
        <is>
          <t>g(nT2)</t>
        </is>
      </c>
      <c r="G11" t="inlineStr">
        <is>
          <t>Ks</t>
        </is>
      </c>
      <c r="H11" t="inlineStr">
        <is>
          <t>Kf</t>
        </is>
      </c>
      <c r="I11" t="inlineStr">
        <is>
          <t>T0</t>
        </is>
      </c>
      <c r="J11" t="inlineStr">
        <is>
          <t>n</t>
        </is>
      </c>
      <c r="L11" t="n">
        <v>9</v>
      </c>
      <c r="M11">
        <f>IF(L11&lt;$D$16,$D$13,IF(L11&lt;$E$16,$E$13,$F$13))</f>
        <v/>
      </c>
      <c r="N11">
        <f>M11-V11</f>
        <v/>
      </c>
      <c r="O11" t="inlineStr">
        <is>
          <t>0</t>
        </is>
      </c>
      <c r="P11">
        <f>INT((2^$J$12-1)*O11/100)/(2^$J$12-1)*100</f>
        <v/>
      </c>
      <c r="Q11">
        <f>RAND()*$G$12</f>
        <v/>
      </c>
      <c r="R11">
        <f>P11+Q11</f>
        <v/>
      </c>
      <c r="S11">
        <f>INT((2^$J$12-1)*R11/100)/(2^$J$12-1)*100</f>
        <v/>
      </c>
      <c r="T11">
        <f>RAND()*$G$12</f>
        <v/>
      </c>
      <c r="U11">
        <f>$I$1*U10-$I$2*U9+$I$3*0+$I$4*0</f>
        <v/>
      </c>
      <c r="V11">
        <f>INT((2^$J$12-1)*U11/100)/(2^$J$12-1)*100</f>
        <v/>
      </c>
      <c r="X11">
        <f>M11 * 1.05</f>
        <v/>
      </c>
    </row>
    <row r="12">
      <c r="D12" t="n">
        <v>0</v>
      </c>
      <c r="E12" t="n">
        <v>1</v>
      </c>
      <c r="F12" t="n">
        <v>0</v>
      </c>
      <c r="G12" t="n">
        <v>0.01</v>
      </c>
      <c r="H12" t="n">
        <v>0.1</v>
      </c>
      <c r="I12">
        <f>B11</f>
        <v/>
      </c>
      <c r="J12" t="n">
        <v>32</v>
      </c>
      <c r="L12" t="n">
        <v>10</v>
      </c>
      <c r="M12">
        <f>IF(L12&lt;$D$16,$D$13,IF(L12&lt;$E$16,$E$13,$F$13))</f>
        <v/>
      </c>
      <c r="N12">
        <f>M12-V12</f>
        <v/>
      </c>
      <c r="O12" t="inlineStr">
        <is>
          <t>0</t>
        </is>
      </c>
      <c r="P12">
        <f>INT((2^$J$12-1)*O12/100)/(2^$J$12-1)*100</f>
        <v/>
      </c>
      <c r="Q12">
        <f>RAND()*$G$12</f>
        <v/>
      </c>
      <c r="R12">
        <f>P12+Q12</f>
        <v/>
      </c>
      <c r="S12">
        <f>INT((2^$J$12-1)*R12/100)/(2^$J$12-1)*100</f>
        <v/>
      </c>
      <c r="T12">
        <f>RAND()*$G$12</f>
        <v/>
      </c>
      <c r="U12">
        <f>$I$1*U11-$I$2*U10+$I$3*0+$I$4*0</f>
        <v/>
      </c>
      <c r="V12">
        <f>INT((2^$J$12-1)*U12/100)/(2^$J$12-1)*100</f>
        <v/>
      </c>
      <c r="X12">
        <f>M12 * 1.05</f>
        <v/>
      </c>
    </row>
    <row r="13">
      <c r="D13" t="n">
        <v>1</v>
      </c>
      <c r="E13" t="n">
        <v>10</v>
      </c>
      <c r="F13" t="n">
        <v>1</v>
      </c>
      <c r="L13" t="n">
        <v>11</v>
      </c>
      <c r="M13">
        <f>IF(L13&lt;$D$16,$D$13,IF(L13&lt;$E$16,$E$13,$F$13))</f>
        <v/>
      </c>
      <c r="N13">
        <f>M13-V13</f>
        <v/>
      </c>
      <c r="O13" t="inlineStr">
        <is>
          <t>0</t>
        </is>
      </c>
      <c r="P13">
        <f>INT((2^$J$12-1)*O13/100)/(2^$J$12-1)*100</f>
        <v/>
      </c>
      <c r="Q13">
        <f>RAND()*$G$12</f>
        <v/>
      </c>
      <c r="R13">
        <f>P13+Q13</f>
        <v/>
      </c>
      <c r="S13">
        <f>INT((2^$J$12-1)*R13/100)/(2^$J$12-1)*100</f>
        <v/>
      </c>
      <c r="T13">
        <f>RAND()*$G$12</f>
        <v/>
      </c>
      <c r="U13">
        <f>$I$1*U12-$I$2*U11+$I$3*0+$I$4*0</f>
        <v/>
      </c>
      <c r="V13">
        <f>INT((2^$J$12-1)*U13/100)/(2^$J$12-1)*100</f>
        <v/>
      </c>
      <c r="X13">
        <f>M13 * 1.05</f>
        <v/>
      </c>
    </row>
    <row r="14">
      <c r="L14" t="n">
        <v>12</v>
      </c>
      <c r="M14">
        <f>IF(L14&lt;$D$16,$D$13,IF(L14&lt;$E$16,$E$13,$F$13))</f>
        <v/>
      </c>
      <c r="N14">
        <f>M14-V14</f>
        <v/>
      </c>
      <c r="O14" t="inlineStr">
        <is>
          <t>0</t>
        </is>
      </c>
      <c r="P14">
        <f>INT((2^$J$12-1)*O14/100)/(2^$J$12-1)*100</f>
        <v/>
      </c>
      <c r="Q14">
        <f>RAND()*$G$12</f>
        <v/>
      </c>
      <c r="R14">
        <f>P14+Q14</f>
        <v/>
      </c>
      <c r="S14">
        <f>INT((2^$J$12-1)*R14/100)/(2^$J$12-1)*100</f>
        <v/>
      </c>
      <c r="T14">
        <f>RAND()*$G$12</f>
        <v/>
      </c>
      <c r="U14">
        <f>$I$1*U13-$I$2*U12+$I$3*0+$I$4*0</f>
        <v/>
      </c>
      <c r="V14">
        <f>INT((2^$J$12-1)*U14/100)/(2^$J$12-1)*100</f>
        <v/>
      </c>
      <c r="X14">
        <f>M14 * 1.05</f>
        <v/>
      </c>
    </row>
    <row r="15">
      <c r="L15" t="n">
        <v>13</v>
      </c>
      <c r="M15">
        <f>IF(L15&lt;$D$16,$D$13,IF(L15&lt;$E$16,$E$13,$F$13))</f>
        <v/>
      </c>
      <c r="N15">
        <f>M15-V15</f>
        <v/>
      </c>
      <c r="O15" t="inlineStr">
        <is>
          <t>0</t>
        </is>
      </c>
      <c r="P15">
        <f>INT((2^$J$12-1)*O15/100)/(2^$J$12-1)*100</f>
        <v/>
      </c>
      <c r="Q15">
        <f>RAND()*$G$12</f>
        <v/>
      </c>
      <c r="R15">
        <f>P15+Q15</f>
        <v/>
      </c>
      <c r="S15">
        <f>INT((2^$J$12-1)*R15/100)/(2^$J$12-1)*100</f>
        <v/>
      </c>
      <c r="T15">
        <f>RAND()*$G$12</f>
        <v/>
      </c>
      <c r="U15">
        <f>$I$1*U14-$I$2*U13+$I$3*0+$I$4*0</f>
        <v/>
      </c>
      <c r="V15">
        <f>INT((2^$J$12-1)*U15/100)/(2^$J$12-1)*100</f>
        <v/>
      </c>
      <c r="X15">
        <f>M15 * 1.05</f>
        <v/>
      </c>
    </row>
    <row r="16">
      <c r="D16" t="n">
        <v>40</v>
      </c>
      <c r="E16" t="n">
        <v>600</v>
      </c>
      <c r="L16" t="n">
        <v>14</v>
      </c>
      <c r="M16">
        <f>IF(L16&lt;$D$16,$D$13,IF(L16&lt;$E$16,$E$13,$F$13))</f>
        <v/>
      </c>
      <c r="N16">
        <f>M16-V16</f>
        <v/>
      </c>
      <c r="O16" t="inlineStr">
        <is>
          <t>0</t>
        </is>
      </c>
      <c r="P16">
        <f>INT((2^$J$12-1)*O16/100)/(2^$J$12-1)*100</f>
        <v/>
      </c>
      <c r="Q16">
        <f>RAND()*$G$12</f>
        <v/>
      </c>
      <c r="R16">
        <f>P16+Q16</f>
        <v/>
      </c>
      <c r="S16">
        <f>INT((2^$J$12-1)*R16/100)/(2^$J$12-1)*100</f>
        <v/>
      </c>
      <c r="T16">
        <f>RAND()*$G$12</f>
        <v/>
      </c>
      <c r="U16">
        <f>$I$1*U15-$I$2*U14+$I$3*0+$I$4*0</f>
        <v/>
      </c>
      <c r="V16">
        <f>INT((2^$J$12-1)*U16/100)/(2^$J$12-1)*100</f>
        <v/>
      </c>
      <c r="X16">
        <f>M16 * 1.05</f>
        <v/>
      </c>
    </row>
    <row r="17">
      <c r="L17" t="n">
        <v>15</v>
      </c>
      <c r="M17">
        <f>IF(L17&lt;$D$16,$D$13,IF(L17&lt;$E$16,$E$13,$F$13))</f>
        <v/>
      </c>
      <c r="N17">
        <f>M17-V17</f>
        <v/>
      </c>
      <c r="O17" t="inlineStr">
        <is>
          <t>0</t>
        </is>
      </c>
      <c r="P17">
        <f>INT((2^$J$12-1)*O17/100)/(2^$J$12-1)*100</f>
        <v/>
      </c>
      <c r="Q17">
        <f>RAND()*$G$12</f>
        <v/>
      </c>
      <c r="R17">
        <f>P17+Q17</f>
        <v/>
      </c>
      <c r="S17">
        <f>INT((2^$J$12-1)*R17/100)/(2^$J$12-1)*100</f>
        <v/>
      </c>
      <c r="T17">
        <f>RAND()*$G$12</f>
        <v/>
      </c>
      <c r="U17">
        <f>$I$1*U16-$I$2*U15+$I$3*0+$I$4*0</f>
        <v/>
      </c>
      <c r="V17">
        <f>INT((2^$J$12-1)*U17/100)/(2^$J$12-1)*100</f>
        <v/>
      </c>
      <c r="X17">
        <f>M17 * 1.05</f>
        <v/>
      </c>
    </row>
    <row r="18">
      <c r="L18" t="n">
        <v>16</v>
      </c>
      <c r="M18">
        <f>IF(L18&lt;$D$16,$D$13,IF(L18&lt;$E$16,$E$13,$F$13))</f>
        <v/>
      </c>
      <c r="N18">
        <f>M18-V18</f>
        <v/>
      </c>
      <c r="O18" t="inlineStr">
        <is>
          <t>0</t>
        </is>
      </c>
      <c r="P18">
        <f>INT((2^$J$12-1)*O18/100)/(2^$J$12-1)*100</f>
        <v/>
      </c>
      <c r="Q18">
        <f>RAND()*$G$12</f>
        <v/>
      </c>
      <c r="R18">
        <f>P18+Q18</f>
        <v/>
      </c>
      <c r="S18">
        <f>INT((2^$J$12-1)*R18/100)/(2^$J$12-1)*100</f>
        <v/>
      </c>
      <c r="T18">
        <f>RAND()*$G$12</f>
        <v/>
      </c>
      <c r="U18">
        <f>$I$1*U17-$I$2*U16+$I$3*0+$I$4*0</f>
        <v/>
      </c>
      <c r="V18">
        <f>INT((2^$J$12-1)*U18/100)/(2^$J$12-1)*100</f>
        <v/>
      </c>
      <c r="X18">
        <f>M18 * 1.05</f>
        <v/>
      </c>
    </row>
    <row r="19">
      <c r="L19" t="n">
        <v>17</v>
      </c>
      <c r="M19">
        <f>IF(L19&lt;$D$16,$D$13,IF(L19&lt;$E$16,$E$13,$F$13))</f>
        <v/>
      </c>
      <c r="N19">
        <f>M19-V19</f>
        <v/>
      </c>
      <c r="O19" t="inlineStr">
        <is>
          <t>0</t>
        </is>
      </c>
      <c r="P19">
        <f>INT((2^$J$12-1)*O19/100)/(2^$J$12-1)*100</f>
        <v/>
      </c>
      <c r="Q19">
        <f>RAND()*$G$12</f>
        <v/>
      </c>
      <c r="R19">
        <f>P19+Q19</f>
        <v/>
      </c>
      <c r="S19">
        <f>INT((2^$J$12-1)*R19/100)/(2^$J$12-1)*100</f>
        <v/>
      </c>
      <c r="T19">
        <f>RAND()*$G$12</f>
        <v/>
      </c>
      <c r="U19">
        <f>$I$1*U18-$I$2*U17+$I$3*0+$I$4*0</f>
        <v/>
      </c>
      <c r="V19">
        <f>INT((2^$J$12-1)*U19/100)/(2^$J$12-1)*100</f>
        <v/>
      </c>
      <c r="X19">
        <f>M19 * 1.05</f>
        <v/>
      </c>
    </row>
    <row r="20">
      <c r="L20" t="n">
        <v>18</v>
      </c>
      <c r="M20">
        <f>IF(L20&lt;$D$16,$D$13,IF(L20&lt;$E$16,$E$13,$F$13))</f>
        <v/>
      </c>
      <c r="N20">
        <f>M20-V20</f>
        <v/>
      </c>
      <c r="O20" t="inlineStr">
        <is>
          <t>0</t>
        </is>
      </c>
      <c r="P20">
        <f>INT((2^$J$12-1)*O20/100)/(2^$J$12-1)*100</f>
        <v/>
      </c>
      <c r="Q20">
        <f>RAND()*$G$12</f>
        <v/>
      </c>
      <c r="R20">
        <f>P20+Q20</f>
        <v/>
      </c>
      <c r="S20">
        <f>INT((2^$J$12-1)*R20/100)/(2^$J$12-1)*100</f>
        <v/>
      </c>
      <c r="T20">
        <f>RAND()*$G$12</f>
        <v/>
      </c>
      <c r="U20">
        <f>$I$1*U19-$I$2*U18+$I$3*0+$I$4*0</f>
        <v/>
      </c>
      <c r="V20">
        <f>INT((2^$J$12-1)*U20/100)/(2^$J$12-1)*100</f>
        <v/>
      </c>
      <c r="X20">
        <f>M20 * 1.05</f>
        <v/>
      </c>
    </row>
    <row r="21">
      <c r="L21" t="n">
        <v>19</v>
      </c>
      <c r="M21">
        <f>IF(L21&lt;$D$16,$D$13,IF(L21&lt;$E$16,$E$13,$F$13))</f>
        <v/>
      </c>
      <c r="N21">
        <f>M21-V21</f>
        <v/>
      </c>
      <c r="O21" t="inlineStr">
        <is>
          <t>0</t>
        </is>
      </c>
      <c r="P21">
        <f>INT((2^$J$12-1)*O21/100)/(2^$J$12-1)*100</f>
        <v/>
      </c>
      <c r="Q21">
        <f>RAND()*$G$12</f>
        <v/>
      </c>
      <c r="R21">
        <f>P21+Q21</f>
        <v/>
      </c>
      <c r="S21">
        <f>INT((2^$J$12-1)*R21/100)/(2^$J$12-1)*100</f>
        <v/>
      </c>
      <c r="T21">
        <f>RAND()*$G$12</f>
        <v/>
      </c>
      <c r="U21">
        <f>$I$1*U20-$I$2*U19+$I$3*0+$I$4*0</f>
        <v/>
      </c>
      <c r="V21">
        <f>INT((2^$J$12-1)*U21/100)/(2^$J$12-1)*100</f>
        <v/>
      </c>
      <c r="X21">
        <f>M21 * 1.05</f>
        <v/>
      </c>
    </row>
    <row r="22">
      <c r="L22" t="n">
        <v>20</v>
      </c>
      <c r="M22">
        <f>IF(L22&lt;$D$16,$D$13,IF(L22&lt;$E$16,$E$13,$F$13))</f>
        <v/>
      </c>
      <c r="N22">
        <f>M22-V22</f>
        <v/>
      </c>
      <c r="O22" t="inlineStr">
        <is>
          <t>0</t>
        </is>
      </c>
      <c r="P22">
        <f>INT((2^$J$12-1)*O22/100)/(2^$J$12-1)*100</f>
        <v/>
      </c>
      <c r="Q22">
        <f>RAND()*$G$12</f>
        <v/>
      </c>
      <c r="R22">
        <f>P22+Q22</f>
        <v/>
      </c>
      <c r="S22">
        <f>INT((2^$J$12-1)*R22/100)/(2^$J$12-1)*100</f>
        <v/>
      </c>
      <c r="T22">
        <f>RAND()*$G$12</f>
        <v/>
      </c>
      <c r="U22">
        <f>$I$1*U21-$I$2*U20+$I$3*0+$I$4*0</f>
        <v/>
      </c>
      <c r="V22">
        <f>INT((2^$J$12-1)*U22/100)/(2^$J$12-1)*100</f>
        <v/>
      </c>
      <c r="X22">
        <f>M22 * 1.05</f>
        <v/>
      </c>
    </row>
    <row r="23">
      <c r="L23" t="n">
        <v>21</v>
      </c>
      <c r="M23">
        <f>IF(L23&lt;$D$16,$D$13,IF(L23&lt;$E$16,$E$13,$F$13))</f>
        <v/>
      </c>
      <c r="N23">
        <f>M23-V23</f>
        <v/>
      </c>
      <c r="O23" t="inlineStr">
        <is>
          <t>0</t>
        </is>
      </c>
      <c r="P23">
        <f>INT((2^$J$12-1)*O23/100)/(2^$J$12-1)*100</f>
        <v/>
      </c>
      <c r="Q23">
        <f>RAND()*$G$12</f>
        <v/>
      </c>
      <c r="R23">
        <f>P23+Q23</f>
        <v/>
      </c>
      <c r="S23">
        <f>INT((2^$J$12-1)*R23/100)/(2^$J$12-1)*100</f>
        <v/>
      </c>
      <c r="T23">
        <f>RAND()*$G$12</f>
        <v/>
      </c>
      <c r="U23">
        <f>$I$1*U22-$I$2*U21+$I$3*0+$I$4*0</f>
        <v/>
      </c>
      <c r="V23">
        <f>INT((2^$J$12-1)*U23/100)/(2^$J$12-1)*100</f>
        <v/>
      </c>
      <c r="X23">
        <f>M23 * 1.05</f>
        <v/>
      </c>
    </row>
    <row r="24">
      <c r="L24" t="n">
        <v>22</v>
      </c>
      <c r="M24">
        <f>IF(L24&lt;$D$16,$D$13,IF(L24&lt;$E$16,$E$13,$F$13))</f>
        <v/>
      </c>
      <c r="N24">
        <f>M24-V24</f>
        <v/>
      </c>
      <c r="O24" t="inlineStr">
        <is>
          <t>0</t>
        </is>
      </c>
      <c r="P24">
        <f>INT((2^$J$12-1)*O24/100)/(2^$J$12-1)*100</f>
        <v/>
      </c>
      <c r="Q24">
        <f>RAND()*$G$12</f>
        <v/>
      </c>
      <c r="R24">
        <f>P24+Q24</f>
        <v/>
      </c>
      <c r="S24">
        <f>INT((2^$J$12-1)*R24/100)/(2^$J$12-1)*100</f>
        <v/>
      </c>
      <c r="T24">
        <f>RAND()*$G$12</f>
        <v/>
      </c>
      <c r="U24">
        <f>$I$1*U23-$I$2*U22+$I$3*0+$I$4*0</f>
        <v/>
      </c>
      <c r="V24">
        <f>INT((2^$J$12-1)*U24/100)/(2^$J$12-1)*100</f>
        <v/>
      </c>
      <c r="X24">
        <f>M24 * 1.05</f>
        <v/>
      </c>
    </row>
    <row r="25">
      <c r="L25" t="n">
        <v>23</v>
      </c>
      <c r="M25">
        <f>IF(L25&lt;$D$16,$D$13,IF(L25&lt;$E$16,$E$13,$F$13))</f>
        <v/>
      </c>
      <c r="N25">
        <f>M25-V25</f>
        <v/>
      </c>
      <c r="O25" t="inlineStr">
        <is>
          <t>0</t>
        </is>
      </c>
      <c r="P25">
        <f>INT((2^$J$12-1)*O25/100)/(2^$J$12-1)*100</f>
        <v/>
      </c>
      <c r="Q25">
        <f>RAND()*$G$12</f>
        <v/>
      </c>
      <c r="R25">
        <f>P25+Q25</f>
        <v/>
      </c>
      <c r="S25">
        <f>INT((2^$J$12-1)*R25/100)/(2^$J$12-1)*100</f>
        <v/>
      </c>
      <c r="T25">
        <f>RAND()*$G$12</f>
        <v/>
      </c>
      <c r="U25">
        <f>$I$1*U24-$I$2*U23+$I$3*0+$I$4*0</f>
        <v/>
      </c>
      <c r="V25">
        <f>INT((2^$J$12-1)*U25/100)/(2^$J$12-1)*100</f>
        <v/>
      </c>
      <c r="X25">
        <f>M25 * 1.05</f>
        <v/>
      </c>
    </row>
    <row r="26">
      <c r="L26" t="n">
        <v>24</v>
      </c>
      <c r="M26">
        <f>IF(L26&lt;$D$16,$D$13,IF(L26&lt;$E$16,$E$13,$F$13))</f>
        <v/>
      </c>
      <c r="N26">
        <f>M26-V26</f>
        <v/>
      </c>
      <c r="O26" t="inlineStr">
        <is>
          <t>0</t>
        </is>
      </c>
      <c r="P26">
        <f>INT((2^$J$12-1)*O26/100)/(2^$J$12-1)*100</f>
        <v/>
      </c>
      <c r="Q26">
        <f>RAND()*$G$12</f>
        <v/>
      </c>
      <c r="R26">
        <f>P26+Q26</f>
        <v/>
      </c>
      <c r="S26">
        <f>INT((2^$J$12-1)*R26/100)/(2^$J$12-1)*100</f>
        <v/>
      </c>
      <c r="T26">
        <f>RAND()*$G$12</f>
        <v/>
      </c>
      <c r="U26">
        <f>$I$1*U25-$I$2*U24+$I$3*0+$I$4*0</f>
        <v/>
      </c>
      <c r="V26">
        <f>INT((2^$J$12-1)*U26/100)/(2^$J$12-1)*100</f>
        <v/>
      </c>
      <c r="X26">
        <f>M26 * 1.05</f>
        <v/>
      </c>
    </row>
    <row r="27">
      <c r="L27" t="n">
        <v>25</v>
      </c>
      <c r="M27">
        <f>IF(L27&lt;$D$16,$D$13,IF(L27&lt;$E$16,$E$13,$F$13))</f>
        <v/>
      </c>
      <c r="N27">
        <f>M27-V27</f>
        <v/>
      </c>
      <c r="O27" t="inlineStr">
        <is>
          <t>0</t>
        </is>
      </c>
      <c r="P27">
        <f>INT((2^$J$12-1)*O27/100)/(2^$J$12-1)*100</f>
        <v/>
      </c>
      <c r="Q27">
        <f>RAND()*$G$12</f>
        <v/>
      </c>
      <c r="R27">
        <f>P27+Q27</f>
        <v/>
      </c>
      <c r="S27">
        <f>INT((2^$J$12-1)*R27/100)/(2^$J$12-1)*100</f>
        <v/>
      </c>
      <c r="T27">
        <f>RAND()*$G$12</f>
        <v/>
      </c>
      <c r="U27">
        <f>$I$1*U26-$I$2*U25+$I$3*0+$I$4*0</f>
        <v/>
      </c>
      <c r="V27">
        <f>INT((2^$J$12-1)*U27/100)/(2^$J$12-1)*100</f>
        <v/>
      </c>
      <c r="X27">
        <f>M27 * 1.05</f>
        <v/>
      </c>
    </row>
    <row r="28">
      <c r="L28" t="n">
        <v>26</v>
      </c>
      <c r="M28">
        <f>IF(L28&lt;$D$16,$D$13,IF(L28&lt;$E$16,$E$13,$F$13))</f>
        <v/>
      </c>
      <c r="N28">
        <f>M28-V28</f>
        <v/>
      </c>
      <c r="O28" t="inlineStr">
        <is>
          <t>0</t>
        </is>
      </c>
      <c r="P28">
        <f>INT((2^$J$12-1)*O28/100)/(2^$J$12-1)*100</f>
        <v/>
      </c>
      <c r="Q28">
        <f>RAND()*$G$12</f>
        <v/>
      </c>
      <c r="R28">
        <f>P28+Q28</f>
        <v/>
      </c>
      <c r="S28">
        <f>INT((2^$J$12-1)*R28/100)/(2^$J$12-1)*100</f>
        <v/>
      </c>
      <c r="T28">
        <f>RAND()*$G$12</f>
        <v/>
      </c>
      <c r="U28">
        <f>$I$1*U27-$I$2*U26+$I$3*0+$I$4*0</f>
        <v/>
      </c>
      <c r="V28">
        <f>INT((2^$J$12-1)*U28/100)/(2^$J$12-1)*100</f>
        <v/>
      </c>
      <c r="X28">
        <f>M28 * 1.05</f>
        <v/>
      </c>
    </row>
    <row r="29">
      <c r="L29" t="n">
        <v>27</v>
      </c>
      <c r="M29">
        <f>IF(L29&lt;$D$16,$D$13,IF(L29&lt;$E$16,$E$13,$F$13))</f>
        <v/>
      </c>
      <c r="N29">
        <f>M29-V29</f>
        <v/>
      </c>
      <c r="O29" t="inlineStr">
        <is>
          <t>0</t>
        </is>
      </c>
      <c r="P29">
        <f>INT((2^$J$12-1)*O29/100)/(2^$J$12-1)*100</f>
        <v/>
      </c>
      <c r="Q29">
        <f>RAND()*$G$12</f>
        <v/>
      </c>
      <c r="R29">
        <f>P29+Q29</f>
        <v/>
      </c>
      <c r="S29">
        <f>INT((2^$J$12-1)*R29/100)/(2^$J$12-1)*100</f>
        <v/>
      </c>
      <c r="T29">
        <f>RAND()*$G$12</f>
        <v/>
      </c>
      <c r="U29">
        <f>$I$1*U28-$I$2*U27+$I$3*0+$I$4*0</f>
        <v/>
      </c>
      <c r="V29">
        <f>INT((2^$J$12-1)*U29/100)/(2^$J$12-1)*100</f>
        <v/>
      </c>
      <c r="X29">
        <f>M29 * 1.05</f>
        <v/>
      </c>
    </row>
    <row r="30">
      <c r="L30" t="n">
        <v>28</v>
      </c>
      <c r="M30">
        <f>IF(L30&lt;$D$16,$D$13,IF(L30&lt;$E$16,$E$13,$F$13))</f>
        <v/>
      </c>
      <c r="N30">
        <f>M30-V30</f>
        <v/>
      </c>
      <c r="O30" t="inlineStr">
        <is>
          <t>0</t>
        </is>
      </c>
      <c r="P30">
        <f>INT((2^$J$12-1)*O30/100)/(2^$J$12-1)*100</f>
        <v/>
      </c>
      <c r="Q30">
        <f>RAND()*$G$12</f>
        <v/>
      </c>
      <c r="R30">
        <f>P30+Q30</f>
        <v/>
      </c>
      <c r="S30">
        <f>INT((2^$J$12-1)*R30/100)/(2^$J$12-1)*100</f>
        <v/>
      </c>
      <c r="T30">
        <f>RAND()*$G$12</f>
        <v/>
      </c>
      <c r="U30">
        <f>$I$1*U29-$I$2*U28+$I$3*0+$I$4*0</f>
        <v/>
      </c>
      <c r="V30">
        <f>INT((2^$J$12-1)*U30/100)/(2^$J$12-1)*100</f>
        <v/>
      </c>
      <c r="X30">
        <f>M30 * 1.05</f>
        <v/>
      </c>
    </row>
    <row r="31">
      <c r="L31" t="n">
        <v>29</v>
      </c>
      <c r="M31">
        <f>IF(L31&lt;$D$16,$D$13,IF(L31&lt;$E$16,$E$13,$F$13))</f>
        <v/>
      </c>
      <c r="N31">
        <f>M31-V31</f>
        <v/>
      </c>
      <c r="O31" t="inlineStr">
        <is>
          <t>0</t>
        </is>
      </c>
      <c r="P31">
        <f>INT((2^$J$12-1)*O31/100)/(2^$J$12-1)*100</f>
        <v/>
      </c>
      <c r="Q31">
        <f>RAND()*$G$12</f>
        <v/>
      </c>
      <c r="R31">
        <f>P31+Q31</f>
        <v/>
      </c>
      <c r="S31">
        <f>INT((2^$J$12-1)*R31/100)/(2^$J$12-1)*100</f>
        <v/>
      </c>
      <c r="T31">
        <f>RAND()*$G$12</f>
        <v/>
      </c>
      <c r="U31">
        <f>$I$1*U30-$I$2*U29+$I$3*0+$I$4*0</f>
        <v/>
      </c>
      <c r="V31">
        <f>INT((2^$J$12-1)*U31/100)/(2^$J$12-1)*100</f>
        <v/>
      </c>
      <c r="X31">
        <f>M31 * 1.05</f>
        <v/>
      </c>
    </row>
    <row r="32">
      <c r="L32" t="n">
        <v>30</v>
      </c>
      <c r="M32">
        <f>IF(L32&lt;$D$16,$D$13,IF(L32&lt;$E$16,$E$13,$F$13))</f>
        <v/>
      </c>
      <c r="N32">
        <f>M32-V32</f>
        <v/>
      </c>
      <c r="O32" t="inlineStr">
        <is>
          <t>0</t>
        </is>
      </c>
      <c r="P32">
        <f>INT((2^$J$12-1)*O32/100)/(2^$J$12-1)*100</f>
        <v/>
      </c>
      <c r="Q32">
        <f>RAND()*$G$12</f>
        <v/>
      </c>
      <c r="R32">
        <f>P32+Q32</f>
        <v/>
      </c>
      <c r="S32">
        <f>INT((2^$J$12-1)*R32/100)/(2^$J$12-1)*100</f>
        <v/>
      </c>
      <c r="T32">
        <f>RAND()*$G$12</f>
        <v/>
      </c>
      <c r="U32">
        <f>$I$1*U31-$I$2*U30+$I$3*0+$I$4*0</f>
        <v/>
      </c>
      <c r="V32">
        <f>INT((2^$J$12-1)*U32/100)/(2^$J$12-1)*100</f>
        <v/>
      </c>
      <c r="X32">
        <f>M32 * 1.05</f>
        <v/>
      </c>
    </row>
    <row r="33">
      <c r="L33" t="n">
        <v>31</v>
      </c>
      <c r="M33">
        <f>IF(L33&lt;$D$16,$D$13,IF(L33&lt;$E$16,$E$13,$F$13))</f>
        <v/>
      </c>
      <c r="N33">
        <f>M33-V33</f>
        <v/>
      </c>
      <c r="O33" t="inlineStr">
        <is>
          <t>0</t>
        </is>
      </c>
      <c r="P33">
        <f>INT((2^$J$12-1)*O33/100)/(2^$J$12-1)*100</f>
        <v/>
      </c>
      <c r="Q33">
        <f>RAND()*$G$12</f>
        <v/>
      </c>
      <c r="R33">
        <f>P33+Q33</f>
        <v/>
      </c>
      <c r="S33">
        <f>INT((2^$J$12-1)*R33/100)/(2^$J$12-1)*100</f>
        <v/>
      </c>
      <c r="T33">
        <f>RAND()*$G$12</f>
        <v/>
      </c>
      <c r="U33">
        <f>$I$1*U32-$I$2*U31+$I$3*0+$I$4*0</f>
        <v/>
      </c>
      <c r="V33">
        <f>INT((2^$J$12-1)*U33/100)/(2^$J$12-1)*100</f>
        <v/>
      </c>
      <c r="X33">
        <f>M33 * 1.05</f>
        <v/>
      </c>
    </row>
    <row r="34">
      <c r="L34" t="n">
        <v>32</v>
      </c>
      <c r="M34">
        <f>IF(L34&lt;$D$16,$D$13,IF(L34&lt;$E$16,$E$13,$F$13))</f>
        <v/>
      </c>
      <c r="N34">
        <f>M34-V34</f>
        <v/>
      </c>
      <c r="O34" t="inlineStr">
        <is>
          <t>0</t>
        </is>
      </c>
      <c r="P34">
        <f>INT((2^$J$12-1)*O34/100)/(2^$J$12-1)*100</f>
        <v/>
      </c>
      <c r="Q34">
        <f>RAND()*$G$12</f>
        <v/>
      </c>
      <c r="R34">
        <f>P34+Q34</f>
        <v/>
      </c>
      <c r="S34">
        <f>INT((2^$J$12-1)*R34/100)/(2^$J$12-1)*100</f>
        <v/>
      </c>
      <c r="T34">
        <f>RAND()*$G$12</f>
        <v/>
      </c>
      <c r="U34">
        <f>$I$1*U33-$I$2*U32+$I$3*0+$I$4*0</f>
        <v/>
      </c>
      <c r="V34">
        <f>INT((2^$J$12-1)*U34/100)/(2^$J$12-1)*100</f>
        <v/>
      </c>
      <c r="X34">
        <f>M34 * 1.05</f>
        <v/>
      </c>
    </row>
    <row r="35">
      <c r="L35" t="n">
        <v>33</v>
      </c>
      <c r="M35">
        <f>IF(L35&lt;$D$16,$D$13,IF(L35&lt;$E$16,$E$13,$F$13))</f>
        <v/>
      </c>
      <c r="N35">
        <f>M35-V35</f>
        <v/>
      </c>
      <c r="O35" t="inlineStr">
        <is>
          <t>0</t>
        </is>
      </c>
      <c r="P35">
        <f>INT((2^$J$12-1)*O35/100)/(2^$J$12-1)*100</f>
        <v/>
      </c>
      <c r="Q35">
        <f>RAND()*$G$12</f>
        <v/>
      </c>
      <c r="R35">
        <f>P35+Q35</f>
        <v/>
      </c>
      <c r="S35">
        <f>INT((2^$J$12-1)*R35/100)/(2^$J$12-1)*100</f>
        <v/>
      </c>
      <c r="T35">
        <f>RAND()*$G$12</f>
        <v/>
      </c>
      <c r="U35">
        <f>$I$1*U34-$I$2*U33+$I$3*0+$I$4*0</f>
        <v/>
      </c>
      <c r="V35">
        <f>INT((2^$J$12-1)*U35/100)/(2^$J$12-1)*100</f>
        <v/>
      </c>
      <c r="X35">
        <f>M35 * 1.05</f>
        <v/>
      </c>
    </row>
    <row r="36">
      <c r="L36" t="n">
        <v>34</v>
      </c>
      <c r="M36">
        <f>IF(L36&lt;$D$16,$D$13,IF(L36&lt;$E$16,$E$13,$F$13))</f>
        <v/>
      </c>
      <c r="N36">
        <f>M36-V36</f>
        <v/>
      </c>
      <c r="O36" t="inlineStr">
        <is>
          <t>0</t>
        </is>
      </c>
      <c r="P36">
        <f>INT((2^$J$12-1)*O36/100)/(2^$J$12-1)*100</f>
        <v/>
      </c>
      <c r="Q36">
        <f>RAND()*$G$12</f>
        <v/>
      </c>
      <c r="R36">
        <f>P36+Q36</f>
        <v/>
      </c>
      <c r="S36">
        <f>INT((2^$J$12-1)*R36/100)/(2^$J$12-1)*100</f>
        <v/>
      </c>
      <c r="T36">
        <f>RAND()*$G$12</f>
        <v/>
      </c>
      <c r="U36">
        <f>$I$1*U35-$I$2*U34+$I$3*0+$I$4*0</f>
        <v/>
      </c>
      <c r="V36">
        <f>INT((2^$J$12-1)*U36/100)/(2^$J$12-1)*100</f>
        <v/>
      </c>
      <c r="X36">
        <f>M36 * 1.05</f>
        <v/>
      </c>
    </row>
    <row r="37">
      <c r="L37" t="n">
        <v>35</v>
      </c>
      <c r="M37">
        <f>IF(L37&lt;$D$16,$D$13,IF(L37&lt;$E$16,$E$13,$F$13))</f>
        <v/>
      </c>
      <c r="N37">
        <f>M37-V37</f>
        <v/>
      </c>
      <c r="O37" t="inlineStr">
        <is>
          <t>0</t>
        </is>
      </c>
      <c r="P37">
        <f>INT((2^$J$12-1)*O37/100)/(2^$J$12-1)*100</f>
        <v/>
      </c>
      <c r="Q37">
        <f>RAND()*$G$12</f>
        <v/>
      </c>
      <c r="R37">
        <f>P37+Q37</f>
        <v/>
      </c>
      <c r="S37">
        <f>INT((2^$J$12-1)*R37/100)/(2^$J$12-1)*100</f>
        <v/>
      </c>
      <c r="T37">
        <f>RAND()*$G$12</f>
        <v/>
      </c>
      <c r="U37">
        <f>$I$1*U36-$I$2*U35+$I$3*0+$I$4*0</f>
        <v/>
      </c>
      <c r="V37">
        <f>INT((2^$J$12-1)*U37/100)/(2^$J$12-1)*100</f>
        <v/>
      </c>
      <c r="X37">
        <f>M37 * 1.05</f>
        <v/>
      </c>
    </row>
    <row r="38">
      <c r="L38" t="n">
        <v>36</v>
      </c>
      <c r="M38">
        <f>IF(L38&lt;$D$16,$D$13,IF(L38&lt;$E$16,$E$13,$F$13))</f>
        <v/>
      </c>
      <c r="N38">
        <f>M38-V38</f>
        <v/>
      </c>
      <c r="O38" t="inlineStr">
        <is>
          <t>0</t>
        </is>
      </c>
      <c r="P38">
        <f>INT((2^$J$12-1)*O38/100)/(2^$J$12-1)*100</f>
        <v/>
      </c>
      <c r="Q38">
        <f>RAND()*$G$12</f>
        <v/>
      </c>
      <c r="R38">
        <f>P38+Q38</f>
        <v/>
      </c>
      <c r="S38">
        <f>INT((2^$J$12-1)*R38/100)/(2^$J$12-1)*100</f>
        <v/>
      </c>
      <c r="T38">
        <f>RAND()*$G$12</f>
        <v/>
      </c>
      <c r="U38">
        <f>$I$1*U37-$I$2*U36+$I$3*0+$I$4*0</f>
        <v/>
      </c>
      <c r="V38">
        <f>INT((2^$J$12-1)*U38/100)/(2^$J$12-1)*100</f>
        <v/>
      </c>
      <c r="X38">
        <f>M38 * 1.05</f>
        <v/>
      </c>
    </row>
    <row r="39">
      <c r="L39" t="n">
        <v>37</v>
      </c>
      <c r="M39">
        <f>IF(L39&lt;$D$16,$D$13,IF(L39&lt;$E$16,$E$13,$F$13))</f>
        <v/>
      </c>
      <c r="N39">
        <f>M39-V39</f>
        <v/>
      </c>
      <c r="O39" t="inlineStr">
        <is>
          <t>0</t>
        </is>
      </c>
      <c r="P39">
        <f>INT((2^$J$12-1)*O39/100)/(2^$J$12-1)*100</f>
        <v/>
      </c>
      <c r="Q39">
        <f>RAND()*$G$12</f>
        <v/>
      </c>
      <c r="R39">
        <f>P39+Q39</f>
        <v/>
      </c>
      <c r="S39">
        <f>INT((2^$J$12-1)*R39/100)/(2^$J$12-1)*100</f>
        <v/>
      </c>
      <c r="T39">
        <f>RAND()*$G$12</f>
        <v/>
      </c>
      <c r="U39">
        <f>$I$1*U38-$I$2*U37+$I$3*0+$I$4*0</f>
        <v/>
      </c>
      <c r="V39">
        <f>INT((2^$J$12-1)*U39/100)/(2^$J$12-1)*100</f>
        <v/>
      </c>
      <c r="X39">
        <f>M39 * 1.05</f>
        <v/>
      </c>
    </row>
    <row r="40">
      <c r="L40" t="n">
        <v>38</v>
      </c>
      <c r="M40">
        <f>IF(L40&lt;$D$16,$D$13,IF(L40&lt;$E$16,$E$13,$F$13))</f>
        <v/>
      </c>
      <c r="N40">
        <f>M40-V40</f>
        <v/>
      </c>
      <c r="O40" t="inlineStr">
        <is>
          <t>0</t>
        </is>
      </c>
      <c r="P40">
        <f>INT((2^$J$12-1)*O40/100)/(2^$J$12-1)*100</f>
        <v/>
      </c>
      <c r="Q40">
        <f>RAND()*$G$12</f>
        <v/>
      </c>
      <c r="R40">
        <f>P40+Q40</f>
        <v/>
      </c>
      <c r="S40">
        <f>INT((2^$J$12-1)*R40/100)/(2^$J$12-1)*100</f>
        <v/>
      </c>
      <c r="T40">
        <f>RAND()*$G$12</f>
        <v/>
      </c>
      <c r="U40">
        <f>$I$1*U39-$I$2*U38+$I$3*0+$I$4*0</f>
        <v/>
      </c>
      <c r="V40">
        <f>INT((2^$J$12-1)*U40/100)/(2^$J$12-1)*100</f>
        <v/>
      </c>
      <c r="X40">
        <f>M40 * 1.05</f>
        <v/>
      </c>
    </row>
    <row r="41">
      <c r="L41" t="n">
        <v>39</v>
      </c>
      <c r="M41">
        <f>IF(L41&lt;$D$16,$D$13,IF(L41&lt;$E$16,$E$13,$F$13))</f>
        <v/>
      </c>
      <c r="N41">
        <f>M41-V41</f>
        <v/>
      </c>
      <c r="O41" t="inlineStr">
        <is>
          <t>0</t>
        </is>
      </c>
      <c r="P41">
        <f>INT((2^$J$12-1)*O41/100)/(2^$J$12-1)*100</f>
        <v/>
      </c>
      <c r="Q41">
        <f>RAND()*$G$12</f>
        <v/>
      </c>
      <c r="R41">
        <f>P41+Q41</f>
        <v/>
      </c>
      <c r="S41">
        <f>INT((2^$J$12-1)*R41/100)/(2^$J$12-1)*100</f>
        <v/>
      </c>
      <c r="T41">
        <f>RAND()*$G$12</f>
        <v/>
      </c>
      <c r="U41">
        <f>$I$1*U40-$I$2*U39+$I$3*0+$I$4*0</f>
        <v/>
      </c>
      <c r="V41">
        <f>INT((2^$J$12-1)*U41/100)/(2^$J$12-1)*100</f>
        <v/>
      </c>
      <c r="X41">
        <f>M41 * 1.05</f>
        <v/>
      </c>
    </row>
    <row r="42">
      <c r="L42" t="n">
        <v>40</v>
      </c>
      <c r="M42">
        <f>IF(L42&lt;$D$16,$D$13,IF(L42&lt;$E$16,$E$13,$F$13))</f>
        <v/>
      </c>
      <c r="N42">
        <f>M42-V42</f>
        <v/>
      </c>
      <c r="O42">
        <f>IF(MOD(L42,$B$11)=0,OFFSET(O42,-$B$11,0)+$E$2*N42+$E$3*OFFSET(N42,-$B$11,0)+$E$4*OFFSET(N42,-2*$B$11,0),O41)</f>
        <v/>
      </c>
      <c r="P42">
        <f>INT((2^$J$12-1)*O42/100)/(2^$J$12-1)*100</f>
        <v/>
      </c>
      <c r="Q42">
        <f>RAND()*$G$12</f>
        <v/>
      </c>
      <c r="R42">
        <f>P42+Q42</f>
        <v/>
      </c>
      <c r="S42">
        <f>INT((2^$J$12-1)*R42/100)/(2^$J$12-1)*100</f>
        <v/>
      </c>
      <c r="T42">
        <f>RAND()*$G$12</f>
        <v/>
      </c>
      <c r="U42">
        <f>$I$1*U41-$I$2*U40+$I$3*0+$I$4*0</f>
        <v/>
      </c>
      <c r="V42">
        <f>INT((2^$J$12-1)*U42/100)/(2^$J$12-1)*100</f>
        <v/>
      </c>
      <c r="X42">
        <f>M42 * 1.05</f>
        <v/>
      </c>
    </row>
    <row r="43">
      <c r="L43" t="n">
        <v>41</v>
      </c>
      <c r="M43">
        <f>IF(L43&lt;$D$16,$D$13,IF(L43&lt;$E$16,$E$13,$F$13))</f>
        <v/>
      </c>
      <c r="N43">
        <f>M43-V43</f>
        <v/>
      </c>
      <c r="O43">
        <f>IF(MOD(L43,$B$11)=0,OFFSET(O43,-$B$11,0)+$E$2*N43+$E$3*OFFSET(N43,-$B$11,0)+$E$4*OFFSET(N43,-2*$B$11,0),O42)</f>
        <v/>
      </c>
      <c r="P43">
        <f>INT((2^$J$12-1)*O43/100)/(2^$J$12-1)*100</f>
        <v/>
      </c>
      <c r="Q43">
        <f>RAND()*$G$12</f>
        <v/>
      </c>
      <c r="R43">
        <f>P43+Q43</f>
        <v/>
      </c>
      <c r="S43">
        <f>INT((2^$J$12-1)*R43/100)/(2^$J$12-1)*100</f>
        <v/>
      </c>
      <c r="T43">
        <f>RAND()*$G$12</f>
        <v/>
      </c>
      <c r="U43">
        <f>$I$1*U42-$I$2*U41+$I$3*R2+$I$4*0</f>
        <v/>
      </c>
      <c r="V43">
        <f>INT((2^$J$12-1)*U43/100)/(2^$J$12-1)*100</f>
        <v/>
      </c>
      <c r="X43">
        <f>M43 * 1.05</f>
        <v/>
      </c>
    </row>
    <row r="44">
      <c r="L44" t="n">
        <v>42</v>
      </c>
      <c r="M44">
        <f>IF(L44&lt;$D$16,$D$13,IF(L44&lt;$E$16,$E$13,$F$13))</f>
        <v/>
      </c>
      <c r="N44">
        <f>M44-V44</f>
        <v/>
      </c>
      <c r="O44">
        <f>IF(MOD(L44,$B$11)=0,OFFSET(O44,-$B$11,0)+$E$2*N44+$E$3*OFFSET(N44,-$B$11,0)+$E$4*OFFSET(N44,-2*$B$11,0),O43)</f>
        <v/>
      </c>
      <c r="P44">
        <f>INT((2^$J$12-1)*O44/100)/(2^$J$12-1)*100</f>
        <v/>
      </c>
      <c r="Q44">
        <f>RAND()*$G$12</f>
        <v/>
      </c>
      <c r="R44">
        <f>P44+Q44</f>
        <v/>
      </c>
      <c r="S44">
        <f>INT((2^$J$12-1)*R44/100)/(2^$J$12-1)*100</f>
        <v/>
      </c>
      <c r="T44">
        <f>RAND()*$G$12</f>
        <v/>
      </c>
      <c r="U44">
        <f>$I$1*U43-$I$2*U42+$I$3*R3+$I$4*R2</f>
        <v/>
      </c>
      <c r="V44">
        <f>INT((2^$J$12-1)*U44/100)/(2^$J$12-1)*100</f>
        <v/>
      </c>
      <c r="X44">
        <f>M44 * 1.05</f>
        <v/>
      </c>
    </row>
    <row r="45">
      <c r="L45" t="n">
        <v>43</v>
      </c>
      <c r="M45">
        <f>IF(L45&lt;$D$16,$D$13,IF(L45&lt;$E$16,$E$13,$F$13))</f>
        <v/>
      </c>
      <c r="N45">
        <f>M45-V45</f>
        <v/>
      </c>
      <c r="O45">
        <f>IF(MOD(L45,$B$11)=0,OFFSET(O45,-$B$11,0)+$E$2*N45+$E$3*OFFSET(N45,-$B$11,0)+$E$4*OFFSET(N45,-2*$B$11,0),O44)</f>
        <v/>
      </c>
      <c r="P45">
        <f>INT((2^$J$12-1)*O45/100)/(2^$J$12-1)*100</f>
        <v/>
      </c>
      <c r="Q45">
        <f>RAND()*$G$12</f>
        <v/>
      </c>
      <c r="R45">
        <f>P45+Q45</f>
        <v/>
      </c>
      <c r="S45">
        <f>INT((2^$J$12-1)*R45/100)/(2^$J$12-1)*100</f>
        <v/>
      </c>
      <c r="T45">
        <f>RAND()*$G$12</f>
        <v/>
      </c>
      <c r="U45">
        <f>$I$1*U44-$I$2*U43+$I$3*R4+$I$4*R3</f>
        <v/>
      </c>
      <c r="V45">
        <f>INT((2^$J$12-1)*U45/100)/(2^$J$12-1)*100</f>
        <v/>
      </c>
      <c r="X45">
        <f>M45 * 1.05</f>
        <v/>
      </c>
    </row>
    <row r="46">
      <c r="L46" t="n">
        <v>44</v>
      </c>
      <c r="M46">
        <f>IF(L46&lt;$D$16,$D$13,IF(L46&lt;$E$16,$E$13,$F$13))</f>
        <v/>
      </c>
      <c r="N46">
        <f>M46-V46</f>
        <v/>
      </c>
      <c r="O46">
        <f>IF(MOD(L46,$B$11)=0,OFFSET(O46,-$B$11,0)+$E$2*N46+$E$3*OFFSET(N46,-$B$11,0)+$E$4*OFFSET(N46,-2*$B$11,0),O45)</f>
        <v/>
      </c>
      <c r="P46">
        <f>INT((2^$J$12-1)*O46/100)/(2^$J$12-1)*100</f>
        <v/>
      </c>
      <c r="Q46">
        <f>RAND()*$G$12</f>
        <v/>
      </c>
      <c r="R46">
        <f>P46+Q46</f>
        <v/>
      </c>
      <c r="S46">
        <f>INT((2^$J$12-1)*R46/100)/(2^$J$12-1)*100</f>
        <v/>
      </c>
      <c r="T46">
        <f>RAND()*$G$12</f>
        <v/>
      </c>
      <c r="U46">
        <f>$I$1*U45-$I$2*U44+$I$3*R5+$I$4*R4</f>
        <v/>
      </c>
      <c r="V46">
        <f>INT((2^$J$12-1)*U46/100)/(2^$J$12-1)*100</f>
        <v/>
      </c>
      <c r="X46">
        <f>M46 * 1.05</f>
        <v/>
      </c>
    </row>
    <row r="47">
      <c r="L47" t="n">
        <v>45</v>
      </c>
      <c r="M47">
        <f>IF(L47&lt;$D$16,$D$13,IF(L47&lt;$E$16,$E$13,$F$13))</f>
        <v/>
      </c>
      <c r="N47">
        <f>M47-V47</f>
        <v/>
      </c>
      <c r="O47">
        <f>IF(MOD(L47,$B$11)=0,OFFSET(O47,-$B$11,0)+$E$2*N47+$E$3*OFFSET(N47,-$B$11,0)+$E$4*OFFSET(N47,-2*$B$11,0),O46)</f>
        <v/>
      </c>
      <c r="P47">
        <f>INT((2^$J$12-1)*O47/100)/(2^$J$12-1)*100</f>
        <v/>
      </c>
      <c r="Q47">
        <f>RAND()*$G$12</f>
        <v/>
      </c>
      <c r="R47">
        <f>P47+Q47</f>
        <v/>
      </c>
      <c r="S47">
        <f>INT((2^$J$12-1)*R47/100)/(2^$J$12-1)*100</f>
        <v/>
      </c>
      <c r="T47">
        <f>RAND()*$G$12</f>
        <v/>
      </c>
      <c r="U47">
        <f>$I$1*U46-$I$2*U45+$I$3*R6+$I$4*R5</f>
        <v/>
      </c>
      <c r="V47">
        <f>INT((2^$J$12-1)*U47/100)/(2^$J$12-1)*100</f>
        <v/>
      </c>
      <c r="X47">
        <f>M47 * 1.05</f>
        <v/>
      </c>
    </row>
    <row r="48">
      <c r="L48" t="n">
        <v>46</v>
      </c>
      <c r="M48">
        <f>IF(L48&lt;$D$16,$D$13,IF(L48&lt;$E$16,$E$13,$F$13))</f>
        <v/>
      </c>
      <c r="N48">
        <f>M48-V48</f>
        <v/>
      </c>
      <c r="O48">
        <f>IF(MOD(L48,$B$11)=0,OFFSET(O48,-$B$11,0)+$E$2*N48+$E$3*OFFSET(N48,-$B$11,0)+$E$4*OFFSET(N48,-2*$B$11,0),O47)</f>
        <v/>
      </c>
      <c r="P48">
        <f>INT((2^$J$12-1)*O48/100)/(2^$J$12-1)*100</f>
        <v/>
      </c>
      <c r="Q48">
        <f>RAND()*$G$12</f>
        <v/>
      </c>
      <c r="R48">
        <f>P48+Q48</f>
        <v/>
      </c>
      <c r="S48">
        <f>INT((2^$J$12-1)*R48/100)/(2^$J$12-1)*100</f>
        <v/>
      </c>
      <c r="T48">
        <f>RAND()*$G$12</f>
        <v/>
      </c>
      <c r="U48">
        <f>$I$1*U47-$I$2*U46+$I$3*R7+$I$4*R6</f>
        <v/>
      </c>
      <c r="V48">
        <f>INT((2^$J$12-1)*U48/100)/(2^$J$12-1)*100</f>
        <v/>
      </c>
      <c r="X48">
        <f>M48 * 1.05</f>
        <v/>
      </c>
    </row>
    <row r="49">
      <c r="L49" t="n">
        <v>47</v>
      </c>
      <c r="M49">
        <f>IF(L49&lt;$D$16,$D$13,IF(L49&lt;$E$16,$E$13,$F$13))</f>
        <v/>
      </c>
      <c r="N49">
        <f>M49-V49</f>
        <v/>
      </c>
      <c r="O49">
        <f>IF(MOD(L49,$B$11)=0,OFFSET(O49,-$B$11,0)+$E$2*N49+$E$3*OFFSET(N49,-$B$11,0)+$E$4*OFFSET(N49,-2*$B$11,0),O48)</f>
        <v/>
      </c>
      <c r="P49">
        <f>INT((2^$J$12-1)*O49/100)/(2^$J$12-1)*100</f>
        <v/>
      </c>
      <c r="Q49">
        <f>RAND()*$G$12</f>
        <v/>
      </c>
      <c r="R49">
        <f>P49+Q49</f>
        <v/>
      </c>
      <c r="S49">
        <f>INT((2^$J$12-1)*R49/100)/(2^$J$12-1)*100</f>
        <v/>
      </c>
      <c r="T49">
        <f>RAND()*$G$12</f>
        <v/>
      </c>
      <c r="U49">
        <f>$I$1*U48-$I$2*U47+$I$3*R8+$I$4*R7</f>
        <v/>
      </c>
      <c r="V49">
        <f>INT((2^$J$12-1)*U49/100)/(2^$J$12-1)*100</f>
        <v/>
      </c>
      <c r="X49">
        <f>M49 * 1.05</f>
        <v/>
      </c>
    </row>
    <row r="50">
      <c r="L50" t="n">
        <v>48</v>
      </c>
      <c r="M50">
        <f>IF(L50&lt;$D$16,$D$13,IF(L50&lt;$E$16,$E$13,$F$13))</f>
        <v/>
      </c>
      <c r="N50">
        <f>M50-V50</f>
        <v/>
      </c>
      <c r="O50">
        <f>IF(MOD(L50,$B$11)=0,OFFSET(O50,-$B$11,0)+$E$2*N50+$E$3*OFFSET(N50,-$B$11,0)+$E$4*OFFSET(N50,-2*$B$11,0),O49)</f>
        <v/>
      </c>
      <c r="P50">
        <f>INT((2^$J$12-1)*O50/100)/(2^$J$12-1)*100</f>
        <v/>
      </c>
      <c r="Q50">
        <f>RAND()*$G$12</f>
        <v/>
      </c>
      <c r="R50">
        <f>P50+Q50</f>
        <v/>
      </c>
      <c r="S50">
        <f>INT((2^$J$12-1)*R50/100)/(2^$J$12-1)*100</f>
        <v/>
      </c>
      <c r="T50">
        <f>RAND()*$G$12</f>
        <v/>
      </c>
      <c r="U50">
        <f>$I$1*U49-$I$2*U48+$I$3*R9+$I$4*R8</f>
        <v/>
      </c>
      <c r="V50">
        <f>INT((2^$J$12-1)*U50/100)/(2^$J$12-1)*100</f>
        <v/>
      </c>
      <c r="X50">
        <f>M50 * 1.05</f>
        <v/>
      </c>
    </row>
    <row r="51">
      <c r="L51" t="n">
        <v>49</v>
      </c>
      <c r="M51">
        <f>IF(L51&lt;$D$16,$D$13,IF(L51&lt;$E$16,$E$13,$F$13))</f>
        <v/>
      </c>
      <c r="N51">
        <f>M51-V51</f>
        <v/>
      </c>
      <c r="O51">
        <f>IF(MOD(L51,$B$11)=0,OFFSET(O51,-$B$11,0)+$E$2*N51+$E$3*OFFSET(N51,-$B$11,0)+$E$4*OFFSET(N51,-2*$B$11,0),O50)</f>
        <v/>
      </c>
      <c r="P51">
        <f>INT((2^$J$12-1)*O51/100)/(2^$J$12-1)*100</f>
        <v/>
      </c>
      <c r="Q51">
        <f>RAND()*$G$12</f>
        <v/>
      </c>
      <c r="R51">
        <f>P51+Q51</f>
        <v/>
      </c>
      <c r="S51">
        <f>INT((2^$J$12-1)*R51/100)/(2^$J$12-1)*100</f>
        <v/>
      </c>
      <c r="T51">
        <f>RAND()*$G$12</f>
        <v/>
      </c>
      <c r="U51">
        <f>$I$1*U50-$I$2*U49+$I$3*R10+$I$4*R9</f>
        <v/>
      </c>
      <c r="V51">
        <f>INT((2^$J$12-1)*U51/100)/(2^$J$12-1)*100</f>
        <v/>
      </c>
      <c r="X51">
        <f>M51 * 1.05</f>
        <v/>
      </c>
    </row>
    <row r="52">
      <c r="L52" t="n">
        <v>50</v>
      </c>
      <c r="M52">
        <f>IF(L52&lt;$D$16,$D$13,IF(L52&lt;$E$16,$E$13,$F$13))</f>
        <v/>
      </c>
      <c r="N52">
        <f>M52-V52</f>
        <v/>
      </c>
      <c r="O52">
        <f>IF(MOD(L52,$B$11)=0,OFFSET(O52,-$B$11,0)+$E$2*N52+$E$3*OFFSET(N52,-$B$11,0)+$E$4*OFFSET(N52,-2*$B$11,0),O51)</f>
        <v/>
      </c>
      <c r="P52">
        <f>INT((2^$J$12-1)*O52/100)/(2^$J$12-1)*100</f>
        <v/>
      </c>
      <c r="Q52">
        <f>RAND()*$G$12</f>
        <v/>
      </c>
      <c r="R52">
        <f>P52+Q52</f>
        <v/>
      </c>
      <c r="S52">
        <f>INT((2^$J$12-1)*R52/100)/(2^$J$12-1)*100</f>
        <v/>
      </c>
      <c r="T52">
        <f>RAND()*$G$12</f>
        <v/>
      </c>
      <c r="U52">
        <f>$I$1*U51-$I$2*U50+$I$3*R11+$I$4*R10</f>
        <v/>
      </c>
      <c r="V52">
        <f>INT((2^$J$12-1)*U52/100)/(2^$J$12-1)*100</f>
        <v/>
      </c>
      <c r="X52">
        <f>M52 * 1.05</f>
        <v/>
      </c>
    </row>
    <row r="53">
      <c r="L53" t="n">
        <v>51</v>
      </c>
      <c r="M53">
        <f>IF(L53&lt;$D$16,$D$13,IF(L53&lt;$E$16,$E$13,$F$13))</f>
        <v/>
      </c>
      <c r="N53">
        <f>M53-V53</f>
        <v/>
      </c>
      <c r="O53">
        <f>IF(MOD(L53,$B$11)=0,OFFSET(O53,-$B$11,0)+$E$2*N53+$E$3*OFFSET(N53,-$B$11,0)+$E$4*OFFSET(N53,-2*$B$11,0),O52)</f>
        <v/>
      </c>
      <c r="P53">
        <f>INT((2^$J$12-1)*O53/100)/(2^$J$12-1)*100</f>
        <v/>
      </c>
      <c r="Q53">
        <f>RAND()*$G$12</f>
        <v/>
      </c>
      <c r="R53">
        <f>P53+Q53</f>
        <v/>
      </c>
      <c r="S53">
        <f>INT((2^$J$12-1)*R53/100)/(2^$J$12-1)*100</f>
        <v/>
      </c>
      <c r="T53">
        <f>RAND()*$G$12</f>
        <v/>
      </c>
      <c r="U53">
        <f>$I$1*U52-$I$2*U51+$I$3*R12+$I$4*R11</f>
        <v/>
      </c>
      <c r="V53">
        <f>INT((2^$J$12-1)*U53/100)/(2^$J$12-1)*100</f>
        <v/>
      </c>
      <c r="X53">
        <f>M53 * 1.05</f>
        <v/>
      </c>
    </row>
    <row r="54">
      <c r="L54" t="n">
        <v>52</v>
      </c>
      <c r="M54">
        <f>IF(L54&lt;$D$16,$D$13,IF(L54&lt;$E$16,$E$13,$F$13))</f>
        <v/>
      </c>
      <c r="N54">
        <f>M54-V54</f>
        <v/>
      </c>
      <c r="O54">
        <f>IF(MOD(L54,$B$11)=0,OFFSET(O54,-$B$11,0)+$E$2*N54+$E$3*OFFSET(N54,-$B$11,0)+$E$4*OFFSET(N54,-2*$B$11,0),O53)</f>
        <v/>
      </c>
      <c r="P54">
        <f>INT((2^$J$12-1)*O54/100)/(2^$J$12-1)*100</f>
        <v/>
      </c>
      <c r="Q54">
        <f>RAND()*$G$12</f>
        <v/>
      </c>
      <c r="R54">
        <f>P54+Q54</f>
        <v/>
      </c>
      <c r="S54">
        <f>INT((2^$J$12-1)*R54/100)/(2^$J$12-1)*100</f>
        <v/>
      </c>
      <c r="T54">
        <f>RAND()*$G$12</f>
        <v/>
      </c>
      <c r="U54">
        <f>$I$1*U53-$I$2*U52+$I$3*R13+$I$4*R12</f>
        <v/>
      </c>
      <c r="V54">
        <f>INT((2^$J$12-1)*U54/100)/(2^$J$12-1)*100</f>
        <v/>
      </c>
      <c r="X54">
        <f>M54 * 1.05</f>
        <v/>
      </c>
    </row>
    <row r="55">
      <c r="L55" t="n">
        <v>53</v>
      </c>
      <c r="M55">
        <f>IF(L55&lt;$D$16,$D$13,IF(L55&lt;$E$16,$E$13,$F$13))</f>
        <v/>
      </c>
      <c r="N55">
        <f>M55-V55</f>
        <v/>
      </c>
      <c r="O55">
        <f>IF(MOD(L55,$B$11)=0,OFFSET(O55,-$B$11,0)+$E$2*N55+$E$3*OFFSET(N55,-$B$11,0)+$E$4*OFFSET(N55,-2*$B$11,0),O54)</f>
        <v/>
      </c>
      <c r="P55">
        <f>INT((2^$J$12-1)*O55/100)/(2^$J$12-1)*100</f>
        <v/>
      </c>
      <c r="Q55">
        <f>RAND()*$G$12</f>
        <v/>
      </c>
      <c r="R55">
        <f>P55+Q55</f>
        <v/>
      </c>
      <c r="S55">
        <f>INT((2^$J$12-1)*R55/100)/(2^$J$12-1)*100</f>
        <v/>
      </c>
      <c r="T55">
        <f>RAND()*$G$12</f>
        <v/>
      </c>
      <c r="U55">
        <f>$I$1*U54-$I$2*U53+$I$3*R14+$I$4*R13</f>
        <v/>
      </c>
      <c r="V55">
        <f>INT((2^$J$12-1)*U55/100)/(2^$J$12-1)*100</f>
        <v/>
      </c>
      <c r="X55">
        <f>M55 * 1.05</f>
        <v/>
      </c>
    </row>
    <row r="56">
      <c r="L56" t="n">
        <v>54</v>
      </c>
      <c r="M56">
        <f>IF(L56&lt;$D$16,$D$13,IF(L56&lt;$E$16,$E$13,$F$13))</f>
        <v/>
      </c>
      <c r="N56">
        <f>M56-V56</f>
        <v/>
      </c>
      <c r="O56">
        <f>IF(MOD(L56,$B$11)=0,OFFSET(O56,-$B$11,0)+$E$2*N56+$E$3*OFFSET(N56,-$B$11,0)+$E$4*OFFSET(N56,-2*$B$11,0),O55)</f>
        <v/>
      </c>
      <c r="P56">
        <f>INT((2^$J$12-1)*O56/100)/(2^$J$12-1)*100</f>
        <v/>
      </c>
      <c r="Q56">
        <f>RAND()*$G$12</f>
        <v/>
      </c>
      <c r="R56">
        <f>P56+Q56</f>
        <v/>
      </c>
      <c r="S56">
        <f>INT((2^$J$12-1)*R56/100)/(2^$J$12-1)*100</f>
        <v/>
      </c>
      <c r="T56">
        <f>RAND()*$G$12</f>
        <v/>
      </c>
      <c r="U56">
        <f>$I$1*U55-$I$2*U54+$I$3*R15+$I$4*R14</f>
        <v/>
      </c>
      <c r="V56">
        <f>INT((2^$J$12-1)*U56/100)/(2^$J$12-1)*100</f>
        <v/>
      </c>
      <c r="X56">
        <f>M56 * 1.05</f>
        <v/>
      </c>
    </row>
    <row r="57">
      <c r="L57" t="n">
        <v>55</v>
      </c>
      <c r="M57">
        <f>IF(L57&lt;$D$16,$D$13,IF(L57&lt;$E$16,$E$13,$F$13))</f>
        <v/>
      </c>
      <c r="N57">
        <f>M57-V57</f>
        <v/>
      </c>
      <c r="O57">
        <f>IF(MOD(L57,$B$11)=0,OFFSET(O57,-$B$11,0)+$E$2*N57+$E$3*OFFSET(N57,-$B$11,0)+$E$4*OFFSET(N57,-2*$B$11,0),O56)</f>
        <v/>
      </c>
      <c r="P57">
        <f>INT((2^$J$12-1)*O57/100)/(2^$J$12-1)*100</f>
        <v/>
      </c>
      <c r="Q57">
        <f>RAND()*$G$12</f>
        <v/>
      </c>
      <c r="R57">
        <f>P57+Q57</f>
        <v/>
      </c>
      <c r="S57">
        <f>INT((2^$J$12-1)*R57/100)/(2^$J$12-1)*100</f>
        <v/>
      </c>
      <c r="T57">
        <f>RAND()*$G$12</f>
        <v/>
      </c>
      <c r="U57">
        <f>$I$1*U56-$I$2*U55+$I$3*R16+$I$4*R15</f>
        <v/>
      </c>
      <c r="V57">
        <f>INT((2^$J$12-1)*U57/100)/(2^$J$12-1)*100</f>
        <v/>
      </c>
      <c r="X57">
        <f>M57 * 1.05</f>
        <v/>
      </c>
    </row>
    <row r="58">
      <c r="L58" t="n">
        <v>56</v>
      </c>
      <c r="M58">
        <f>IF(L58&lt;$D$16,$D$13,IF(L58&lt;$E$16,$E$13,$F$13))</f>
        <v/>
      </c>
      <c r="N58">
        <f>M58-V58</f>
        <v/>
      </c>
      <c r="O58">
        <f>IF(MOD(L58,$B$11)=0,OFFSET(O58,-$B$11,0)+$E$2*N58+$E$3*OFFSET(N58,-$B$11,0)+$E$4*OFFSET(N58,-2*$B$11,0),O57)</f>
        <v/>
      </c>
      <c r="P58">
        <f>INT((2^$J$12-1)*O58/100)/(2^$J$12-1)*100</f>
        <v/>
      </c>
      <c r="Q58">
        <f>RAND()*$G$12</f>
        <v/>
      </c>
      <c r="R58">
        <f>P58+Q58</f>
        <v/>
      </c>
      <c r="S58">
        <f>INT((2^$J$12-1)*R58/100)/(2^$J$12-1)*100</f>
        <v/>
      </c>
      <c r="T58">
        <f>RAND()*$G$12</f>
        <v/>
      </c>
      <c r="U58">
        <f>$I$1*U57-$I$2*U56+$I$3*R17+$I$4*R16</f>
        <v/>
      </c>
      <c r="V58">
        <f>INT((2^$J$12-1)*U58/100)/(2^$J$12-1)*100</f>
        <v/>
      </c>
      <c r="X58">
        <f>M58 * 1.05</f>
        <v/>
      </c>
    </row>
    <row r="59">
      <c r="L59" t="n">
        <v>57</v>
      </c>
      <c r="M59">
        <f>IF(L59&lt;$D$16,$D$13,IF(L59&lt;$E$16,$E$13,$F$13))</f>
        <v/>
      </c>
      <c r="N59">
        <f>M59-V59</f>
        <v/>
      </c>
      <c r="O59">
        <f>IF(MOD(L59,$B$11)=0,OFFSET(O59,-$B$11,0)+$E$2*N59+$E$3*OFFSET(N59,-$B$11,0)+$E$4*OFFSET(N59,-2*$B$11,0),O58)</f>
        <v/>
      </c>
      <c r="P59">
        <f>INT((2^$J$12-1)*O59/100)/(2^$J$12-1)*100</f>
        <v/>
      </c>
      <c r="Q59">
        <f>RAND()*$G$12</f>
        <v/>
      </c>
      <c r="R59">
        <f>P59+Q59</f>
        <v/>
      </c>
      <c r="S59">
        <f>INT((2^$J$12-1)*R59/100)/(2^$J$12-1)*100</f>
        <v/>
      </c>
      <c r="T59">
        <f>RAND()*$G$12</f>
        <v/>
      </c>
      <c r="U59">
        <f>$I$1*U58-$I$2*U57+$I$3*R18+$I$4*R17</f>
        <v/>
      </c>
      <c r="V59">
        <f>INT((2^$J$12-1)*U59/100)/(2^$J$12-1)*100</f>
        <v/>
      </c>
      <c r="X59">
        <f>M59 * 1.05</f>
        <v/>
      </c>
    </row>
    <row r="60">
      <c r="L60" t="n">
        <v>58</v>
      </c>
      <c r="M60">
        <f>IF(L60&lt;$D$16,$D$13,IF(L60&lt;$E$16,$E$13,$F$13))</f>
        <v/>
      </c>
      <c r="N60">
        <f>M60-V60</f>
        <v/>
      </c>
      <c r="O60">
        <f>IF(MOD(L60,$B$11)=0,OFFSET(O60,-$B$11,0)+$E$2*N60+$E$3*OFFSET(N60,-$B$11,0)+$E$4*OFFSET(N60,-2*$B$11,0),O59)</f>
        <v/>
      </c>
      <c r="P60">
        <f>INT((2^$J$12-1)*O60/100)/(2^$J$12-1)*100</f>
        <v/>
      </c>
      <c r="Q60">
        <f>RAND()*$G$12</f>
        <v/>
      </c>
      <c r="R60">
        <f>P60+Q60</f>
        <v/>
      </c>
      <c r="S60">
        <f>INT((2^$J$12-1)*R60/100)/(2^$J$12-1)*100</f>
        <v/>
      </c>
      <c r="T60">
        <f>RAND()*$G$12</f>
        <v/>
      </c>
      <c r="U60">
        <f>$I$1*U59-$I$2*U58+$I$3*R19+$I$4*R18</f>
        <v/>
      </c>
      <c r="V60">
        <f>INT((2^$J$12-1)*U60/100)/(2^$J$12-1)*100</f>
        <v/>
      </c>
      <c r="X60">
        <f>M60 * 1.05</f>
        <v/>
      </c>
    </row>
    <row r="61">
      <c r="L61" t="n">
        <v>59</v>
      </c>
      <c r="M61">
        <f>IF(L61&lt;$D$16,$D$13,IF(L61&lt;$E$16,$E$13,$F$13))</f>
        <v/>
      </c>
      <c r="N61">
        <f>M61-V61</f>
        <v/>
      </c>
      <c r="O61">
        <f>IF(MOD(L61,$B$11)=0,OFFSET(O61,-$B$11,0)+$E$2*N61+$E$3*OFFSET(N61,-$B$11,0)+$E$4*OFFSET(N61,-2*$B$11,0),O60)</f>
        <v/>
      </c>
      <c r="P61">
        <f>INT((2^$J$12-1)*O61/100)/(2^$J$12-1)*100</f>
        <v/>
      </c>
      <c r="Q61">
        <f>RAND()*$G$12</f>
        <v/>
      </c>
      <c r="R61">
        <f>P61+Q61</f>
        <v/>
      </c>
      <c r="S61">
        <f>INT((2^$J$12-1)*R61/100)/(2^$J$12-1)*100</f>
        <v/>
      </c>
      <c r="T61">
        <f>RAND()*$G$12</f>
        <v/>
      </c>
      <c r="U61">
        <f>$I$1*U60-$I$2*U59+$I$3*R20+$I$4*R19</f>
        <v/>
      </c>
      <c r="V61">
        <f>INT((2^$J$12-1)*U61/100)/(2^$J$12-1)*100</f>
        <v/>
      </c>
      <c r="X61">
        <f>M61 * 1.05</f>
        <v/>
      </c>
    </row>
    <row r="62">
      <c r="L62" t="n">
        <v>60</v>
      </c>
      <c r="M62">
        <f>IF(L62&lt;$D$16,$D$13,IF(L62&lt;$E$16,$E$13,$F$13))</f>
        <v/>
      </c>
      <c r="N62">
        <f>M62-V62</f>
        <v/>
      </c>
      <c r="O62">
        <f>IF(MOD(L62,$B$11)=0,OFFSET(O62,-$B$11,0)+$E$2*N62+$E$3*OFFSET(N62,-$B$11,0)+$E$4*OFFSET(N62,-2*$B$11,0),O61)</f>
        <v/>
      </c>
      <c r="P62">
        <f>INT((2^$J$12-1)*O62/100)/(2^$J$12-1)*100</f>
        <v/>
      </c>
      <c r="Q62">
        <f>RAND()*$G$12</f>
        <v/>
      </c>
      <c r="R62">
        <f>P62+Q62</f>
        <v/>
      </c>
      <c r="S62">
        <f>INT((2^$J$12-1)*R62/100)/(2^$J$12-1)*100</f>
        <v/>
      </c>
      <c r="T62">
        <f>RAND()*$G$12</f>
        <v/>
      </c>
      <c r="U62">
        <f>$I$1*U61-$I$2*U60+$I$3*R21+$I$4*R20</f>
        <v/>
      </c>
      <c r="V62">
        <f>INT((2^$J$12-1)*U62/100)/(2^$J$12-1)*100</f>
        <v/>
      </c>
      <c r="X62">
        <f>M62 * 1.05</f>
        <v/>
      </c>
    </row>
    <row r="63">
      <c r="L63" t="n">
        <v>61</v>
      </c>
      <c r="M63">
        <f>IF(L63&lt;$D$16,$D$13,IF(L63&lt;$E$16,$E$13,$F$13))</f>
        <v/>
      </c>
      <c r="N63">
        <f>M63-V63</f>
        <v/>
      </c>
      <c r="O63">
        <f>IF(MOD(L63,$B$11)=0,OFFSET(O63,-$B$11,0)+$E$2*N63+$E$3*OFFSET(N63,-$B$11,0)+$E$4*OFFSET(N63,-2*$B$11,0),O62)</f>
        <v/>
      </c>
      <c r="P63">
        <f>INT((2^$J$12-1)*O63/100)/(2^$J$12-1)*100</f>
        <v/>
      </c>
      <c r="Q63">
        <f>RAND()*$G$12</f>
        <v/>
      </c>
      <c r="R63">
        <f>P63+Q63</f>
        <v/>
      </c>
      <c r="S63">
        <f>INT((2^$J$12-1)*R63/100)/(2^$J$12-1)*100</f>
        <v/>
      </c>
      <c r="T63">
        <f>RAND()*$G$12</f>
        <v/>
      </c>
      <c r="U63">
        <f>$I$1*U62-$I$2*U61+$I$3*R22+$I$4*R21</f>
        <v/>
      </c>
      <c r="V63">
        <f>INT((2^$J$12-1)*U63/100)/(2^$J$12-1)*100</f>
        <v/>
      </c>
      <c r="X63">
        <f>M63 * 1.05</f>
        <v/>
      </c>
    </row>
    <row r="64">
      <c r="L64" t="n">
        <v>62</v>
      </c>
      <c r="M64">
        <f>IF(L64&lt;$D$16,$D$13,IF(L64&lt;$E$16,$E$13,$F$13))</f>
        <v/>
      </c>
      <c r="N64">
        <f>M64-V64</f>
        <v/>
      </c>
      <c r="O64">
        <f>IF(MOD(L64,$B$11)=0,OFFSET(O64,-$B$11,0)+$E$2*N64+$E$3*OFFSET(N64,-$B$11,0)+$E$4*OFFSET(N64,-2*$B$11,0),O63)</f>
        <v/>
      </c>
      <c r="P64">
        <f>INT((2^$J$12-1)*O64/100)/(2^$J$12-1)*100</f>
        <v/>
      </c>
      <c r="Q64">
        <f>RAND()*$G$12</f>
        <v/>
      </c>
      <c r="R64">
        <f>P64+Q64</f>
        <v/>
      </c>
      <c r="S64">
        <f>INT((2^$J$12-1)*R64/100)/(2^$J$12-1)*100</f>
        <v/>
      </c>
      <c r="T64">
        <f>RAND()*$G$12</f>
        <v/>
      </c>
      <c r="U64">
        <f>$I$1*U63-$I$2*U62+$I$3*R23+$I$4*R22</f>
        <v/>
      </c>
      <c r="V64">
        <f>INT((2^$J$12-1)*U64/100)/(2^$J$12-1)*100</f>
        <v/>
      </c>
      <c r="X64">
        <f>M64 * 1.05</f>
        <v/>
      </c>
    </row>
    <row r="65">
      <c r="L65" t="n">
        <v>63</v>
      </c>
      <c r="M65">
        <f>IF(L65&lt;$D$16,$D$13,IF(L65&lt;$E$16,$E$13,$F$13))</f>
        <v/>
      </c>
      <c r="N65">
        <f>M65-V65</f>
        <v/>
      </c>
      <c r="O65">
        <f>IF(MOD(L65,$B$11)=0,OFFSET(O65,-$B$11,0)+$E$2*N65+$E$3*OFFSET(N65,-$B$11,0)+$E$4*OFFSET(N65,-2*$B$11,0),O64)</f>
        <v/>
      </c>
      <c r="P65">
        <f>INT((2^$J$12-1)*O65/100)/(2^$J$12-1)*100</f>
        <v/>
      </c>
      <c r="Q65">
        <f>RAND()*$G$12</f>
        <v/>
      </c>
      <c r="R65">
        <f>P65+Q65</f>
        <v/>
      </c>
      <c r="S65">
        <f>INT((2^$J$12-1)*R65/100)/(2^$J$12-1)*100</f>
        <v/>
      </c>
      <c r="T65">
        <f>RAND()*$G$12</f>
        <v/>
      </c>
      <c r="U65">
        <f>$I$1*U64-$I$2*U63+$I$3*R24+$I$4*R23</f>
        <v/>
      </c>
      <c r="V65">
        <f>INT((2^$J$12-1)*U65/100)/(2^$J$12-1)*100</f>
        <v/>
      </c>
      <c r="X65">
        <f>M65 * 1.05</f>
        <v/>
      </c>
    </row>
    <row r="66">
      <c r="L66" t="n">
        <v>64</v>
      </c>
      <c r="M66">
        <f>IF(L66&lt;$D$16,$D$13,IF(L66&lt;$E$16,$E$13,$F$13))</f>
        <v/>
      </c>
      <c r="N66">
        <f>M66-V66</f>
        <v/>
      </c>
      <c r="O66">
        <f>IF(MOD(L66,$B$11)=0,OFFSET(O66,-$B$11,0)+$E$2*N66+$E$3*OFFSET(N66,-$B$11,0)+$E$4*OFFSET(N66,-2*$B$11,0),O65)</f>
        <v/>
      </c>
      <c r="P66">
        <f>INT((2^$J$12-1)*O66/100)/(2^$J$12-1)*100</f>
        <v/>
      </c>
      <c r="Q66">
        <f>RAND()*$G$12</f>
        <v/>
      </c>
      <c r="R66">
        <f>P66+Q66</f>
        <v/>
      </c>
      <c r="S66">
        <f>INT((2^$J$12-1)*R66/100)/(2^$J$12-1)*100</f>
        <v/>
      </c>
      <c r="T66">
        <f>RAND()*$G$12</f>
        <v/>
      </c>
      <c r="U66">
        <f>$I$1*U65-$I$2*U64+$I$3*R25+$I$4*R24</f>
        <v/>
      </c>
      <c r="V66">
        <f>INT((2^$J$12-1)*U66/100)/(2^$J$12-1)*100</f>
        <v/>
      </c>
      <c r="X66">
        <f>M66 * 1.05</f>
        <v/>
      </c>
    </row>
    <row r="67">
      <c r="L67" t="n">
        <v>65</v>
      </c>
      <c r="M67">
        <f>IF(L67&lt;$D$16,$D$13,IF(L67&lt;$E$16,$E$13,$F$13))</f>
        <v/>
      </c>
      <c r="N67">
        <f>M67-V67</f>
        <v/>
      </c>
      <c r="O67">
        <f>IF(MOD(L67,$B$11)=0,OFFSET(O67,-$B$11,0)+$E$2*N67+$E$3*OFFSET(N67,-$B$11,0)+$E$4*OFFSET(N67,-2*$B$11,0),O66)</f>
        <v/>
      </c>
      <c r="P67">
        <f>INT((2^$J$12-1)*O67/100)/(2^$J$12-1)*100</f>
        <v/>
      </c>
      <c r="Q67">
        <f>RAND()*$G$12</f>
        <v/>
      </c>
      <c r="R67">
        <f>P67+Q67</f>
        <v/>
      </c>
      <c r="S67">
        <f>INT((2^$J$12-1)*R67/100)/(2^$J$12-1)*100</f>
        <v/>
      </c>
      <c r="T67">
        <f>RAND()*$G$12</f>
        <v/>
      </c>
      <c r="U67">
        <f>$I$1*U66-$I$2*U65+$I$3*R26+$I$4*R25</f>
        <v/>
      </c>
      <c r="V67">
        <f>INT((2^$J$12-1)*U67/100)/(2^$J$12-1)*100</f>
        <v/>
      </c>
      <c r="X67">
        <f>M67 * 1.05</f>
        <v/>
      </c>
    </row>
    <row r="68">
      <c r="L68" t="n">
        <v>66</v>
      </c>
      <c r="M68">
        <f>IF(L68&lt;$D$16,$D$13,IF(L68&lt;$E$16,$E$13,$F$13))</f>
        <v/>
      </c>
      <c r="N68">
        <f>M68-V68</f>
        <v/>
      </c>
      <c r="O68">
        <f>IF(MOD(L68,$B$11)=0,OFFSET(O68,-$B$11,0)+$E$2*N68+$E$3*OFFSET(N68,-$B$11,0)+$E$4*OFFSET(N68,-2*$B$11,0),O67)</f>
        <v/>
      </c>
      <c r="P68">
        <f>INT((2^$J$12-1)*O68/100)/(2^$J$12-1)*100</f>
        <v/>
      </c>
      <c r="Q68">
        <f>RAND()*$G$12</f>
        <v/>
      </c>
      <c r="R68">
        <f>P68+Q68</f>
        <v/>
      </c>
      <c r="S68">
        <f>INT((2^$J$12-1)*R68/100)/(2^$J$12-1)*100</f>
        <v/>
      </c>
      <c r="T68">
        <f>RAND()*$G$12</f>
        <v/>
      </c>
      <c r="U68">
        <f>$I$1*U67-$I$2*U66+$I$3*R27+$I$4*R26</f>
        <v/>
      </c>
      <c r="V68">
        <f>INT((2^$J$12-1)*U68/100)/(2^$J$12-1)*100</f>
        <v/>
      </c>
      <c r="X68">
        <f>M68 * 1.05</f>
        <v/>
      </c>
    </row>
    <row r="69">
      <c r="L69" t="n">
        <v>67</v>
      </c>
      <c r="M69">
        <f>IF(L69&lt;$D$16,$D$13,IF(L69&lt;$E$16,$E$13,$F$13))</f>
        <v/>
      </c>
      <c r="N69">
        <f>M69-V69</f>
        <v/>
      </c>
      <c r="O69">
        <f>IF(MOD(L69,$B$11)=0,OFFSET(O69,-$B$11,0)+$E$2*N69+$E$3*OFFSET(N69,-$B$11,0)+$E$4*OFFSET(N69,-2*$B$11,0),O68)</f>
        <v/>
      </c>
      <c r="P69">
        <f>INT((2^$J$12-1)*O69/100)/(2^$J$12-1)*100</f>
        <v/>
      </c>
      <c r="Q69">
        <f>RAND()*$G$12</f>
        <v/>
      </c>
      <c r="R69">
        <f>P69+Q69</f>
        <v/>
      </c>
      <c r="S69">
        <f>INT((2^$J$12-1)*R69/100)/(2^$J$12-1)*100</f>
        <v/>
      </c>
      <c r="T69">
        <f>RAND()*$G$12</f>
        <v/>
      </c>
      <c r="U69">
        <f>$I$1*U68-$I$2*U67+$I$3*R28+$I$4*R27</f>
        <v/>
      </c>
      <c r="V69">
        <f>INT((2^$J$12-1)*U69/100)/(2^$J$12-1)*100</f>
        <v/>
      </c>
      <c r="X69">
        <f>M69 * 1.05</f>
        <v/>
      </c>
    </row>
    <row r="70">
      <c r="L70" t="n">
        <v>68</v>
      </c>
      <c r="M70">
        <f>IF(L70&lt;$D$16,$D$13,IF(L70&lt;$E$16,$E$13,$F$13))</f>
        <v/>
      </c>
      <c r="N70">
        <f>M70-V70</f>
        <v/>
      </c>
      <c r="O70">
        <f>IF(MOD(L70,$B$11)=0,OFFSET(O70,-$B$11,0)+$E$2*N70+$E$3*OFFSET(N70,-$B$11,0)+$E$4*OFFSET(N70,-2*$B$11,0),O69)</f>
        <v/>
      </c>
      <c r="P70">
        <f>INT((2^$J$12-1)*O70/100)/(2^$J$12-1)*100</f>
        <v/>
      </c>
      <c r="Q70">
        <f>RAND()*$G$12</f>
        <v/>
      </c>
      <c r="R70">
        <f>P70+Q70</f>
        <v/>
      </c>
      <c r="S70">
        <f>INT((2^$J$12-1)*R70/100)/(2^$J$12-1)*100</f>
        <v/>
      </c>
      <c r="T70">
        <f>RAND()*$G$12</f>
        <v/>
      </c>
      <c r="U70">
        <f>$I$1*U69-$I$2*U68+$I$3*R29+$I$4*R28</f>
        <v/>
      </c>
      <c r="V70">
        <f>INT((2^$J$12-1)*U70/100)/(2^$J$12-1)*100</f>
        <v/>
      </c>
      <c r="X70">
        <f>M70 * 1.05</f>
        <v/>
      </c>
    </row>
    <row r="71">
      <c r="L71" t="n">
        <v>69</v>
      </c>
      <c r="M71">
        <f>IF(L71&lt;$D$16,$D$13,IF(L71&lt;$E$16,$E$13,$F$13))</f>
        <v/>
      </c>
      <c r="N71">
        <f>M71-V71</f>
        <v/>
      </c>
      <c r="O71">
        <f>IF(MOD(L71,$B$11)=0,OFFSET(O71,-$B$11,0)+$E$2*N71+$E$3*OFFSET(N71,-$B$11,0)+$E$4*OFFSET(N71,-2*$B$11,0),O70)</f>
        <v/>
      </c>
      <c r="P71">
        <f>INT((2^$J$12-1)*O71/100)/(2^$J$12-1)*100</f>
        <v/>
      </c>
      <c r="Q71">
        <f>RAND()*$G$12</f>
        <v/>
      </c>
      <c r="R71">
        <f>P71+Q71</f>
        <v/>
      </c>
      <c r="S71">
        <f>INT((2^$J$12-1)*R71/100)/(2^$J$12-1)*100</f>
        <v/>
      </c>
      <c r="T71">
        <f>RAND()*$G$12</f>
        <v/>
      </c>
      <c r="U71">
        <f>$I$1*U70-$I$2*U69+$I$3*R30+$I$4*R29</f>
        <v/>
      </c>
      <c r="V71">
        <f>INT((2^$J$12-1)*U71/100)/(2^$J$12-1)*100</f>
        <v/>
      </c>
      <c r="X71">
        <f>M71 * 1.05</f>
        <v/>
      </c>
    </row>
    <row r="72">
      <c r="L72" t="n">
        <v>70</v>
      </c>
      <c r="M72">
        <f>IF(L72&lt;$D$16,$D$13,IF(L72&lt;$E$16,$E$13,$F$13))</f>
        <v/>
      </c>
      <c r="N72">
        <f>M72-V72</f>
        <v/>
      </c>
      <c r="O72">
        <f>IF(MOD(L72,$B$11)=0,OFFSET(O72,-$B$11,0)+$E$2*N72+$E$3*OFFSET(N72,-$B$11,0)+$E$4*OFFSET(N72,-2*$B$11,0),O71)</f>
        <v/>
      </c>
      <c r="P72">
        <f>INT((2^$J$12-1)*O72/100)/(2^$J$12-1)*100</f>
        <v/>
      </c>
      <c r="Q72">
        <f>RAND()*$G$12</f>
        <v/>
      </c>
      <c r="R72">
        <f>P72+Q72</f>
        <v/>
      </c>
      <c r="S72">
        <f>INT((2^$J$12-1)*R72/100)/(2^$J$12-1)*100</f>
        <v/>
      </c>
      <c r="T72">
        <f>RAND()*$G$12</f>
        <v/>
      </c>
      <c r="U72">
        <f>$I$1*U71-$I$2*U70+$I$3*R31+$I$4*R30</f>
        <v/>
      </c>
      <c r="V72">
        <f>INT((2^$J$12-1)*U72/100)/(2^$J$12-1)*100</f>
        <v/>
      </c>
      <c r="X72">
        <f>M72 * 1.05</f>
        <v/>
      </c>
    </row>
    <row r="73">
      <c r="L73" t="n">
        <v>71</v>
      </c>
      <c r="M73">
        <f>IF(L73&lt;$D$16,$D$13,IF(L73&lt;$E$16,$E$13,$F$13))</f>
        <v/>
      </c>
      <c r="N73">
        <f>M73-V73</f>
        <v/>
      </c>
      <c r="O73">
        <f>IF(MOD(L73,$B$11)=0,OFFSET(O73,-$B$11,0)+$E$2*N73+$E$3*OFFSET(N73,-$B$11,0)+$E$4*OFFSET(N73,-2*$B$11,0),O72)</f>
        <v/>
      </c>
      <c r="P73">
        <f>INT((2^$J$12-1)*O73/100)/(2^$J$12-1)*100</f>
        <v/>
      </c>
      <c r="Q73">
        <f>RAND()*$G$12</f>
        <v/>
      </c>
      <c r="R73">
        <f>P73+Q73</f>
        <v/>
      </c>
      <c r="S73">
        <f>INT((2^$J$12-1)*R73/100)/(2^$J$12-1)*100</f>
        <v/>
      </c>
      <c r="T73">
        <f>RAND()*$G$12</f>
        <v/>
      </c>
      <c r="U73">
        <f>$I$1*U72-$I$2*U71+$I$3*R32+$I$4*R31</f>
        <v/>
      </c>
      <c r="V73">
        <f>INT((2^$J$12-1)*U73/100)/(2^$J$12-1)*100</f>
        <v/>
      </c>
      <c r="X73">
        <f>M73 * 1.05</f>
        <v/>
      </c>
    </row>
    <row r="74">
      <c r="L74" t="n">
        <v>72</v>
      </c>
      <c r="M74">
        <f>IF(L74&lt;$D$16,$D$13,IF(L74&lt;$E$16,$E$13,$F$13))</f>
        <v/>
      </c>
      <c r="N74">
        <f>M74-V74</f>
        <v/>
      </c>
      <c r="O74">
        <f>IF(MOD(L74,$B$11)=0,OFFSET(O74,-$B$11,0)+$E$2*N74+$E$3*OFFSET(N74,-$B$11,0)+$E$4*OFFSET(N74,-2*$B$11,0),O73)</f>
        <v/>
      </c>
      <c r="P74">
        <f>INT((2^$J$12-1)*O74/100)/(2^$J$12-1)*100</f>
        <v/>
      </c>
      <c r="Q74">
        <f>RAND()*$G$12</f>
        <v/>
      </c>
      <c r="R74">
        <f>P74+Q74</f>
        <v/>
      </c>
      <c r="S74">
        <f>INT((2^$J$12-1)*R74/100)/(2^$J$12-1)*100</f>
        <v/>
      </c>
      <c r="T74">
        <f>RAND()*$G$12</f>
        <v/>
      </c>
      <c r="U74">
        <f>$I$1*U73-$I$2*U72+$I$3*R33+$I$4*R32</f>
        <v/>
      </c>
      <c r="V74">
        <f>INT((2^$J$12-1)*U74/100)/(2^$J$12-1)*100</f>
        <v/>
      </c>
      <c r="X74">
        <f>M74 * 1.05</f>
        <v/>
      </c>
    </row>
    <row r="75">
      <c r="L75" t="n">
        <v>73</v>
      </c>
      <c r="M75">
        <f>IF(L75&lt;$D$16,$D$13,IF(L75&lt;$E$16,$E$13,$F$13))</f>
        <v/>
      </c>
      <c r="N75">
        <f>M75-V75</f>
        <v/>
      </c>
      <c r="O75">
        <f>IF(MOD(L75,$B$11)=0,OFFSET(O75,-$B$11,0)+$E$2*N75+$E$3*OFFSET(N75,-$B$11,0)+$E$4*OFFSET(N75,-2*$B$11,0),O74)</f>
        <v/>
      </c>
      <c r="P75">
        <f>INT((2^$J$12-1)*O75/100)/(2^$J$12-1)*100</f>
        <v/>
      </c>
      <c r="Q75">
        <f>RAND()*$G$12</f>
        <v/>
      </c>
      <c r="R75">
        <f>P75+Q75</f>
        <v/>
      </c>
      <c r="S75">
        <f>INT((2^$J$12-1)*R75/100)/(2^$J$12-1)*100</f>
        <v/>
      </c>
      <c r="T75">
        <f>RAND()*$G$12</f>
        <v/>
      </c>
      <c r="U75">
        <f>$I$1*U74-$I$2*U73+$I$3*R34+$I$4*R33</f>
        <v/>
      </c>
      <c r="V75">
        <f>INT((2^$J$12-1)*U75/100)/(2^$J$12-1)*100</f>
        <v/>
      </c>
      <c r="X75">
        <f>M75 * 1.05</f>
        <v/>
      </c>
    </row>
    <row r="76">
      <c r="L76" t="n">
        <v>74</v>
      </c>
      <c r="M76">
        <f>IF(L76&lt;$D$16,$D$13,IF(L76&lt;$E$16,$E$13,$F$13))</f>
        <v/>
      </c>
      <c r="N76">
        <f>M76-V76</f>
        <v/>
      </c>
      <c r="O76">
        <f>IF(MOD(L76,$B$11)=0,OFFSET(O76,-$B$11,0)+$E$2*N76+$E$3*OFFSET(N76,-$B$11,0)+$E$4*OFFSET(N76,-2*$B$11,0),O75)</f>
        <v/>
      </c>
      <c r="P76">
        <f>INT((2^$J$12-1)*O76/100)/(2^$J$12-1)*100</f>
        <v/>
      </c>
      <c r="Q76">
        <f>RAND()*$G$12</f>
        <v/>
      </c>
      <c r="R76">
        <f>P76+Q76</f>
        <v/>
      </c>
      <c r="S76">
        <f>INT((2^$J$12-1)*R76/100)/(2^$J$12-1)*100</f>
        <v/>
      </c>
      <c r="T76">
        <f>RAND()*$G$12</f>
        <v/>
      </c>
      <c r="U76">
        <f>$I$1*U75-$I$2*U74+$I$3*R35+$I$4*R34</f>
        <v/>
      </c>
      <c r="V76">
        <f>INT((2^$J$12-1)*U76/100)/(2^$J$12-1)*100</f>
        <v/>
      </c>
      <c r="X76">
        <f>M76 * 1.05</f>
        <v/>
      </c>
    </row>
    <row r="77">
      <c r="L77" t="n">
        <v>75</v>
      </c>
      <c r="M77">
        <f>IF(L77&lt;$D$16,$D$13,IF(L77&lt;$E$16,$E$13,$F$13))</f>
        <v/>
      </c>
      <c r="N77">
        <f>M77-V77</f>
        <v/>
      </c>
      <c r="O77">
        <f>IF(MOD(L77,$B$11)=0,OFFSET(O77,-$B$11,0)+$E$2*N77+$E$3*OFFSET(N77,-$B$11,0)+$E$4*OFFSET(N77,-2*$B$11,0),O76)</f>
        <v/>
      </c>
      <c r="P77">
        <f>INT((2^$J$12-1)*O77/100)/(2^$J$12-1)*100</f>
        <v/>
      </c>
      <c r="Q77">
        <f>RAND()*$G$12</f>
        <v/>
      </c>
      <c r="R77">
        <f>P77+Q77</f>
        <v/>
      </c>
      <c r="S77">
        <f>INT((2^$J$12-1)*R77/100)/(2^$J$12-1)*100</f>
        <v/>
      </c>
      <c r="T77">
        <f>RAND()*$G$12</f>
        <v/>
      </c>
      <c r="U77">
        <f>$I$1*U76-$I$2*U75+$I$3*R36+$I$4*R35</f>
        <v/>
      </c>
      <c r="V77">
        <f>INT((2^$J$12-1)*U77/100)/(2^$J$12-1)*100</f>
        <v/>
      </c>
      <c r="X77">
        <f>M77 * 1.05</f>
        <v/>
      </c>
    </row>
    <row r="78">
      <c r="L78" t="n">
        <v>76</v>
      </c>
      <c r="M78">
        <f>IF(L78&lt;$D$16,$D$13,IF(L78&lt;$E$16,$E$13,$F$13))</f>
        <v/>
      </c>
      <c r="N78">
        <f>M78-V78</f>
        <v/>
      </c>
      <c r="O78">
        <f>IF(MOD(L78,$B$11)=0,OFFSET(O78,-$B$11,0)+$E$2*N78+$E$3*OFFSET(N78,-$B$11,0)+$E$4*OFFSET(N78,-2*$B$11,0),O77)</f>
        <v/>
      </c>
      <c r="P78">
        <f>INT((2^$J$12-1)*O78/100)/(2^$J$12-1)*100</f>
        <v/>
      </c>
      <c r="Q78">
        <f>RAND()*$G$12</f>
        <v/>
      </c>
      <c r="R78">
        <f>P78+Q78</f>
        <v/>
      </c>
      <c r="S78">
        <f>INT((2^$J$12-1)*R78/100)/(2^$J$12-1)*100</f>
        <v/>
      </c>
      <c r="T78">
        <f>RAND()*$G$12</f>
        <v/>
      </c>
      <c r="U78">
        <f>$I$1*U77-$I$2*U76+$I$3*R37+$I$4*R36</f>
        <v/>
      </c>
      <c r="V78">
        <f>INT((2^$J$12-1)*U78/100)/(2^$J$12-1)*100</f>
        <v/>
      </c>
      <c r="X78">
        <f>M78 * 1.05</f>
        <v/>
      </c>
    </row>
    <row r="79">
      <c r="L79" t="n">
        <v>77</v>
      </c>
      <c r="M79">
        <f>IF(L79&lt;$D$16,$D$13,IF(L79&lt;$E$16,$E$13,$F$13))</f>
        <v/>
      </c>
      <c r="N79">
        <f>M79-V79</f>
        <v/>
      </c>
      <c r="O79">
        <f>IF(MOD(L79,$B$11)=0,OFFSET(O79,-$B$11,0)+$E$2*N79+$E$3*OFFSET(N79,-$B$11,0)+$E$4*OFFSET(N79,-2*$B$11,0),O78)</f>
        <v/>
      </c>
      <c r="P79">
        <f>INT((2^$J$12-1)*O79/100)/(2^$J$12-1)*100</f>
        <v/>
      </c>
      <c r="Q79">
        <f>RAND()*$G$12</f>
        <v/>
      </c>
      <c r="R79">
        <f>P79+Q79</f>
        <v/>
      </c>
      <c r="S79">
        <f>INT((2^$J$12-1)*R79/100)/(2^$J$12-1)*100</f>
        <v/>
      </c>
      <c r="T79">
        <f>RAND()*$G$12</f>
        <v/>
      </c>
      <c r="U79">
        <f>$I$1*U78-$I$2*U77+$I$3*R38+$I$4*R37</f>
        <v/>
      </c>
      <c r="V79">
        <f>INT((2^$J$12-1)*U79/100)/(2^$J$12-1)*100</f>
        <v/>
      </c>
      <c r="X79">
        <f>M79 * 1.05</f>
        <v/>
      </c>
    </row>
    <row r="80">
      <c r="L80" t="n">
        <v>78</v>
      </c>
      <c r="M80">
        <f>IF(L80&lt;$D$16,$D$13,IF(L80&lt;$E$16,$E$13,$F$13))</f>
        <v/>
      </c>
      <c r="N80">
        <f>M80-V80</f>
        <v/>
      </c>
      <c r="O80">
        <f>IF(MOD(L80,$B$11)=0,OFFSET(O80,-$B$11,0)+$E$2*N80+$E$3*OFFSET(N80,-$B$11,0)+$E$4*OFFSET(N80,-2*$B$11,0),O79)</f>
        <v/>
      </c>
      <c r="P80">
        <f>INT((2^$J$12-1)*O80/100)/(2^$J$12-1)*100</f>
        <v/>
      </c>
      <c r="Q80">
        <f>RAND()*$G$12</f>
        <v/>
      </c>
      <c r="R80">
        <f>P80+Q80</f>
        <v/>
      </c>
      <c r="S80">
        <f>INT((2^$J$12-1)*R80/100)/(2^$J$12-1)*100</f>
        <v/>
      </c>
      <c r="T80">
        <f>RAND()*$G$12</f>
        <v/>
      </c>
      <c r="U80">
        <f>$I$1*U79-$I$2*U78+$I$3*R39+$I$4*R38</f>
        <v/>
      </c>
      <c r="V80">
        <f>INT((2^$J$12-1)*U80/100)/(2^$J$12-1)*100</f>
        <v/>
      </c>
      <c r="X80">
        <f>M80 * 1.05</f>
        <v/>
      </c>
    </row>
    <row r="81">
      <c r="L81" t="n">
        <v>79</v>
      </c>
      <c r="M81">
        <f>IF(L81&lt;$D$16,$D$13,IF(L81&lt;$E$16,$E$13,$F$13))</f>
        <v/>
      </c>
      <c r="N81">
        <f>M81-V81</f>
        <v/>
      </c>
      <c r="O81">
        <f>IF(MOD(L81,$B$11)=0,OFFSET(O81,-$B$11,0)+$E$2*N81+$E$3*OFFSET(N81,-$B$11,0)+$E$4*OFFSET(N81,-2*$B$11,0),O80)</f>
        <v/>
      </c>
      <c r="P81">
        <f>INT((2^$J$12-1)*O81/100)/(2^$J$12-1)*100</f>
        <v/>
      </c>
      <c r="Q81">
        <f>RAND()*$G$12</f>
        <v/>
      </c>
      <c r="R81">
        <f>P81+Q81</f>
        <v/>
      </c>
      <c r="S81">
        <f>INT((2^$J$12-1)*R81/100)/(2^$J$12-1)*100</f>
        <v/>
      </c>
      <c r="T81">
        <f>RAND()*$G$12</f>
        <v/>
      </c>
      <c r="U81">
        <f>$I$1*U80-$I$2*U79+$I$3*R40+$I$4*R39</f>
        <v/>
      </c>
      <c r="V81">
        <f>INT((2^$J$12-1)*U81/100)/(2^$J$12-1)*100</f>
        <v/>
      </c>
      <c r="X81">
        <f>M81 * 1.05</f>
        <v/>
      </c>
    </row>
    <row r="82">
      <c r="L82" t="n">
        <v>80</v>
      </c>
      <c r="M82">
        <f>IF(L82&lt;$D$16,$D$13,IF(L82&lt;$E$16,$E$13,$F$13))</f>
        <v/>
      </c>
      <c r="N82">
        <f>M82-V82</f>
        <v/>
      </c>
      <c r="O82">
        <f>IF(MOD(L82,$B$11)=0,OFFSET(O82,-$B$11,0)+$E$2*N82+$E$3*OFFSET(N82,-$B$11,0)+$E$4*OFFSET(N82,-2*$B$11,0),O81)</f>
        <v/>
      </c>
      <c r="P82">
        <f>INT((2^$J$12-1)*O82/100)/(2^$J$12-1)*100</f>
        <v/>
      </c>
      <c r="Q82">
        <f>RAND()*$G$12</f>
        <v/>
      </c>
      <c r="R82">
        <f>P82+Q82</f>
        <v/>
      </c>
      <c r="S82">
        <f>INT((2^$J$12-1)*R82/100)/(2^$J$12-1)*100</f>
        <v/>
      </c>
      <c r="T82">
        <f>RAND()*$G$12</f>
        <v/>
      </c>
      <c r="U82">
        <f>$I$1*U81-$I$2*U80+$I$3*R41+$I$4*R40</f>
        <v/>
      </c>
      <c r="V82">
        <f>INT((2^$J$12-1)*U82/100)/(2^$J$12-1)*100</f>
        <v/>
      </c>
      <c r="X82">
        <f>M82 * 1.05</f>
        <v/>
      </c>
    </row>
    <row r="83">
      <c r="L83" t="n">
        <v>81</v>
      </c>
      <c r="M83">
        <f>IF(L83&lt;$D$16,$D$13,IF(L83&lt;$E$16,$E$13,$F$13))</f>
        <v/>
      </c>
      <c r="N83">
        <f>M83-V83</f>
        <v/>
      </c>
      <c r="O83">
        <f>IF(MOD(L83,$B$11)=0,OFFSET(O83,-$B$11,0)+$E$2*N83+$E$3*OFFSET(N83,-$B$11,0)+$E$4*OFFSET(N83,-2*$B$11,0),O82)</f>
        <v/>
      </c>
      <c r="P83">
        <f>INT((2^$J$12-1)*O83/100)/(2^$J$12-1)*100</f>
        <v/>
      </c>
      <c r="Q83">
        <f>RAND()*$G$12</f>
        <v/>
      </c>
      <c r="R83">
        <f>P83+Q83</f>
        <v/>
      </c>
      <c r="S83">
        <f>INT((2^$J$12-1)*R83/100)/(2^$J$12-1)*100</f>
        <v/>
      </c>
      <c r="T83">
        <f>RAND()*$G$12</f>
        <v/>
      </c>
      <c r="U83">
        <f>$I$1*U82-$I$2*U81+$I$3*R42+$I$4*R41</f>
        <v/>
      </c>
      <c r="V83">
        <f>INT((2^$J$12-1)*U83/100)/(2^$J$12-1)*100</f>
        <v/>
      </c>
      <c r="X83">
        <f>M83 * 1.05</f>
        <v/>
      </c>
    </row>
    <row r="84">
      <c r="L84" t="n">
        <v>82</v>
      </c>
      <c r="M84">
        <f>IF(L84&lt;$D$16,$D$13,IF(L84&lt;$E$16,$E$13,$F$13))</f>
        <v/>
      </c>
      <c r="N84">
        <f>M84-V84</f>
        <v/>
      </c>
      <c r="O84">
        <f>IF(MOD(L84,$B$11)=0,OFFSET(O84,-$B$11,0)+$E$2*N84+$E$3*OFFSET(N84,-$B$11,0)+$E$4*OFFSET(N84,-2*$B$11,0),O83)</f>
        <v/>
      </c>
      <c r="P84">
        <f>INT((2^$J$12-1)*O84/100)/(2^$J$12-1)*100</f>
        <v/>
      </c>
      <c r="Q84">
        <f>RAND()*$G$12</f>
        <v/>
      </c>
      <c r="R84">
        <f>P84+Q84</f>
        <v/>
      </c>
      <c r="S84">
        <f>INT((2^$J$12-1)*R84/100)/(2^$J$12-1)*100</f>
        <v/>
      </c>
      <c r="T84">
        <f>RAND()*$G$12</f>
        <v/>
      </c>
      <c r="U84">
        <f>$I$1*U83-$I$2*U82+$I$3*R43+$I$4*R42</f>
        <v/>
      </c>
      <c r="V84">
        <f>INT((2^$J$12-1)*U84/100)/(2^$J$12-1)*100</f>
        <v/>
      </c>
      <c r="X84">
        <f>M84 * 1.05</f>
        <v/>
      </c>
    </row>
    <row r="85">
      <c r="L85" t="n">
        <v>83</v>
      </c>
      <c r="M85">
        <f>IF(L85&lt;$D$16,$D$13,IF(L85&lt;$E$16,$E$13,$F$13))</f>
        <v/>
      </c>
      <c r="N85">
        <f>M85-V85</f>
        <v/>
      </c>
      <c r="O85">
        <f>IF(MOD(L85,$B$11)=0,OFFSET(O85,-$B$11,0)+$E$2*N85+$E$3*OFFSET(N85,-$B$11,0)+$E$4*OFFSET(N85,-2*$B$11,0),O84)</f>
        <v/>
      </c>
      <c r="P85">
        <f>INT((2^$J$12-1)*O85/100)/(2^$J$12-1)*100</f>
        <v/>
      </c>
      <c r="Q85">
        <f>RAND()*$G$12</f>
        <v/>
      </c>
      <c r="R85">
        <f>P85+Q85</f>
        <v/>
      </c>
      <c r="S85">
        <f>INT((2^$J$12-1)*R85/100)/(2^$J$12-1)*100</f>
        <v/>
      </c>
      <c r="T85">
        <f>RAND()*$G$12</f>
        <v/>
      </c>
      <c r="U85">
        <f>$I$1*U84-$I$2*U83+$I$3*R44+$I$4*R43</f>
        <v/>
      </c>
      <c r="V85">
        <f>INT((2^$J$12-1)*U85/100)/(2^$J$12-1)*100</f>
        <v/>
      </c>
      <c r="X85">
        <f>M85 * 1.05</f>
        <v/>
      </c>
    </row>
    <row r="86">
      <c r="L86" t="n">
        <v>84</v>
      </c>
      <c r="M86">
        <f>IF(L86&lt;$D$16,$D$13,IF(L86&lt;$E$16,$E$13,$F$13))</f>
        <v/>
      </c>
      <c r="N86">
        <f>M86-V86</f>
        <v/>
      </c>
      <c r="O86">
        <f>IF(MOD(L86,$B$11)=0,OFFSET(O86,-$B$11,0)+$E$2*N86+$E$3*OFFSET(N86,-$B$11,0)+$E$4*OFFSET(N86,-2*$B$11,0),O85)</f>
        <v/>
      </c>
      <c r="P86">
        <f>INT((2^$J$12-1)*O86/100)/(2^$J$12-1)*100</f>
        <v/>
      </c>
      <c r="Q86">
        <f>RAND()*$G$12</f>
        <v/>
      </c>
      <c r="R86">
        <f>P86+Q86</f>
        <v/>
      </c>
      <c r="S86">
        <f>INT((2^$J$12-1)*R86/100)/(2^$J$12-1)*100</f>
        <v/>
      </c>
      <c r="T86">
        <f>RAND()*$G$12</f>
        <v/>
      </c>
      <c r="U86">
        <f>$I$1*U85-$I$2*U84+$I$3*R45+$I$4*R44</f>
        <v/>
      </c>
      <c r="V86">
        <f>INT((2^$J$12-1)*U86/100)/(2^$J$12-1)*100</f>
        <v/>
      </c>
      <c r="X86">
        <f>M86 * 1.05</f>
        <v/>
      </c>
    </row>
    <row r="87">
      <c r="L87" t="n">
        <v>85</v>
      </c>
      <c r="M87">
        <f>IF(L87&lt;$D$16,$D$13,IF(L87&lt;$E$16,$E$13,$F$13))</f>
        <v/>
      </c>
      <c r="N87">
        <f>M87-V87</f>
        <v/>
      </c>
      <c r="O87">
        <f>IF(MOD(L87,$B$11)=0,OFFSET(O87,-$B$11,0)+$E$2*N87+$E$3*OFFSET(N87,-$B$11,0)+$E$4*OFFSET(N87,-2*$B$11,0),O86)</f>
        <v/>
      </c>
      <c r="P87">
        <f>INT((2^$J$12-1)*O87/100)/(2^$J$12-1)*100</f>
        <v/>
      </c>
      <c r="Q87">
        <f>RAND()*$G$12</f>
        <v/>
      </c>
      <c r="R87">
        <f>P87+Q87</f>
        <v/>
      </c>
      <c r="S87">
        <f>INT((2^$J$12-1)*R87/100)/(2^$J$12-1)*100</f>
        <v/>
      </c>
      <c r="T87">
        <f>RAND()*$G$12</f>
        <v/>
      </c>
      <c r="U87">
        <f>$I$1*U86-$I$2*U85+$I$3*R46+$I$4*R45</f>
        <v/>
      </c>
      <c r="V87">
        <f>INT((2^$J$12-1)*U87/100)/(2^$J$12-1)*100</f>
        <v/>
      </c>
      <c r="X87">
        <f>M87 * 1.05</f>
        <v/>
      </c>
    </row>
    <row r="88">
      <c r="L88" t="n">
        <v>86</v>
      </c>
      <c r="M88">
        <f>IF(L88&lt;$D$16,$D$13,IF(L88&lt;$E$16,$E$13,$F$13))</f>
        <v/>
      </c>
      <c r="N88">
        <f>M88-V88</f>
        <v/>
      </c>
      <c r="O88">
        <f>IF(MOD(L88,$B$11)=0,OFFSET(O88,-$B$11,0)+$E$2*N88+$E$3*OFFSET(N88,-$B$11,0)+$E$4*OFFSET(N88,-2*$B$11,0),O87)</f>
        <v/>
      </c>
      <c r="P88">
        <f>INT((2^$J$12-1)*O88/100)/(2^$J$12-1)*100</f>
        <v/>
      </c>
      <c r="Q88">
        <f>RAND()*$G$12</f>
        <v/>
      </c>
      <c r="R88">
        <f>P88+Q88</f>
        <v/>
      </c>
      <c r="S88">
        <f>INT((2^$J$12-1)*R88/100)/(2^$J$12-1)*100</f>
        <v/>
      </c>
      <c r="T88">
        <f>RAND()*$G$12</f>
        <v/>
      </c>
      <c r="U88">
        <f>$I$1*U87-$I$2*U86+$I$3*R47+$I$4*R46</f>
        <v/>
      </c>
      <c r="V88">
        <f>INT((2^$J$12-1)*U88/100)/(2^$J$12-1)*100</f>
        <v/>
      </c>
      <c r="X88">
        <f>M88 * 1.05</f>
        <v/>
      </c>
    </row>
    <row r="89">
      <c r="L89" t="n">
        <v>87</v>
      </c>
      <c r="M89">
        <f>IF(L89&lt;$D$16,$D$13,IF(L89&lt;$E$16,$E$13,$F$13))</f>
        <v/>
      </c>
      <c r="N89">
        <f>M89-V89</f>
        <v/>
      </c>
      <c r="O89">
        <f>IF(MOD(L89,$B$11)=0,OFFSET(O89,-$B$11,0)+$E$2*N89+$E$3*OFFSET(N89,-$B$11,0)+$E$4*OFFSET(N89,-2*$B$11,0),O88)</f>
        <v/>
      </c>
      <c r="P89">
        <f>INT((2^$J$12-1)*O89/100)/(2^$J$12-1)*100</f>
        <v/>
      </c>
      <c r="Q89">
        <f>RAND()*$G$12</f>
        <v/>
      </c>
      <c r="R89">
        <f>P89+Q89</f>
        <v/>
      </c>
      <c r="S89">
        <f>INT((2^$J$12-1)*R89/100)/(2^$J$12-1)*100</f>
        <v/>
      </c>
      <c r="T89">
        <f>RAND()*$G$12</f>
        <v/>
      </c>
      <c r="U89">
        <f>$I$1*U88-$I$2*U87+$I$3*R48+$I$4*R47</f>
        <v/>
      </c>
      <c r="V89">
        <f>INT((2^$J$12-1)*U89/100)/(2^$J$12-1)*100</f>
        <v/>
      </c>
      <c r="X89">
        <f>M89 * 1.05</f>
        <v/>
      </c>
    </row>
    <row r="90">
      <c r="L90" t="n">
        <v>88</v>
      </c>
      <c r="M90">
        <f>IF(L90&lt;$D$16,$D$13,IF(L90&lt;$E$16,$E$13,$F$13))</f>
        <v/>
      </c>
      <c r="N90">
        <f>M90-V90</f>
        <v/>
      </c>
      <c r="O90">
        <f>IF(MOD(L90,$B$11)=0,OFFSET(O90,-$B$11,0)+$E$2*N90+$E$3*OFFSET(N90,-$B$11,0)+$E$4*OFFSET(N90,-2*$B$11,0),O89)</f>
        <v/>
      </c>
      <c r="P90">
        <f>INT((2^$J$12-1)*O90/100)/(2^$J$12-1)*100</f>
        <v/>
      </c>
      <c r="Q90">
        <f>RAND()*$G$12</f>
        <v/>
      </c>
      <c r="R90">
        <f>P90+Q90</f>
        <v/>
      </c>
      <c r="S90">
        <f>INT((2^$J$12-1)*R90/100)/(2^$J$12-1)*100</f>
        <v/>
      </c>
      <c r="T90">
        <f>RAND()*$G$12</f>
        <v/>
      </c>
      <c r="U90">
        <f>$I$1*U89-$I$2*U88+$I$3*R49+$I$4*R48</f>
        <v/>
      </c>
      <c r="V90">
        <f>INT((2^$J$12-1)*U90/100)/(2^$J$12-1)*100</f>
        <v/>
      </c>
      <c r="X90">
        <f>M90 * 1.05</f>
        <v/>
      </c>
    </row>
    <row r="91">
      <c r="L91" t="n">
        <v>89</v>
      </c>
      <c r="M91">
        <f>IF(L91&lt;$D$16,$D$13,IF(L91&lt;$E$16,$E$13,$F$13))</f>
        <v/>
      </c>
      <c r="N91">
        <f>M91-V91</f>
        <v/>
      </c>
      <c r="O91">
        <f>IF(MOD(L91,$B$11)=0,OFFSET(O91,-$B$11,0)+$E$2*N91+$E$3*OFFSET(N91,-$B$11,0)+$E$4*OFFSET(N91,-2*$B$11,0),O90)</f>
        <v/>
      </c>
      <c r="P91">
        <f>INT((2^$J$12-1)*O91/100)/(2^$J$12-1)*100</f>
        <v/>
      </c>
      <c r="Q91">
        <f>RAND()*$G$12</f>
        <v/>
      </c>
      <c r="R91">
        <f>P91+Q91</f>
        <v/>
      </c>
      <c r="S91">
        <f>INT((2^$J$12-1)*R91/100)/(2^$J$12-1)*100</f>
        <v/>
      </c>
      <c r="T91">
        <f>RAND()*$G$12</f>
        <v/>
      </c>
      <c r="U91">
        <f>$I$1*U90-$I$2*U89+$I$3*R50+$I$4*R49</f>
        <v/>
      </c>
      <c r="V91">
        <f>INT((2^$J$12-1)*U91/100)/(2^$J$12-1)*100</f>
        <v/>
      </c>
      <c r="X91">
        <f>M91 * 1.05</f>
        <v/>
      </c>
    </row>
    <row r="92">
      <c r="L92" t="n">
        <v>90</v>
      </c>
      <c r="M92">
        <f>IF(L92&lt;$D$16,$D$13,IF(L92&lt;$E$16,$E$13,$F$13))</f>
        <v/>
      </c>
      <c r="N92">
        <f>M92-V92</f>
        <v/>
      </c>
      <c r="O92">
        <f>IF(MOD(L92,$B$11)=0,OFFSET(O92,-$B$11,0)+$E$2*N92+$E$3*OFFSET(N92,-$B$11,0)+$E$4*OFFSET(N92,-2*$B$11,0),O91)</f>
        <v/>
      </c>
      <c r="P92">
        <f>INT((2^$J$12-1)*O92/100)/(2^$J$12-1)*100</f>
        <v/>
      </c>
      <c r="Q92">
        <f>RAND()*$G$12</f>
        <v/>
      </c>
      <c r="R92">
        <f>P92+Q92</f>
        <v/>
      </c>
      <c r="S92">
        <f>INT((2^$J$12-1)*R92/100)/(2^$J$12-1)*100</f>
        <v/>
      </c>
      <c r="T92">
        <f>RAND()*$G$12</f>
        <v/>
      </c>
      <c r="U92">
        <f>$I$1*U91-$I$2*U90+$I$3*R51+$I$4*R50</f>
        <v/>
      </c>
      <c r="V92">
        <f>INT((2^$J$12-1)*U92/100)/(2^$J$12-1)*100</f>
        <v/>
      </c>
      <c r="X92">
        <f>M92 * 1.05</f>
        <v/>
      </c>
    </row>
    <row r="93">
      <c r="L93" t="n">
        <v>91</v>
      </c>
      <c r="M93">
        <f>IF(L93&lt;$D$16,$D$13,IF(L93&lt;$E$16,$E$13,$F$13))</f>
        <v/>
      </c>
      <c r="N93">
        <f>M93-V93</f>
        <v/>
      </c>
      <c r="O93">
        <f>IF(MOD(L93,$B$11)=0,OFFSET(O93,-$B$11,0)+$E$2*N93+$E$3*OFFSET(N93,-$B$11,0)+$E$4*OFFSET(N93,-2*$B$11,0),O92)</f>
        <v/>
      </c>
      <c r="P93">
        <f>INT((2^$J$12-1)*O93/100)/(2^$J$12-1)*100</f>
        <v/>
      </c>
      <c r="Q93">
        <f>RAND()*$G$12</f>
        <v/>
      </c>
      <c r="R93">
        <f>P93+Q93</f>
        <v/>
      </c>
      <c r="S93">
        <f>INT((2^$J$12-1)*R93/100)/(2^$J$12-1)*100</f>
        <v/>
      </c>
      <c r="T93">
        <f>RAND()*$G$12</f>
        <v/>
      </c>
      <c r="U93">
        <f>$I$1*U92-$I$2*U91+$I$3*R52+$I$4*R51</f>
        <v/>
      </c>
      <c r="V93">
        <f>INT((2^$J$12-1)*U93/100)/(2^$J$12-1)*100</f>
        <v/>
      </c>
      <c r="X93">
        <f>M93 * 1.05</f>
        <v/>
      </c>
    </row>
    <row r="94">
      <c r="L94" t="n">
        <v>92</v>
      </c>
      <c r="M94">
        <f>IF(L94&lt;$D$16,$D$13,IF(L94&lt;$E$16,$E$13,$F$13))</f>
        <v/>
      </c>
      <c r="N94">
        <f>M94-V94</f>
        <v/>
      </c>
      <c r="O94">
        <f>IF(MOD(L94,$B$11)=0,OFFSET(O94,-$B$11,0)+$E$2*N94+$E$3*OFFSET(N94,-$B$11,0)+$E$4*OFFSET(N94,-2*$B$11,0),O93)</f>
        <v/>
      </c>
      <c r="P94">
        <f>INT((2^$J$12-1)*O94/100)/(2^$J$12-1)*100</f>
        <v/>
      </c>
      <c r="Q94">
        <f>RAND()*$G$12</f>
        <v/>
      </c>
      <c r="R94">
        <f>P94+Q94</f>
        <v/>
      </c>
      <c r="S94">
        <f>INT((2^$J$12-1)*R94/100)/(2^$J$12-1)*100</f>
        <v/>
      </c>
      <c r="T94">
        <f>RAND()*$G$12</f>
        <v/>
      </c>
      <c r="U94">
        <f>$I$1*U93-$I$2*U92+$I$3*R53+$I$4*R52</f>
        <v/>
      </c>
      <c r="V94">
        <f>INT((2^$J$12-1)*U94/100)/(2^$J$12-1)*100</f>
        <v/>
      </c>
      <c r="X94">
        <f>M94 * 1.05</f>
        <v/>
      </c>
    </row>
    <row r="95">
      <c r="L95" t="n">
        <v>93</v>
      </c>
      <c r="M95">
        <f>IF(L95&lt;$D$16,$D$13,IF(L95&lt;$E$16,$E$13,$F$13))</f>
        <v/>
      </c>
      <c r="N95">
        <f>M95-V95</f>
        <v/>
      </c>
      <c r="O95">
        <f>IF(MOD(L95,$B$11)=0,OFFSET(O95,-$B$11,0)+$E$2*N95+$E$3*OFFSET(N95,-$B$11,0)+$E$4*OFFSET(N95,-2*$B$11,0),O94)</f>
        <v/>
      </c>
      <c r="P95">
        <f>INT((2^$J$12-1)*O95/100)/(2^$J$12-1)*100</f>
        <v/>
      </c>
      <c r="Q95">
        <f>RAND()*$G$12</f>
        <v/>
      </c>
      <c r="R95">
        <f>P95+Q95</f>
        <v/>
      </c>
      <c r="S95">
        <f>INT((2^$J$12-1)*R95/100)/(2^$J$12-1)*100</f>
        <v/>
      </c>
      <c r="T95">
        <f>RAND()*$G$12</f>
        <v/>
      </c>
      <c r="U95">
        <f>$I$1*U94-$I$2*U93+$I$3*R54+$I$4*R53</f>
        <v/>
      </c>
      <c r="V95">
        <f>INT((2^$J$12-1)*U95/100)/(2^$J$12-1)*100</f>
        <v/>
      </c>
      <c r="X95">
        <f>M95 * 1.05</f>
        <v/>
      </c>
    </row>
    <row r="96">
      <c r="L96" t="n">
        <v>94</v>
      </c>
      <c r="M96">
        <f>IF(L96&lt;$D$16,$D$13,IF(L96&lt;$E$16,$E$13,$F$13))</f>
        <v/>
      </c>
      <c r="N96">
        <f>M96-V96</f>
        <v/>
      </c>
      <c r="O96">
        <f>IF(MOD(L96,$B$11)=0,OFFSET(O96,-$B$11,0)+$E$2*N96+$E$3*OFFSET(N96,-$B$11,0)+$E$4*OFFSET(N96,-2*$B$11,0),O95)</f>
        <v/>
      </c>
      <c r="P96">
        <f>INT((2^$J$12-1)*O96/100)/(2^$J$12-1)*100</f>
        <v/>
      </c>
      <c r="Q96">
        <f>RAND()*$G$12</f>
        <v/>
      </c>
      <c r="R96">
        <f>P96+Q96</f>
        <v/>
      </c>
      <c r="S96">
        <f>INT((2^$J$12-1)*R96/100)/(2^$J$12-1)*100</f>
        <v/>
      </c>
      <c r="T96">
        <f>RAND()*$G$12</f>
        <v/>
      </c>
      <c r="U96">
        <f>$I$1*U95-$I$2*U94+$I$3*R55+$I$4*R54</f>
        <v/>
      </c>
      <c r="V96">
        <f>INT((2^$J$12-1)*U96/100)/(2^$J$12-1)*100</f>
        <v/>
      </c>
      <c r="X96">
        <f>M96 * 1.05</f>
        <v/>
      </c>
    </row>
    <row r="97">
      <c r="L97" t="n">
        <v>95</v>
      </c>
      <c r="M97">
        <f>IF(L97&lt;$D$16,$D$13,IF(L97&lt;$E$16,$E$13,$F$13))</f>
        <v/>
      </c>
      <c r="N97">
        <f>M97-V97</f>
        <v/>
      </c>
      <c r="O97">
        <f>IF(MOD(L97,$B$11)=0,OFFSET(O97,-$B$11,0)+$E$2*N97+$E$3*OFFSET(N97,-$B$11,0)+$E$4*OFFSET(N97,-2*$B$11,0),O96)</f>
        <v/>
      </c>
      <c r="P97">
        <f>INT((2^$J$12-1)*O97/100)/(2^$J$12-1)*100</f>
        <v/>
      </c>
      <c r="Q97">
        <f>RAND()*$G$12</f>
        <v/>
      </c>
      <c r="R97">
        <f>P97+Q97</f>
        <v/>
      </c>
      <c r="S97">
        <f>INT((2^$J$12-1)*R97/100)/(2^$J$12-1)*100</f>
        <v/>
      </c>
      <c r="T97">
        <f>RAND()*$G$12</f>
        <v/>
      </c>
      <c r="U97">
        <f>$I$1*U96-$I$2*U95+$I$3*R56+$I$4*R55</f>
        <v/>
      </c>
      <c r="V97">
        <f>INT((2^$J$12-1)*U97/100)/(2^$J$12-1)*100</f>
        <v/>
      </c>
      <c r="X97">
        <f>M97 * 1.05</f>
        <v/>
      </c>
    </row>
    <row r="98">
      <c r="L98" t="n">
        <v>96</v>
      </c>
      <c r="M98">
        <f>IF(L98&lt;$D$16,$D$13,IF(L98&lt;$E$16,$E$13,$F$13))</f>
        <v/>
      </c>
      <c r="N98">
        <f>M98-V98</f>
        <v/>
      </c>
      <c r="O98">
        <f>IF(MOD(L98,$B$11)=0,OFFSET(O98,-$B$11,0)+$E$2*N98+$E$3*OFFSET(N98,-$B$11,0)+$E$4*OFFSET(N98,-2*$B$11,0),O97)</f>
        <v/>
      </c>
      <c r="P98">
        <f>INT((2^$J$12-1)*O98/100)/(2^$J$12-1)*100</f>
        <v/>
      </c>
      <c r="Q98">
        <f>RAND()*$G$12</f>
        <v/>
      </c>
      <c r="R98">
        <f>P98+Q98</f>
        <v/>
      </c>
      <c r="S98">
        <f>INT((2^$J$12-1)*R98/100)/(2^$J$12-1)*100</f>
        <v/>
      </c>
      <c r="T98">
        <f>RAND()*$G$12</f>
        <v/>
      </c>
      <c r="U98">
        <f>$I$1*U97-$I$2*U96+$I$3*R57+$I$4*R56</f>
        <v/>
      </c>
      <c r="V98">
        <f>INT((2^$J$12-1)*U98/100)/(2^$J$12-1)*100</f>
        <v/>
      </c>
      <c r="X98">
        <f>M98 * 1.05</f>
        <v/>
      </c>
    </row>
    <row r="99">
      <c r="L99" t="n">
        <v>97</v>
      </c>
      <c r="M99">
        <f>IF(L99&lt;$D$16,$D$13,IF(L99&lt;$E$16,$E$13,$F$13))</f>
        <v/>
      </c>
      <c r="N99">
        <f>M99-V99</f>
        <v/>
      </c>
      <c r="O99">
        <f>IF(MOD(L99,$B$11)=0,OFFSET(O99,-$B$11,0)+$E$2*N99+$E$3*OFFSET(N99,-$B$11,0)+$E$4*OFFSET(N99,-2*$B$11,0),O98)</f>
        <v/>
      </c>
      <c r="P99">
        <f>INT((2^$J$12-1)*O99/100)/(2^$J$12-1)*100</f>
        <v/>
      </c>
      <c r="Q99">
        <f>RAND()*$G$12</f>
        <v/>
      </c>
      <c r="R99">
        <f>P99+Q99</f>
        <v/>
      </c>
      <c r="S99">
        <f>INT((2^$J$12-1)*R99/100)/(2^$J$12-1)*100</f>
        <v/>
      </c>
      <c r="T99">
        <f>RAND()*$G$12</f>
        <v/>
      </c>
      <c r="U99">
        <f>$I$1*U98-$I$2*U97+$I$3*R58+$I$4*R57</f>
        <v/>
      </c>
      <c r="V99">
        <f>INT((2^$J$12-1)*U99/100)/(2^$J$12-1)*100</f>
        <v/>
      </c>
      <c r="X99">
        <f>M99 * 1.05</f>
        <v/>
      </c>
    </row>
    <row r="100">
      <c r="L100" t="n">
        <v>98</v>
      </c>
      <c r="M100">
        <f>IF(L100&lt;$D$16,$D$13,IF(L100&lt;$E$16,$E$13,$F$13))</f>
        <v/>
      </c>
      <c r="N100">
        <f>M100-V100</f>
        <v/>
      </c>
      <c r="O100">
        <f>IF(MOD(L100,$B$11)=0,OFFSET(O100,-$B$11,0)+$E$2*N100+$E$3*OFFSET(N100,-$B$11,0)+$E$4*OFFSET(N100,-2*$B$11,0),O99)</f>
        <v/>
      </c>
      <c r="P100">
        <f>INT((2^$J$12-1)*O100/100)/(2^$J$12-1)*100</f>
        <v/>
      </c>
      <c r="Q100">
        <f>RAND()*$G$12</f>
        <v/>
      </c>
      <c r="R100">
        <f>P100+Q100</f>
        <v/>
      </c>
      <c r="S100">
        <f>INT((2^$J$12-1)*R100/100)/(2^$J$12-1)*100</f>
        <v/>
      </c>
      <c r="T100">
        <f>RAND()*$G$12</f>
        <v/>
      </c>
      <c r="U100">
        <f>$I$1*U99-$I$2*U98+$I$3*R59+$I$4*R58</f>
        <v/>
      </c>
      <c r="V100">
        <f>INT((2^$J$12-1)*U100/100)/(2^$J$12-1)*100</f>
        <v/>
      </c>
      <c r="X100">
        <f>M100 * 1.05</f>
        <v/>
      </c>
    </row>
    <row r="101">
      <c r="L101" t="n">
        <v>99</v>
      </c>
      <c r="M101">
        <f>IF(L101&lt;$D$16,$D$13,IF(L101&lt;$E$16,$E$13,$F$13))</f>
        <v/>
      </c>
      <c r="N101">
        <f>M101-V101</f>
        <v/>
      </c>
      <c r="O101">
        <f>IF(MOD(L101,$B$11)=0,OFFSET(O101,-$B$11,0)+$E$2*N101+$E$3*OFFSET(N101,-$B$11,0)+$E$4*OFFSET(N101,-2*$B$11,0),O100)</f>
        <v/>
      </c>
      <c r="P101">
        <f>INT((2^$J$12-1)*O101/100)/(2^$J$12-1)*100</f>
        <v/>
      </c>
      <c r="Q101">
        <f>RAND()*$G$12</f>
        <v/>
      </c>
      <c r="R101">
        <f>P101+Q101</f>
        <v/>
      </c>
      <c r="S101">
        <f>INT((2^$J$12-1)*R101/100)/(2^$J$12-1)*100</f>
        <v/>
      </c>
      <c r="T101">
        <f>RAND()*$G$12</f>
        <v/>
      </c>
      <c r="U101">
        <f>$I$1*U100-$I$2*U99+$I$3*R60+$I$4*R59</f>
        <v/>
      </c>
      <c r="V101">
        <f>INT((2^$J$12-1)*U101/100)/(2^$J$12-1)*100</f>
        <v/>
      </c>
      <c r="X101">
        <f>M101 * 1.05</f>
        <v/>
      </c>
    </row>
    <row r="102">
      <c r="L102" t="n">
        <v>100</v>
      </c>
      <c r="M102">
        <f>IF(L102&lt;$D$16,$D$13,IF(L102&lt;$E$16,$E$13,$F$13))</f>
        <v/>
      </c>
      <c r="N102">
        <f>M102-V102</f>
        <v/>
      </c>
      <c r="O102">
        <f>IF(MOD(L102,$B$11)=0,OFFSET(O102,-$B$11,0)+$E$2*N102+$E$3*OFFSET(N102,-$B$11,0)+$E$4*OFFSET(N102,-2*$B$11,0),O101)</f>
        <v/>
      </c>
      <c r="P102">
        <f>INT((2^$J$12-1)*O102/100)/(2^$J$12-1)*100</f>
        <v/>
      </c>
      <c r="Q102">
        <f>RAND()*$G$12</f>
        <v/>
      </c>
      <c r="R102">
        <f>P102+Q102</f>
        <v/>
      </c>
      <c r="S102">
        <f>INT((2^$J$12-1)*R102/100)/(2^$J$12-1)*100</f>
        <v/>
      </c>
      <c r="T102">
        <f>RAND()*$G$12</f>
        <v/>
      </c>
      <c r="U102">
        <f>$I$1*U101-$I$2*U100+$I$3*R61+$I$4*R60</f>
        <v/>
      </c>
      <c r="V102">
        <f>INT((2^$J$12-1)*U102/100)/(2^$J$12-1)*100</f>
        <v/>
      </c>
      <c r="X102">
        <f>M102 * 1.05</f>
        <v/>
      </c>
    </row>
    <row r="103">
      <c r="L103" t="n">
        <v>101</v>
      </c>
      <c r="M103">
        <f>IF(L103&lt;$D$16,$D$13,IF(L103&lt;$E$16,$E$13,$F$13))</f>
        <v/>
      </c>
      <c r="N103">
        <f>M103-V103</f>
        <v/>
      </c>
      <c r="O103">
        <f>IF(MOD(L103,$B$11)=0,OFFSET(O103,-$B$11,0)+$E$2*N103+$E$3*OFFSET(N103,-$B$11,0)+$E$4*OFFSET(N103,-2*$B$11,0),O102)</f>
        <v/>
      </c>
      <c r="P103">
        <f>INT((2^$J$12-1)*O103/100)/(2^$J$12-1)*100</f>
        <v/>
      </c>
      <c r="Q103">
        <f>RAND()*$G$12</f>
        <v/>
      </c>
      <c r="R103">
        <f>P103+Q103</f>
        <v/>
      </c>
      <c r="S103">
        <f>INT((2^$J$12-1)*R103/100)/(2^$J$12-1)*100</f>
        <v/>
      </c>
      <c r="T103">
        <f>RAND()*$G$12</f>
        <v/>
      </c>
      <c r="U103">
        <f>$I$1*U102-$I$2*U101+$I$3*R62+$I$4*R61</f>
        <v/>
      </c>
      <c r="V103">
        <f>INT((2^$J$12-1)*U103/100)/(2^$J$12-1)*100</f>
        <v/>
      </c>
      <c r="X103">
        <f>M103 * 1.05</f>
        <v/>
      </c>
    </row>
    <row r="104">
      <c r="L104" t="n">
        <v>102</v>
      </c>
      <c r="M104">
        <f>IF(L104&lt;$D$16,$D$13,IF(L104&lt;$E$16,$E$13,$F$13))</f>
        <v/>
      </c>
      <c r="N104">
        <f>M104-V104</f>
        <v/>
      </c>
      <c r="O104">
        <f>IF(MOD(L104,$B$11)=0,OFFSET(O104,-$B$11,0)+$E$2*N104+$E$3*OFFSET(N104,-$B$11,0)+$E$4*OFFSET(N104,-2*$B$11,0),O103)</f>
        <v/>
      </c>
      <c r="P104">
        <f>INT((2^$J$12-1)*O104/100)/(2^$J$12-1)*100</f>
        <v/>
      </c>
      <c r="Q104">
        <f>RAND()*$G$12</f>
        <v/>
      </c>
      <c r="R104">
        <f>P104+Q104</f>
        <v/>
      </c>
      <c r="S104">
        <f>INT((2^$J$12-1)*R104/100)/(2^$J$12-1)*100</f>
        <v/>
      </c>
      <c r="T104">
        <f>RAND()*$G$12</f>
        <v/>
      </c>
      <c r="U104">
        <f>$I$1*U103-$I$2*U102+$I$3*R63+$I$4*R62</f>
        <v/>
      </c>
      <c r="V104">
        <f>INT((2^$J$12-1)*U104/100)/(2^$J$12-1)*100</f>
        <v/>
      </c>
      <c r="X104">
        <f>M104 * 1.05</f>
        <v/>
      </c>
    </row>
    <row r="105">
      <c r="L105" t="n">
        <v>103</v>
      </c>
      <c r="M105">
        <f>IF(L105&lt;$D$16,$D$13,IF(L105&lt;$E$16,$E$13,$F$13))</f>
        <v/>
      </c>
      <c r="N105">
        <f>M105-V105</f>
        <v/>
      </c>
      <c r="O105">
        <f>IF(MOD(L105,$B$11)=0,OFFSET(O105,-$B$11,0)+$E$2*N105+$E$3*OFFSET(N105,-$B$11,0)+$E$4*OFFSET(N105,-2*$B$11,0),O104)</f>
        <v/>
      </c>
      <c r="P105">
        <f>INT((2^$J$12-1)*O105/100)/(2^$J$12-1)*100</f>
        <v/>
      </c>
      <c r="Q105">
        <f>RAND()*$G$12</f>
        <v/>
      </c>
      <c r="R105">
        <f>P105+Q105</f>
        <v/>
      </c>
      <c r="S105">
        <f>INT((2^$J$12-1)*R105/100)/(2^$J$12-1)*100</f>
        <v/>
      </c>
      <c r="T105">
        <f>RAND()*$G$12</f>
        <v/>
      </c>
      <c r="U105">
        <f>$I$1*U104-$I$2*U103+$I$3*R64+$I$4*R63</f>
        <v/>
      </c>
      <c r="V105">
        <f>INT((2^$J$12-1)*U105/100)/(2^$J$12-1)*100</f>
        <v/>
      </c>
      <c r="X105">
        <f>M105 * 1.05</f>
        <v/>
      </c>
    </row>
    <row r="106">
      <c r="L106" t="n">
        <v>104</v>
      </c>
      <c r="M106">
        <f>IF(L106&lt;$D$16,$D$13,IF(L106&lt;$E$16,$E$13,$F$13))</f>
        <v/>
      </c>
      <c r="N106">
        <f>M106-V106</f>
        <v/>
      </c>
      <c r="O106">
        <f>IF(MOD(L106,$B$11)=0,OFFSET(O106,-$B$11,0)+$E$2*N106+$E$3*OFFSET(N106,-$B$11,0)+$E$4*OFFSET(N106,-2*$B$11,0),O105)</f>
        <v/>
      </c>
      <c r="P106">
        <f>INT((2^$J$12-1)*O106/100)/(2^$J$12-1)*100</f>
        <v/>
      </c>
      <c r="Q106">
        <f>RAND()*$G$12</f>
        <v/>
      </c>
      <c r="R106">
        <f>P106+Q106</f>
        <v/>
      </c>
      <c r="S106">
        <f>INT((2^$J$12-1)*R106/100)/(2^$J$12-1)*100</f>
        <v/>
      </c>
      <c r="T106">
        <f>RAND()*$G$12</f>
        <v/>
      </c>
      <c r="U106">
        <f>$I$1*U105-$I$2*U104+$I$3*R65+$I$4*R64</f>
        <v/>
      </c>
      <c r="V106">
        <f>INT((2^$J$12-1)*U106/100)/(2^$J$12-1)*100</f>
        <v/>
      </c>
      <c r="X106">
        <f>M106 * 1.05</f>
        <v/>
      </c>
    </row>
    <row r="107">
      <c r="L107" t="n">
        <v>105</v>
      </c>
      <c r="M107">
        <f>IF(L107&lt;$D$16,$D$13,IF(L107&lt;$E$16,$E$13,$F$13))</f>
        <v/>
      </c>
      <c r="N107">
        <f>M107-V107</f>
        <v/>
      </c>
      <c r="O107">
        <f>IF(MOD(L107,$B$11)=0,OFFSET(O107,-$B$11,0)+$E$2*N107+$E$3*OFFSET(N107,-$B$11,0)+$E$4*OFFSET(N107,-2*$B$11,0),O106)</f>
        <v/>
      </c>
      <c r="P107">
        <f>INT((2^$J$12-1)*O107/100)/(2^$J$12-1)*100</f>
        <v/>
      </c>
      <c r="Q107">
        <f>RAND()*$G$12</f>
        <v/>
      </c>
      <c r="R107">
        <f>P107+Q107</f>
        <v/>
      </c>
      <c r="S107">
        <f>INT((2^$J$12-1)*R107/100)/(2^$J$12-1)*100</f>
        <v/>
      </c>
      <c r="T107">
        <f>RAND()*$G$12</f>
        <v/>
      </c>
      <c r="U107">
        <f>$I$1*U106-$I$2*U105+$I$3*R66+$I$4*R65</f>
        <v/>
      </c>
      <c r="V107">
        <f>INT((2^$J$12-1)*U107/100)/(2^$J$12-1)*100</f>
        <v/>
      </c>
      <c r="X107">
        <f>M107 * 1.05</f>
        <v/>
      </c>
    </row>
    <row r="108">
      <c r="L108" t="n">
        <v>106</v>
      </c>
      <c r="M108">
        <f>IF(L108&lt;$D$16,$D$13,IF(L108&lt;$E$16,$E$13,$F$13))</f>
        <v/>
      </c>
      <c r="N108">
        <f>M108-V108</f>
        <v/>
      </c>
      <c r="O108">
        <f>IF(MOD(L108,$B$11)=0,OFFSET(O108,-$B$11,0)+$E$2*N108+$E$3*OFFSET(N108,-$B$11,0)+$E$4*OFFSET(N108,-2*$B$11,0),O107)</f>
        <v/>
      </c>
      <c r="P108">
        <f>INT((2^$J$12-1)*O108/100)/(2^$J$12-1)*100</f>
        <v/>
      </c>
      <c r="Q108">
        <f>RAND()*$G$12</f>
        <v/>
      </c>
      <c r="R108">
        <f>P108+Q108</f>
        <v/>
      </c>
      <c r="S108">
        <f>INT((2^$J$12-1)*R108/100)/(2^$J$12-1)*100</f>
        <v/>
      </c>
      <c r="T108">
        <f>RAND()*$G$12</f>
        <v/>
      </c>
      <c r="U108">
        <f>$I$1*U107-$I$2*U106+$I$3*R67+$I$4*R66</f>
        <v/>
      </c>
      <c r="V108">
        <f>INT((2^$J$12-1)*U108/100)/(2^$J$12-1)*100</f>
        <v/>
      </c>
      <c r="X108">
        <f>M108 * 1.05</f>
        <v/>
      </c>
    </row>
    <row r="109">
      <c r="L109" t="n">
        <v>107</v>
      </c>
      <c r="M109">
        <f>IF(L109&lt;$D$16,$D$13,IF(L109&lt;$E$16,$E$13,$F$13))</f>
        <v/>
      </c>
      <c r="N109">
        <f>M109-V109</f>
        <v/>
      </c>
      <c r="O109">
        <f>IF(MOD(L109,$B$11)=0,OFFSET(O109,-$B$11,0)+$E$2*N109+$E$3*OFFSET(N109,-$B$11,0)+$E$4*OFFSET(N109,-2*$B$11,0),O108)</f>
        <v/>
      </c>
      <c r="P109">
        <f>INT((2^$J$12-1)*O109/100)/(2^$J$12-1)*100</f>
        <v/>
      </c>
      <c r="Q109">
        <f>RAND()*$G$12</f>
        <v/>
      </c>
      <c r="R109">
        <f>P109+Q109</f>
        <v/>
      </c>
      <c r="S109">
        <f>INT((2^$J$12-1)*R109/100)/(2^$J$12-1)*100</f>
        <v/>
      </c>
      <c r="T109">
        <f>RAND()*$G$12</f>
        <v/>
      </c>
      <c r="U109">
        <f>$I$1*U108-$I$2*U107+$I$3*R68+$I$4*R67</f>
        <v/>
      </c>
      <c r="V109">
        <f>INT((2^$J$12-1)*U109/100)/(2^$J$12-1)*100</f>
        <v/>
      </c>
      <c r="X109">
        <f>M109 * 1.05</f>
        <v/>
      </c>
    </row>
    <row r="110">
      <c r="L110" t="n">
        <v>108</v>
      </c>
      <c r="M110">
        <f>IF(L110&lt;$D$16,$D$13,IF(L110&lt;$E$16,$E$13,$F$13))</f>
        <v/>
      </c>
      <c r="N110">
        <f>M110-V110</f>
        <v/>
      </c>
      <c r="O110">
        <f>IF(MOD(L110,$B$11)=0,OFFSET(O110,-$B$11,0)+$E$2*N110+$E$3*OFFSET(N110,-$B$11,0)+$E$4*OFFSET(N110,-2*$B$11,0),O109)</f>
        <v/>
      </c>
      <c r="P110">
        <f>INT((2^$J$12-1)*O110/100)/(2^$J$12-1)*100</f>
        <v/>
      </c>
      <c r="Q110">
        <f>RAND()*$G$12</f>
        <v/>
      </c>
      <c r="R110">
        <f>P110+Q110</f>
        <v/>
      </c>
      <c r="S110">
        <f>INT((2^$J$12-1)*R110/100)/(2^$J$12-1)*100</f>
        <v/>
      </c>
      <c r="T110">
        <f>RAND()*$G$12</f>
        <v/>
      </c>
      <c r="U110">
        <f>$I$1*U109-$I$2*U108+$I$3*R69+$I$4*R68</f>
        <v/>
      </c>
      <c r="V110">
        <f>INT((2^$J$12-1)*U110/100)/(2^$J$12-1)*100</f>
        <v/>
      </c>
      <c r="X110">
        <f>M110 * 1.05</f>
        <v/>
      </c>
    </row>
    <row r="111">
      <c r="L111" t="n">
        <v>109</v>
      </c>
      <c r="M111">
        <f>IF(L111&lt;$D$16,$D$13,IF(L111&lt;$E$16,$E$13,$F$13))</f>
        <v/>
      </c>
      <c r="N111">
        <f>M111-V111</f>
        <v/>
      </c>
      <c r="O111">
        <f>IF(MOD(L111,$B$11)=0,OFFSET(O111,-$B$11,0)+$E$2*N111+$E$3*OFFSET(N111,-$B$11,0)+$E$4*OFFSET(N111,-2*$B$11,0),O110)</f>
        <v/>
      </c>
      <c r="P111">
        <f>INT((2^$J$12-1)*O111/100)/(2^$J$12-1)*100</f>
        <v/>
      </c>
      <c r="Q111">
        <f>RAND()*$G$12</f>
        <v/>
      </c>
      <c r="R111">
        <f>P111+Q111</f>
        <v/>
      </c>
      <c r="S111">
        <f>INT((2^$J$12-1)*R111/100)/(2^$J$12-1)*100</f>
        <v/>
      </c>
      <c r="T111">
        <f>RAND()*$G$12</f>
        <v/>
      </c>
      <c r="U111">
        <f>$I$1*U110-$I$2*U109+$I$3*R70+$I$4*R69</f>
        <v/>
      </c>
      <c r="V111">
        <f>INT((2^$J$12-1)*U111/100)/(2^$J$12-1)*100</f>
        <v/>
      </c>
      <c r="X111">
        <f>M111 * 1.05</f>
        <v/>
      </c>
    </row>
    <row r="112">
      <c r="L112" t="n">
        <v>110</v>
      </c>
      <c r="M112">
        <f>IF(L112&lt;$D$16,$D$13,IF(L112&lt;$E$16,$E$13,$F$13))</f>
        <v/>
      </c>
      <c r="N112">
        <f>M112-V112</f>
        <v/>
      </c>
      <c r="O112">
        <f>IF(MOD(L112,$B$11)=0,OFFSET(O112,-$B$11,0)+$E$2*N112+$E$3*OFFSET(N112,-$B$11,0)+$E$4*OFFSET(N112,-2*$B$11,0),O111)</f>
        <v/>
      </c>
      <c r="P112">
        <f>INT((2^$J$12-1)*O112/100)/(2^$J$12-1)*100</f>
        <v/>
      </c>
      <c r="Q112">
        <f>RAND()*$G$12</f>
        <v/>
      </c>
      <c r="R112">
        <f>P112+Q112</f>
        <v/>
      </c>
      <c r="S112">
        <f>INT((2^$J$12-1)*R112/100)/(2^$J$12-1)*100</f>
        <v/>
      </c>
      <c r="T112">
        <f>RAND()*$G$12</f>
        <v/>
      </c>
      <c r="U112">
        <f>$I$1*U111-$I$2*U110+$I$3*R71+$I$4*R70</f>
        <v/>
      </c>
      <c r="V112">
        <f>INT((2^$J$12-1)*U112/100)/(2^$J$12-1)*100</f>
        <v/>
      </c>
      <c r="X112">
        <f>M112 * 1.05</f>
        <v/>
      </c>
    </row>
    <row r="113">
      <c r="L113" t="n">
        <v>111</v>
      </c>
      <c r="M113">
        <f>IF(L113&lt;$D$16,$D$13,IF(L113&lt;$E$16,$E$13,$F$13))</f>
        <v/>
      </c>
      <c r="N113">
        <f>M113-V113</f>
        <v/>
      </c>
      <c r="O113">
        <f>IF(MOD(L113,$B$11)=0,OFFSET(O113,-$B$11,0)+$E$2*N113+$E$3*OFFSET(N113,-$B$11,0)+$E$4*OFFSET(N113,-2*$B$11,0),O112)</f>
        <v/>
      </c>
      <c r="P113">
        <f>INT((2^$J$12-1)*O113/100)/(2^$J$12-1)*100</f>
        <v/>
      </c>
      <c r="Q113">
        <f>RAND()*$G$12</f>
        <v/>
      </c>
      <c r="R113">
        <f>P113+Q113</f>
        <v/>
      </c>
      <c r="S113">
        <f>INT((2^$J$12-1)*R113/100)/(2^$J$12-1)*100</f>
        <v/>
      </c>
      <c r="T113">
        <f>RAND()*$G$12</f>
        <v/>
      </c>
      <c r="U113">
        <f>$I$1*U112-$I$2*U111+$I$3*R72+$I$4*R71</f>
        <v/>
      </c>
      <c r="V113">
        <f>INT((2^$J$12-1)*U113/100)/(2^$J$12-1)*100</f>
        <v/>
      </c>
      <c r="X113">
        <f>M113 * 1.05</f>
        <v/>
      </c>
    </row>
    <row r="114">
      <c r="L114" t="n">
        <v>112</v>
      </c>
      <c r="M114">
        <f>IF(L114&lt;$D$16,$D$13,IF(L114&lt;$E$16,$E$13,$F$13))</f>
        <v/>
      </c>
      <c r="N114">
        <f>M114-V114</f>
        <v/>
      </c>
      <c r="O114">
        <f>IF(MOD(L114,$B$11)=0,OFFSET(O114,-$B$11,0)+$E$2*N114+$E$3*OFFSET(N114,-$B$11,0)+$E$4*OFFSET(N114,-2*$B$11,0),O113)</f>
        <v/>
      </c>
      <c r="P114">
        <f>INT((2^$J$12-1)*O114/100)/(2^$J$12-1)*100</f>
        <v/>
      </c>
      <c r="Q114">
        <f>RAND()*$G$12</f>
        <v/>
      </c>
      <c r="R114">
        <f>P114+Q114</f>
        <v/>
      </c>
      <c r="S114">
        <f>INT((2^$J$12-1)*R114/100)/(2^$J$12-1)*100</f>
        <v/>
      </c>
      <c r="T114">
        <f>RAND()*$G$12</f>
        <v/>
      </c>
      <c r="U114">
        <f>$I$1*U113-$I$2*U112+$I$3*R73+$I$4*R72</f>
        <v/>
      </c>
      <c r="V114">
        <f>INT((2^$J$12-1)*U114/100)/(2^$J$12-1)*100</f>
        <v/>
      </c>
      <c r="X114">
        <f>M114 * 1.05</f>
        <v/>
      </c>
    </row>
    <row r="115">
      <c r="L115" t="n">
        <v>113</v>
      </c>
      <c r="M115">
        <f>IF(L115&lt;$D$16,$D$13,IF(L115&lt;$E$16,$E$13,$F$13))</f>
        <v/>
      </c>
      <c r="N115">
        <f>M115-V115</f>
        <v/>
      </c>
      <c r="O115">
        <f>IF(MOD(L115,$B$11)=0,OFFSET(O115,-$B$11,0)+$E$2*N115+$E$3*OFFSET(N115,-$B$11,0)+$E$4*OFFSET(N115,-2*$B$11,0),O114)</f>
        <v/>
      </c>
      <c r="P115">
        <f>INT((2^$J$12-1)*O115/100)/(2^$J$12-1)*100</f>
        <v/>
      </c>
      <c r="Q115">
        <f>RAND()*$G$12</f>
        <v/>
      </c>
      <c r="R115">
        <f>P115+Q115</f>
        <v/>
      </c>
      <c r="S115">
        <f>INT((2^$J$12-1)*R115/100)/(2^$J$12-1)*100</f>
        <v/>
      </c>
      <c r="T115">
        <f>RAND()*$G$12</f>
        <v/>
      </c>
      <c r="U115">
        <f>$I$1*U114-$I$2*U113+$I$3*R74+$I$4*R73</f>
        <v/>
      </c>
      <c r="V115">
        <f>INT((2^$J$12-1)*U115/100)/(2^$J$12-1)*100</f>
        <v/>
      </c>
      <c r="X115">
        <f>M115 * 1.05</f>
        <v/>
      </c>
    </row>
    <row r="116">
      <c r="L116" t="n">
        <v>114</v>
      </c>
      <c r="M116">
        <f>IF(L116&lt;$D$16,$D$13,IF(L116&lt;$E$16,$E$13,$F$13))</f>
        <v/>
      </c>
      <c r="N116">
        <f>M116-V116</f>
        <v/>
      </c>
      <c r="O116">
        <f>IF(MOD(L116,$B$11)=0,OFFSET(O116,-$B$11,0)+$E$2*N116+$E$3*OFFSET(N116,-$B$11,0)+$E$4*OFFSET(N116,-2*$B$11,0),O115)</f>
        <v/>
      </c>
      <c r="P116">
        <f>INT((2^$J$12-1)*O116/100)/(2^$J$12-1)*100</f>
        <v/>
      </c>
      <c r="Q116">
        <f>RAND()*$G$12</f>
        <v/>
      </c>
      <c r="R116">
        <f>P116+Q116</f>
        <v/>
      </c>
      <c r="S116">
        <f>INT((2^$J$12-1)*R116/100)/(2^$J$12-1)*100</f>
        <v/>
      </c>
      <c r="T116">
        <f>RAND()*$G$12</f>
        <v/>
      </c>
      <c r="U116">
        <f>$I$1*U115-$I$2*U114+$I$3*R75+$I$4*R74</f>
        <v/>
      </c>
      <c r="V116">
        <f>INT((2^$J$12-1)*U116/100)/(2^$J$12-1)*100</f>
        <v/>
      </c>
      <c r="X116">
        <f>M116 * 1.05</f>
        <v/>
      </c>
    </row>
    <row r="117">
      <c r="L117" t="n">
        <v>115</v>
      </c>
      <c r="M117">
        <f>IF(L117&lt;$D$16,$D$13,IF(L117&lt;$E$16,$E$13,$F$13))</f>
        <v/>
      </c>
      <c r="N117">
        <f>M117-V117</f>
        <v/>
      </c>
      <c r="O117">
        <f>IF(MOD(L117,$B$11)=0,OFFSET(O117,-$B$11,0)+$E$2*N117+$E$3*OFFSET(N117,-$B$11,0)+$E$4*OFFSET(N117,-2*$B$11,0),O116)</f>
        <v/>
      </c>
      <c r="P117">
        <f>INT((2^$J$12-1)*O117/100)/(2^$J$12-1)*100</f>
        <v/>
      </c>
      <c r="Q117">
        <f>RAND()*$G$12</f>
        <v/>
      </c>
      <c r="R117">
        <f>P117+Q117</f>
        <v/>
      </c>
      <c r="S117">
        <f>INT((2^$J$12-1)*R117/100)/(2^$J$12-1)*100</f>
        <v/>
      </c>
      <c r="T117">
        <f>RAND()*$G$12</f>
        <v/>
      </c>
      <c r="U117">
        <f>$I$1*U116-$I$2*U115+$I$3*R76+$I$4*R75</f>
        <v/>
      </c>
      <c r="V117">
        <f>INT((2^$J$12-1)*U117/100)/(2^$J$12-1)*100</f>
        <v/>
      </c>
      <c r="X117">
        <f>M117 * 1.05</f>
        <v/>
      </c>
    </row>
    <row r="118">
      <c r="L118" t="n">
        <v>116</v>
      </c>
      <c r="M118">
        <f>IF(L118&lt;$D$16,$D$13,IF(L118&lt;$E$16,$E$13,$F$13))</f>
        <v/>
      </c>
      <c r="N118">
        <f>M118-V118</f>
        <v/>
      </c>
      <c r="O118">
        <f>IF(MOD(L118,$B$11)=0,OFFSET(O118,-$B$11,0)+$E$2*N118+$E$3*OFFSET(N118,-$B$11,0)+$E$4*OFFSET(N118,-2*$B$11,0),O117)</f>
        <v/>
      </c>
      <c r="P118">
        <f>INT((2^$J$12-1)*O118/100)/(2^$J$12-1)*100</f>
        <v/>
      </c>
      <c r="Q118">
        <f>RAND()*$G$12</f>
        <v/>
      </c>
      <c r="R118">
        <f>P118+Q118</f>
        <v/>
      </c>
      <c r="S118">
        <f>INT((2^$J$12-1)*R118/100)/(2^$J$12-1)*100</f>
        <v/>
      </c>
      <c r="T118">
        <f>RAND()*$G$12</f>
        <v/>
      </c>
      <c r="U118">
        <f>$I$1*U117-$I$2*U116+$I$3*R77+$I$4*R76</f>
        <v/>
      </c>
      <c r="V118">
        <f>INT((2^$J$12-1)*U118/100)/(2^$J$12-1)*100</f>
        <v/>
      </c>
      <c r="X118">
        <f>M118 * 1.05</f>
        <v/>
      </c>
    </row>
    <row r="119">
      <c r="L119" t="n">
        <v>117</v>
      </c>
      <c r="M119">
        <f>IF(L119&lt;$D$16,$D$13,IF(L119&lt;$E$16,$E$13,$F$13))</f>
        <v/>
      </c>
      <c r="N119">
        <f>M119-V119</f>
        <v/>
      </c>
      <c r="O119">
        <f>IF(MOD(L119,$B$11)=0,OFFSET(O119,-$B$11,0)+$E$2*N119+$E$3*OFFSET(N119,-$B$11,0)+$E$4*OFFSET(N119,-2*$B$11,0),O118)</f>
        <v/>
      </c>
      <c r="P119">
        <f>INT((2^$J$12-1)*O119/100)/(2^$J$12-1)*100</f>
        <v/>
      </c>
      <c r="Q119">
        <f>RAND()*$G$12</f>
        <v/>
      </c>
      <c r="R119">
        <f>P119+Q119</f>
        <v/>
      </c>
      <c r="S119">
        <f>INT((2^$J$12-1)*R119/100)/(2^$J$12-1)*100</f>
        <v/>
      </c>
      <c r="T119">
        <f>RAND()*$G$12</f>
        <v/>
      </c>
      <c r="U119">
        <f>$I$1*U118-$I$2*U117+$I$3*R78+$I$4*R77</f>
        <v/>
      </c>
      <c r="V119">
        <f>INT((2^$J$12-1)*U119/100)/(2^$J$12-1)*100</f>
        <v/>
      </c>
      <c r="X119">
        <f>M119 * 1.05</f>
        <v/>
      </c>
    </row>
    <row r="120">
      <c r="L120" t="n">
        <v>118</v>
      </c>
      <c r="M120">
        <f>IF(L120&lt;$D$16,$D$13,IF(L120&lt;$E$16,$E$13,$F$13))</f>
        <v/>
      </c>
      <c r="N120">
        <f>M120-V120</f>
        <v/>
      </c>
      <c r="O120">
        <f>IF(MOD(L120,$B$11)=0,OFFSET(O120,-$B$11,0)+$E$2*N120+$E$3*OFFSET(N120,-$B$11,0)+$E$4*OFFSET(N120,-2*$B$11,0),O119)</f>
        <v/>
      </c>
      <c r="P120">
        <f>INT((2^$J$12-1)*O120/100)/(2^$J$12-1)*100</f>
        <v/>
      </c>
      <c r="Q120">
        <f>RAND()*$G$12</f>
        <v/>
      </c>
      <c r="R120">
        <f>P120+Q120</f>
        <v/>
      </c>
      <c r="S120">
        <f>INT((2^$J$12-1)*R120/100)/(2^$J$12-1)*100</f>
        <v/>
      </c>
      <c r="T120">
        <f>RAND()*$G$12</f>
        <v/>
      </c>
      <c r="U120">
        <f>$I$1*U119-$I$2*U118+$I$3*R79+$I$4*R78</f>
        <v/>
      </c>
      <c r="V120">
        <f>INT((2^$J$12-1)*U120/100)/(2^$J$12-1)*100</f>
        <v/>
      </c>
      <c r="X120">
        <f>M120 * 1.05</f>
        <v/>
      </c>
    </row>
    <row r="121">
      <c r="L121" t="n">
        <v>119</v>
      </c>
      <c r="M121">
        <f>IF(L121&lt;$D$16,$D$13,IF(L121&lt;$E$16,$E$13,$F$13))</f>
        <v/>
      </c>
      <c r="N121">
        <f>M121-V121</f>
        <v/>
      </c>
      <c r="O121">
        <f>IF(MOD(L121,$B$11)=0,OFFSET(O121,-$B$11,0)+$E$2*N121+$E$3*OFFSET(N121,-$B$11,0)+$E$4*OFFSET(N121,-2*$B$11,0),O120)</f>
        <v/>
      </c>
      <c r="P121">
        <f>INT((2^$J$12-1)*O121/100)/(2^$J$12-1)*100</f>
        <v/>
      </c>
      <c r="Q121">
        <f>RAND()*$G$12</f>
        <v/>
      </c>
      <c r="R121">
        <f>P121+Q121</f>
        <v/>
      </c>
      <c r="S121">
        <f>INT((2^$J$12-1)*R121/100)/(2^$J$12-1)*100</f>
        <v/>
      </c>
      <c r="T121">
        <f>RAND()*$G$12</f>
        <v/>
      </c>
      <c r="U121">
        <f>$I$1*U120-$I$2*U119+$I$3*R80+$I$4*R79</f>
        <v/>
      </c>
      <c r="V121">
        <f>INT((2^$J$12-1)*U121/100)/(2^$J$12-1)*100</f>
        <v/>
      </c>
      <c r="X121">
        <f>M121 * 1.05</f>
        <v/>
      </c>
    </row>
    <row r="122">
      <c r="L122" t="n">
        <v>120</v>
      </c>
      <c r="M122">
        <f>IF(L122&lt;$D$16,$D$13,IF(L122&lt;$E$16,$E$13,$F$13))</f>
        <v/>
      </c>
      <c r="N122">
        <f>M122-V122</f>
        <v/>
      </c>
      <c r="O122">
        <f>IF(MOD(L122,$B$11)=0,OFFSET(O122,-$B$11,0)+$E$2*N122+$E$3*OFFSET(N122,-$B$11,0)+$E$4*OFFSET(N122,-2*$B$11,0),O121)</f>
        <v/>
      </c>
      <c r="P122">
        <f>INT((2^$J$12-1)*O122/100)/(2^$J$12-1)*100</f>
        <v/>
      </c>
      <c r="Q122">
        <f>RAND()*$G$12</f>
        <v/>
      </c>
      <c r="R122">
        <f>P122+Q122</f>
        <v/>
      </c>
      <c r="S122">
        <f>INT((2^$J$12-1)*R122/100)/(2^$J$12-1)*100</f>
        <v/>
      </c>
      <c r="T122">
        <f>RAND()*$G$12</f>
        <v/>
      </c>
      <c r="U122">
        <f>$I$1*U121-$I$2*U120+$I$3*R81+$I$4*R80</f>
        <v/>
      </c>
      <c r="V122">
        <f>INT((2^$J$12-1)*U122/100)/(2^$J$12-1)*100</f>
        <v/>
      </c>
      <c r="X122">
        <f>M122 * 1.05</f>
        <v/>
      </c>
    </row>
    <row r="123">
      <c r="L123" t="n">
        <v>121</v>
      </c>
      <c r="M123">
        <f>IF(L123&lt;$D$16,$D$13,IF(L123&lt;$E$16,$E$13,$F$13))</f>
        <v/>
      </c>
      <c r="N123">
        <f>M123-V123</f>
        <v/>
      </c>
      <c r="O123">
        <f>IF(MOD(L123,$B$11)=0,OFFSET(O123,-$B$11,0)+$E$2*N123+$E$3*OFFSET(N123,-$B$11,0)+$E$4*OFFSET(N123,-2*$B$11,0),O122)</f>
        <v/>
      </c>
      <c r="P123">
        <f>INT((2^$J$12-1)*O123/100)/(2^$J$12-1)*100</f>
        <v/>
      </c>
      <c r="Q123">
        <f>RAND()*$G$12</f>
        <v/>
      </c>
      <c r="R123">
        <f>P123+Q123</f>
        <v/>
      </c>
      <c r="S123">
        <f>INT((2^$J$12-1)*R123/100)/(2^$J$12-1)*100</f>
        <v/>
      </c>
      <c r="T123">
        <f>RAND()*$G$12</f>
        <v/>
      </c>
      <c r="U123">
        <f>$I$1*U122-$I$2*U121+$I$3*R82+$I$4*R81</f>
        <v/>
      </c>
      <c r="V123">
        <f>INT((2^$J$12-1)*U123/100)/(2^$J$12-1)*100</f>
        <v/>
      </c>
      <c r="X123">
        <f>M123 * 1.05</f>
        <v/>
      </c>
    </row>
    <row r="124">
      <c r="L124" t="n">
        <v>122</v>
      </c>
      <c r="M124">
        <f>IF(L124&lt;$D$16,$D$13,IF(L124&lt;$E$16,$E$13,$F$13))</f>
        <v/>
      </c>
      <c r="N124">
        <f>M124-V124</f>
        <v/>
      </c>
      <c r="O124">
        <f>IF(MOD(L124,$B$11)=0,OFFSET(O124,-$B$11,0)+$E$2*N124+$E$3*OFFSET(N124,-$B$11,0)+$E$4*OFFSET(N124,-2*$B$11,0),O123)</f>
        <v/>
      </c>
      <c r="P124">
        <f>INT((2^$J$12-1)*O124/100)/(2^$J$12-1)*100</f>
        <v/>
      </c>
      <c r="Q124">
        <f>RAND()*$G$12</f>
        <v/>
      </c>
      <c r="R124">
        <f>P124+Q124</f>
        <v/>
      </c>
      <c r="S124">
        <f>INT((2^$J$12-1)*R124/100)/(2^$J$12-1)*100</f>
        <v/>
      </c>
      <c r="T124">
        <f>RAND()*$G$12</f>
        <v/>
      </c>
      <c r="U124">
        <f>$I$1*U123-$I$2*U122+$I$3*R83+$I$4*R82</f>
        <v/>
      </c>
      <c r="V124">
        <f>INT((2^$J$12-1)*U124/100)/(2^$J$12-1)*100</f>
        <v/>
      </c>
      <c r="X124">
        <f>M124 * 1.05</f>
        <v/>
      </c>
    </row>
    <row r="125">
      <c r="L125" t="n">
        <v>123</v>
      </c>
      <c r="M125">
        <f>IF(L125&lt;$D$16,$D$13,IF(L125&lt;$E$16,$E$13,$F$13))</f>
        <v/>
      </c>
      <c r="N125">
        <f>M125-V125</f>
        <v/>
      </c>
      <c r="O125">
        <f>IF(MOD(L125,$B$11)=0,OFFSET(O125,-$B$11,0)+$E$2*N125+$E$3*OFFSET(N125,-$B$11,0)+$E$4*OFFSET(N125,-2*$B$11,0),O124)</f>
        <v/>
      </c>
      <c r="P125">
        <f>INT((2^$J$12-1)*O125/100)/(2^$J$12-1)*100</f>
        <v/>
      </c>
      <c r="Q125">
        <f>RAND()*$G$12</f>
        <v/>
      </c>
      <c r="R125">
        <f>P125+Q125</f>
        <v/>
      </c>
      <c r="S125">
        <f>INT((2^$J$12-1)*R125/100)/(2^$J$12-1)*100</f>
        <v/>
      </c>
      <c r="T125">
        <f>RAND()*$G$12</f>
        <v/>
      </c>
      <c r="U125">
        <f>$I$1*U124-$I$2*U123+$I$3*R84+$I$4*R83</f>
        <v/>
      </c>
      <c r="V125">
        <f>INT((2^$J$12-1)*U125/100)/(2^$J$12-1)*100</f>
        <v/>
      </c>
      <c r="X125">
        <f>M125 * 1.05</f>
        <v/>
      </c>
    </row>
    <row r="126">
      <c r="L126" t="n">
        <v>124</v>
      </c>
      <c r="M126">
        <f>IF(L126&lt;$D$16,$D$13,IF(L126&lt;$E$16,$E$13,$F$13))</f>
        <v/>
      </c>
      <c r="N126">
        <f>M126-V126</f>
        <v/>
      </c>
      <c r="O126">
        <f>IF(MOD(L126,$B$11)=0,OFFSET(O126,-$B$11,0)+$E$2*N126+$E$3*OFFSET(N126,-$B$11,0)+$E$4*OFFSET(N126,-2*$B$11,0),O125)</f>
        <v/>
      </c>
      <c r="P126">
        <f>INT((2^$J$12-1)*O126/100)/(2^$J$12-1)*100</f>
        <v/>
      </c>
      <c r="Q126">
        <f>RAND()*$G$12</f>
        <v/>
      </c>
      <c r="R126">
        <f>P126+Q126</f>
        <v/>
      </c>
      <c r="S126">
        <f>INT((2^$J$12-1)*R126/100)/(2^$J$12-1)*100</f>
        <v/>
      </c>
      <c r="T126">
        <f>RAND()*$G$12</f>
        <v/>
      </c>
      <c r="U126">
        <f>$I$1*U125-$I$2*U124+$I$3*R85+$I$4*R84</f>
        <v/>
      </c>
      <c r="V126">
        <f>INT((2^$J$12-1)*U126/100)/(2^$J$12-1)*100</f>
        <v/>
      </c>
      <c r="X126">
        <f>M126 * 1.05</f>
        <v/>
      </c>
    </row>
    <row r="127">
      <c r="L127" t="n">
        <v>125</v>
      </c>
      <c r="M127">
        <f>IF(L127&lt;$D$16,$D$13,IF(L127&lt;$E$16,$E$13,$F$13))</f>
        <v/>
      </c>
      <c r="N127">
        <f>M127-V127</f>
        <v/>
      </c>
      <c r="O127">
        <f>IF(MOD(L127,$B$11)=0,OFFSET(O127,-$B$11,0)+$E$2*N127+$E$3*OFFSET(N127,-$B$11,0)+$E$4*OFFSET(N127,-2*$B$11,0),O126)</f>
        <v/>
      </c>
      <c r="P127">
        <f>INT((2^$J$12-1)*O127/100)/(2^$J$12-1)*100</f>
        <v/>
      </c>
      <c r="Q127">
        <f>RAND()*$G$12</f>
        <v/>
      </c>
      <c r="R127">
        <f>P127+Q127</f>
        <v/>
      </c>
      <c r="S127">
        <f>INT((2^$J$12-1)*R127/100)/(2^$J$12-1)*100</f>
        <v/>
      </c>
      <c r="T127">
        <f>RAND()*$G$12</f>
        <v/>
      </c>
      <c r="U127">
        <f>$I$1*U126-$I$2*U125+$I$3*R86+$I$4*R85</f>
        <v/>
      </c>
      <c r="V127">
        <f>INT((2^$J$12-1)*U127/100)/(2^$J$12-1)*100</f>
        <v/>
      </c>
      <c r="X127">
        <f>M127 * 1.05</f>
        <v/>
      </c>
    </row>
    <row r="128">
      <c r="L128" t="n">
        <v>126</v>
      </c>
      <c r="M128">
        <f>IF(L128&lt;$D$16,$D$13,IF(L128&lt;$E$16,$E$13,$F$13))</f>
        <v/>
      </c>
      <c r="N128">
        <f>M128-V128</f>
        <v/>
      </c>
      <c r="O128">
        <f>IF(MOD(L128,$B$11)=0,OFFSET(O128,-$B$11,0)+$E$2*N128+$E$3*OFFSET(N128,-$B$11,0)+$E$4*OFFSET(N128,-2*$B$11,0),O127)</f>
        <v/>
      </c>
      <c r="P128">
        <f>INT((2^$J$12-1)*O128/100)/(2^$J$12-1)*100</f>
        <v/>
      </c>
      <c r="Q128">
        <f>RAND()*$G$12</f>
        <v/>
      </c>
      <c r="R128">
        <f>P128+Q128</f>
        <v/>
      </c>
      <c r="S128">
        <f>INT((2^$J$12-1)*R128/100)/(2^$J$12-1)*100</f>
        <v/>
      </c>
      <c r="T128">
        <f>RAND()*$G$12</f>
        <v/>
      </c>
      <c r="U128">
        <f>$I$1*U127-$I$2*U126+$I$3*R87+$I$4*R86</f>
        <v/>
      </c>
      <c r="V128">
        <f>INT((2^$J$12-1)*U128/100)/(2^$J$12-1)*100</f>
        <v/>
      </c>
      <c r="X128">
        <f>M128 * 1.05</f>
        <v/>
      </c>
    </row>
    <row r="129">
      <c r="L129" t="n">
        <v>127</v>
      </c>
      <c r="M129">
        <f>IF(L129&lt;$D$16,$D$13,IF(L129&lt;$E$16,$E$13,$F$13))</f>
        <v/>
      </c>
      <c r="N129">
        <f>M129-V129</f>
        <v/>
      </c>
      <c r="O129">
        <f>IF(MOD(L129,$B$11)=0,OFFSET(O129,-$B$11,0)+$E$2*N129+$E$3*OFFSET(N129,-$B$11,0)+$E$4*OFFSET(N129,-2*$B$11,0),O128)</f>
        <v/>
      </c>
      <c r="P129">
        <f>INT((2^$J$12-1)*O129/100)/(2^$J$12-1)*100</f>
        <v/>
      </c>
      <c r="Q129">
        <f>RAND()*$G$12</f>
        <v/>
      </c>
      <c r="R129">
        <f>P129+Q129</f>
        <v/>
      </c>
      <c r="S129">
        <f>INT((2^$J$12-1)*R129/100)/(2^$J$12-1)*100</f>
        <v/>
      </c>
      <c r="T129">
        <f>RAND()*$G$12</f>
        <v/>
      </c>
      <c r="U129">
        <f>$I$1*U128-$I$2*U127+$I$3*R88+$I$4*R87</f>
        <v/>
      </c>
      <c r="V129">
        <f>INT((2^$J$12-1)*U129/100)/(2^$J$12-1)*100</f>
        <v/>
      </c>
      <c r="X129">
        <f>M129 * 1.05</f>
        <v/>
      </c>
    </row>
    <row r="130">
      <c r="L130" t="n">
        <v>128</v>
      </c>
      <c r="M130">
        <f>IF(L130&lt;$D$16,$D$13,IF(L130&lt;$E$16,$E$13,$F$13))</f>
        <v/>
      </c>
      <c r="N130">
        <f>M130-V130</f>
        <v/>
      </c>
      <c r="O130">
        <f>IF(MOD(L130,$B$11)=0,OFFSET(O130,-$B$11,0)+$E$2*N130+$E$3*OFFSET(N130,-$B$11,0)+$E$4*OFFSET(N130,-2*$B$11,0),O129)</f>
        <v/>
      </c>
      <c r="P130">
        <f>INT((2^$J$12-1)*O130/100)/(2^$J$12-1)*100</f>
        <v/>
      </c>
      <c r="Q130">
        <f>RAND()*$G$12</f>
        <v/>
      </c>
      <c r="R130">
        <f>P130+Q130</f>
        <v/>
      </c>
      <c r="S130">
        <f>INT((2^$J$12-1)*R130/100)/(2^$J$12-1)*100</f>
        <v/>
      </c>
      <c r="T130">
        <f>RAND()*$G$12</f>
        <v/>
      </c>
      <c r="U130">
        <f>$I$1*U129-$I$2*U128+$I$3*R89+$I$4*R88</f>
        <v/>
      </c>
      <c r="V130">
        <f>INT((2^$J$12-1)*U130/100)/(2^$J$12-1)*100</f>
        <v/>
      </c>
      <c r="X130">
        <f>M130 * 1.05</f>
        <v/>
      </c>
    </row>
    <row r="131">
      <c r="L131" t="n">
        <v>129</v>
      </c>
      <c r="M131">
        <f>IF(L131&lt;$D$16,$D$13,IF(L131&lt;$E$16,$E$13,$F$13))</f>
        <v/>
      </c>
      <c r="N131">
        <f>M131-V131</f>
        <v/>
      </c>
      <c r="O131">
        <f>IF(MOD(L131,$B$11)=0,OFFSET(O131,-$B$11,0)+$E$2*N131+$E$3*OFFSET(N131,-$B$11,0)+$E$4*OFFSET(N131,-2*$B$11,0),O130)</f>
        <v/>
      </c>
      <c r="P131">
        <f>INT((2^$J$12-1)*O131/100)/(2^$J$12-1)*100</f>
        <v/>
      </c>
      <c r="Q131">
        <f>RAND()*$G$12</f>
        <v/>
      </c>
      <c r="R131">
        <f>P131+Q131</f>
        <v/>
      </c>
      <c r="S131">
        <f>INT((2^$J$12-1)*R131/100)/(2^$J$12-1)*100</f>
        <v/>
      </c>
      <c r="T131">
        <f>RAND()*$G$12</f>
        <v/>
      </c>
      <c r="U131">
        <f>$I$1*U130-$I$2*U129+$I$3*R90+$I$4*R89</f>
        <v/>
      </c>
      <c r="V131">
        <f>INT((2^$J$12-1)*U131/100)/(2^$J$12-1)*100</f>
        <v/>
      </c>
      <c r="X131">
        <f>M131 * 1.05</f>
        <v/>
      </c>
    </row>
    <row r="132">
      <c r="L132" t="n">
        <v>130</v>
      </c>
      <c r="M132">
        <f>IF(L132&lt;$D$16,$D$13,IF(L132&lt;$E$16,$E$13,$F$13))</f>
        <v/>
      </c>
      <c r="N132">
        <f>M132-V132</f>
        <v/>
      </c>
      <c r="O132">
        <f>IF(MOD(L132,$B$11)=0,OFFSET(O132,-$B$11,0)+$E$2*N132+$E$3*OFFSET(N132,-$B$11,0)+$E$4*OFFSET(N132,-2*$B$11,0),O131)</f>
        <v/>
      </c>
      <c r="P132">
        <f>INT((2^$J$12-1)*O132/100)/(2^$J$12-1)*100</f>
        <v/>
      </c>
      <c r="Q132">
        <f>RAND()*$G$12</f>
        <v/>
      </c>
      <c r="R132">
        <f>P132+Q132</f>
        <v/>
      </c>
      <c r="S132">
        <f>INT((2^$J$12-1)*R132/100)/(2^$J$12-1)*100</f>
        <v/>
      </c>
      <c r="T132">
        <f>RAND()*$G$12</f>
        <v/>
      </c>
      <c r="U132">
        <f>$I$1*U131-$I$2*U130+$I$3*R91+$I$4*R90</f>
        <v/>
      </c>
      <c r="V132">
        <f>INT((2^$J$12-1)*U132/100)/(2^$J$12-1)*100</f>
        <v/>
      </c>
      <c r="X132">
        <f>M132 * 1.05</f>
        <v/>
      </c>
    </row>
    <row r="133">
      <c r="L133" t="n">
        <v>131</v>
      </c>
      <c r="M133">
        <f>IF(L133&lt;$D$16,$D$13,IF(L133&lt;$E$16,$E$13,$F$13))</f>
        <v/>
      </c>
      <c r="N133">
        <f>M133-V133</f>
        <v/>
      </c>
      <c r="O133">
        <f>IF(MOD(L133,$B$11)=0,OFFSET(O133,-$B$11,0)+$E$2*N133+$E$3*OFFSET(N133,-$B$11,0)+$E$4*OFFSET(N133,-2*$B$11,0),O132)</f>
        <v/>
      </c>
      <c r="P133">
        <f>INT((2^$J$12-1)*O133/100)/(2^$J$12-1)*100</f>
        <v/>
      </c>
      <c r="Q133">
        <f>RAND()*$G$12</f>
        <v/>
      </c>
      <c r="R133">
        <f>P133+Q133</f>
        <v/>
      </c>
      <c r="S133">
        <f>INT((2^$J$12-1)*R133/100)/(2^$J$12-1)*100</f>
        <v/>
      </c>
      <c r="T133">
        <f>RAND()*$G$12</f>
        <v/>
      </c>
      <c r="U133">
        <f>$I$1*U132-$I$2*U131+$I$3*R92+$I$4*R91</f>
        <v/>
      </c>
      <c r="V133">
        <f>INT((2^$J$12-1)*U133/100)/(2^$J$12-1)*100</f>
        <v/>
      </c>
      <c r="X133">
        <f>M133 * 1.05</f>
        <v/>
      </c>
    </row>
    <row r="134">
      <c r="L134" t="n">
        <v>132</v>
      </c>
      <c r="M134">
        <f>IF(L134&lt;$D$16,$D$13,IF(L134&lt;$E$16,$E$13,$F$13))</f>
        <v/>
      </c>
      <c r="N134">
        <f>M134-V134</f>
        <v/>
      </c>
      <c r="O134">
        <f>IF(MOD(L134,$B$11)=0,OFFSET(O134,-$B$11,0)+$E$2*N134+$E$3*OFFSET(N134,-$B$11,0)+$E$4*OFFSET(N134,-2*$B$11,0),O133)</f>
        <v/>
      </c>
      <c r="P134">
        <f>INT((2^$J$12-1)*O134/100)/(2^$J$12-1)*100</f>
        <v/>
      </c>
      <c r="Q134">
        <f>RAND()*$G$12</f>
        <v/>
      </c>
      <c r="R134">
        <f>P134+Q134</f>
        <v/>
      </c>
      <c r="S134">
        <f>INT((2^$J$12-1)*R134/100)/(2^$J$12-1)*100</f>
        <v/>
      </c>
      <c r="T134">
        <f>RAND()*$G$12</f>
        <v/>
      </c>
      <c r="U134">
        <f>$I$1*U133-$I$2*U132+$I$3*R93+$I$4*R92</f>
        <v/>
      </c>
      <c r="V134">
        <f>INT((2^$J$12-1)*U134/100)/(2^$J$12-1)*100</f>
        <v/>
      </c>
      <c r="X134">
        <f>M134 * 1.05</f>
        <v/>
      </c>
    </row>
    <row r="135">
      <c r="L135" t="n">
        <v>133</v>
      </c>
      <c r="M135">
        <f>IF(L135&lt;$D$16,$D$13,IF(L135&lt;$E$16,$E$13,$F$13))</f>
        <v/>
      </c>
      <c r="N135">
        <f>M135-V135</f>
        <v/>
      </c>
      <c r="O135">
        <f>IF(MOD(L135,$B$11)=0,OFFSET(O135,-$B$11,0)+$E$2*N135+$E$3*OFFSET(N135,-$B$11,0)+$E$4*OFFSET(N135,-2*$B$11,0),O134)</f>
        <v/>
      </c>
      <c r="P135">
        <f>INT((2^$J$12-1)*O135/100)/(2^$J$12-1)*100</f>
        <v/>
      </c>
      <c r="Q135">
        <f>RAND()*$G$12</f>
        <v/>
      </c>
      <c r="R135">
        <f>P135+Q135</f>
        <v/>
      </c>
      <c r="S135">
        <f>INT((2^$J$12-1)*R135/100)/(2^$J$12-1)*100</f>
        <v/>
      </c>
      <c r="T135">
        <f>RAND()*$G$12</f>
        <v/>
      </c>
      <c r="U135">
        <f>$I$1*U134-$I$2*U133+$I$3*R94+$I$4*R93</f>
        <v/>
      </c>
      <c r="V135">
        <f>INT((2^$J$12-1)*U135/100)/(2^$J$12-1)*100</f>
        <v/>
      </c>
      <c r="X135">
        <f>M135 * 1.05</f>
        <v/>
      </c>
    </row>
    <row r="136">
      <c r="L136" t="n">
        <v>134</v>
      </c>
      <c r="M136">
        <f>IF(L136&lt;$D$16,$D$13,IF(L136&lt;$E$16,$E$13,$F$13))</f>
        <v/>
      </c>
      <c r="N136">
        <f>M136-V136</f>
        <v/>
      </c>
      <c r="O136">
        <f>IF(MOD(L136,$B$11)=0,OFFSET(O136,-$B$11,0)+$E$2*N136+$E$3*OFFSET(N136,-$B$11,0)+$E$4*OFFSET(N136,-2*$B$11,0),O135)</f>
        <v/>
      </c>
      <c r="P136">
        <f>INT((2^$J$12-1)*O136/100)/(2^$J$12-1)*100</f>
        <v/>
      </c>
      <c r="Q136">
        <f>RAND()*$G$12</f>
        <v/>
      </c>
      <c r="R136">
        <f>P136+Q136</f>
        <v/>
      </c>
      <c r="S136">
        <f>INT((2^$J$12-1)*R136/100)/(2^$J$12-1)*100</f>
        <v/>
      </c>
      <c r="T136">
        <f>RAND()*$G$12</f>
        <v/>
      </c>
      <c r="U136">
        <f>$I$1*U135-$I$2*U134+$I$3*R95+$I$4*R94</f>
        <v/>
      </c>
      <c r="V136">
        <f>INT((2^$J$12-1)*U136/100)/(2^$J$12-1)*100</f>
        <v/>
      </c>
      <c r="X136">
        <f>M136 * 1.05</f>
        <v/>
      </c>
    </row>
    <row r="137">
      <c r="L137" t="n">
        <v>135</v>
      </c>
      <c r="M137">
        <f>IF(L137&lt;$D$16,$D$13,IF(L137&lt;$E$16,$E$13,$F$13))</f>
        <v/>
      </c>
      <c r="N137">
        <f>M137-V137</f>
        <v/>
      </c>
      <c r="O137">
        <f>IF(MOD(L137,$B$11)=0,OFFSET(O137,-$B$11,0)+$E$2*N137+$E$3*OFFSET(N137,-$B$11,0)+$E$4*OFFSET(N137,-2*$B$11,0),O136)</f>
        <v/>
      </c>
      <c r="P137">
        <f>INT((2^$J$12-1)*O137/100)/(2^$J$12-1)*100</f>
        <v/>
      </c>
      <c r="Q137">
        <f>RAND()*$G$12</f>
        <v/>
      </c>
      <c r="R137">
        <f>P137+Q137</f>
        <v/>
      </c>
      <c r="S137">
        <f>INT((2^$J$12-1)*R137/100)/(2^$J$12-1)*100</f>
        <v/>
      </c>
      <c r="T137">
        <f>RAND()*$G$12</f>
        <v/>
      </c>
      <c r="U137">
        <f>$I$1*U136-$I$2*U135+$I$3*R96+$I$4*R95</f>
        <v/>
      </c>
      <c r="V137">
        <f>INT((2^$J$12-1)*U137/100)/(2^$J$12-1)*100</f>
        <v/>
      </c>
      <c r="X137">
        <f>M137 * 1.05</f>
        <v/>
      </c>
    </row>
    <row r="138">
      <c r="L138" t="n">
        <v>136</v>
      </c>
      <c r="M138">
        <f>IF(L138&lt;$D$16,$D$13,IF(L138&lt;$E$16,$E$13,$F$13))</f>
        <v/>
      </c>
      <c r="N138">
        <f>M138-V138</f>
        <v/>
      </c>
      <c r="O138">
        <f>IF(MOD(L138,$B$11)=0,OFFSET(O138,-$B$11,0)+$E$2*N138+$E$3*OFFSET(N138,-$B$11,0)+$E$4*OFFSET(N138,-2*$B$11,0),O137)</f>
        <v/>
      </c>
      <c r="P138">
        <f>INT((2^$J$12-1)*O138/100)/(2^$J$12-1)*100</f>
        <v/>
      </c>
      <c r="Q138">
        <f>RAND()*$G$12</f>
        <v/>
      </c>
      <c r="R138">
        <f>P138+Q138</f>
        <v/>
      </c>
      <c r="S138">
        <f>INT((2^$J$12-1)*R138/100)/(2^$J$12-1)*100</f>
        <v/>
      </c>
      <c r="T138">
        <f>RAND()*$G$12</f>
        <v/>
      </c>
      <c r="U138">
        <f>$I$1*U137-$I$2*U136+$I$3*R97+$I$4*R96</f>
        <v/>
      </c>
      <c r="V138">
        <f>INT((2^$J$12-1)*U138/100)/(2^$J$12-1)*100</f>
        <v/>
      </c>
      <c r="X138">
        <f>M138 * 1.05</f>
        <v/>
      </c>
    </row>
    <row r="139">
      <c r="L139" t="n">
        <v>137</v>
      </c>
      <c r="M139">
        <f>IF(L139&lt;$D$16,$D$13,IF(L139&lt;$E$16,$E$13,$F$13))</f>
        <v/>
      </c>
      <c r="N139">
        <f>M139-V139</f>
        <v/>
      </c>
      <c r="O139">
        <f>IF(MOD(L139,$B$11)=0,OFFSET(O139,-$B$11,0)+$E$2*N139+$E$3*OFFSET(N139,-$B$11,0)+$E$4*OFFSET(N139,-2*$B$11,0),O138)</f>
        <v/>
      </c>
      <c r="P139">
        <f>INT((2^$J$12-1)*O139/100)/(2^$J$12-1)*100</f>
        <v/>
      </c>
      <c r="Q139">
        <f>RAND()*$G$12</f>
        <v/>
      </c>
      <c r="R139">
        <f>P139+Q139</f>
        <v/>
      </c>
      <c r="S139">
        <f>INT((2^$J$12-1)*R139/100)/(2^$J$12-1)*100</f>
        <v/>
      </c>
      <c r="T139">
        <f>RAND()*$G$12</f>
        <v/>
      </c>
      <c r="U139">
        <f>$I$1*U138-$I$2*U137+$I$3*R98+$I$4*R97</f>
        <v/>
      </c>
      <c r="V139">
        <f>INT((2^$J$12-1)*U139/100)/(2^$J$12-1)*100</f>
        <v/>
      </c>
      <c r="X139">
        <f>M139 * 1.05</f>
        <v/>
      </c>
    </row>
    <row r="140">
      <c r="L140" t="n">
        <v>138</v>
      </c>
      <c r="M140">
        <f>IF(L140&lt;$D$16,$D$13,IF(L140&lt;$E$16,$E$13,$F$13))</f>
        <v/>
      </c>
      <c r="N140">
        <f>M140-V140</f>
        <v/>
      </c>
      <c r="O140">
        <f>IF(MOD(L140,$B$11)=0,OFFSET(O140,-$B$11,0)+$E$2*N140+$E$3*OFFSET(N140,-$B$11,0)+$E$4*OFFSET(N140,-2*$B$11,0),O139)</f>
        <v/>
      </c>
      <c r="P140">
        <f>INT((2^$J$12-1)*O140/100)/(2^$J$12-1)*100</f>
        <v/>
      </c>
      <c r="Q140">
        <f>RAND()*$G$12</f>
        <v/>
      </c>
      <c r="R140">
        <f>P140+Q140</f>
        <v/>
      </c>
      <c r="S140">
        <f>INT((2^$J$12-1)*R140/100)/(2^$J$12-1)*100</f>
        <v/>
      </c>
      <c r="T140">
        <f>RAND()*$G$12</f>
        <v/>
      </c>
      <c r="U140">
        <f>$I$1*U139-$I$2*U138+$I$3*R99+$I$4*R98</f>
        <v/>
      </c>
      <c r="V140">
        <f>INT((2^$J$12-1)*U140/100)/(2^$J$12-1)*100</f>
        <v/>
      </c>
      <c r="X140">
        <f>M140 * 1.05</f>
        <v/>
      </c>
    </row>
    <row r="141">
      <c r="L141" t="n">
        <v>139</v>
      </c>
      <c r="M141">
        <f>IF(L141&lt;$D$16,$D$13,IF(L141&lt;$E$16,$E$13,$F$13))</f>
        <v/>
      </c>
      <c r="N141">
        <f>M141-V141</f>
        <v/>
      </c>
      <c r="O141">
        <f>IF(MOD(L141,$B$11)=0,OFFSET(O141,-$B$11,0)+$E$2*N141+$E$3*OFFSET(N141,-$B$11,0)+$E$4*OFFSET(N141,-2*$B$11,0),O140)</f>
        <v/>
      </c>
      <c r="P141">
        <f>INT((2^$J$12-1)*O141/100)/(2^$J$12-1)*100</f>
        <v/>
      </c>
      <c r="Q141">
        <f>RAND()*$G$12</f>
        <v/>
      </c>
      <c r="R141">
        <f>P141+Q141</f>
        <v/>
      </c>
      <c r="S141">
        <f>INT((2^$J$12-1)*R141/100)/(2^$J$12-1)*100</f>
        <v/>
      </c>
      <c r="T141">
        <f>RAND()*$G$12</f>
        <v/>
      </c>
      <c r="U141">
        <f>$I$1*U140-$I$2*U139+$I$3*R100+$I$4*R99</f>
        <v/>
      </c>
      <c r="V141">
        <f>INT((2^$J$12-1)*U141/100)/(2^$J$12-1)*100</f>
        <v/>
      </c>
      <c r="X141">
        <f>M141 * 1.05</f>
        <v/>
      </c>
    </row>
    <row r="142">
      <c r="L142" t="n">
        <v>140</v>
      </c>
      <c r="M142">
        <f>IF(L142&lt;$D$16,$D$13,IF(L142&lt;$E$16,$E$13,$F$13))</f>
        <v/>
      </c>
      <c r="N142">
        <f>M142-V142</f>
        <v/>
      </c>
      <c r="O142">
        <f>IF(MOD(L142,$B$11)=0,OFFSET(O142,-$B$11,0)+$E$2*N142+$E$3*OFFSET(N142,-$B$11,0)+$E$4*OFFSET(N142,-2*$B$11,0),O141)</f>
        <v/>
      </c>
      <c r="P142">
        <f>INT((2^$J$12-1)*O142/100)/(2^$J$12-1)*100</f>
        <v/>
      </c>
      <c r="Q142">
        <f>RAND()*$G$12</f>
        <v/>
      </c>
      <c r="R142">
        <f>P142+Q142</f>
        <v/>
      </c>
      <c r="S142">
        <f>INT((2^$J$12-1)*R142/100)/(2^$J$12-1)*100</f>
        <v/>
      </c>
      <c r="T142">
        <f>RAND()*$G$12</f>
        <v/>
      </c>
      <c r="U142">
        <f>$I$1*U141-$I$2*U140+$I$3*R101+$I$4*R100</f>
        <v/>
      </c>
      <c r="V142">
        <f>INT((2^$J$12-1)*U142/100)/(2^$J$12-1)*100</f>
        <v/>
      </c>
      <c r="X142">
        <f>M142 * 1.05</f>
        <v/>
      </c>
    </row>
    <row r="143">
      <c r="L143" t="n">
        <v>141</v>
      </c>
      <c r="M143">
        <f>IF(L143&lt;$D$16,$D$13,IF(L143&lt;$E$16,$E$13,$F$13))</f>
        <v/>
      </c>
      <c r="N143">
        <f>M143-V143</f>
        <v/>
      </c>
      <c r="O143">
        <f>IF(MOD(L143,$B$11)=0,OFFSET(O143,-$B$11,0)+$E$2*N143+$E$3*OFFSET(N143,-$B$11,0)+$E$4*OFFSET(N143,-2*$B$11,0),O142)</f>
        <v/>
      </c>
      <c r="P143">
        <f>INT((2^$J$12-1)*O143/100)/(2^$J$12-1)*100</f>
        <v/>
      </c>
      <c r="Q143">
        <f>RAND()*$G$12</f>
        <v/>
      </c>
      <c r="R143">
        <f>P143+Q143</f>
        <v/>
      </c>
      <c r="S143">
        <f>INT((2^$J$12-1)*R143/100)/(2^$J$12-1)*100</f>
        <v/>
      </c>
      <c r="T143">
        <f>RAND()*$G$12</f>
        <v/>
      </c>
      <c r="U143">
        <f>$I$1*U142-$I$2*U141+$I$3*R102+$I$4*R101</f>
        <v/>
      </c>
      <c r="V143">
        <f>INT((2^$J$12-1)*U143/100)/(2^$J$12-1)*100</f>
        <v/>
      </c>
    </row>
    <row r="144">
      <c r="L144" t="n">
        <v>142</v>
      </c>
      <c r="M144">
        <f>IF(L144&lt;$D$16,$D$13,IF(L144&lt;$E$16,$E$13,$F$13))</f>
        <v/>
      </c>
      <c r="N144">
        <f>M144-V144</f>
        <v/>
      </c>
      <c r="O144">
        <f>IF(MOD(L144,$B$11)=0,OFFSET(O144,-$B$11,0)+$E$2*N144+$E$3*OFFSET(N144,-$B$11,0)+$E$4*OFFSET(N144,-2*$B$11,0),O143)</f>
        <v/>
      </c>
      <c r="P144">
        <f>INT((2^$J$12-1)*O144/100)/(2^$J$12-1)*100</f>
        <v/>
      </c>
      <c r="Q144">
        <f>RAND()*$G$12</f>
        <v/>
      </c>
      <c r="R144">
        <f>P144+Q144</f>
        <v/>
      </c>
      <c r="S144">
        <f>INT((2^$J$12-1)*R144/100)/(2^$J$12-1)*100</f>
        <v/>
      </c>
      <c r="T144">
        <f>RAND()*$G$12</f>
        <v/>
      </c>
      <c r="U144">
        <f>$I$1*U143-$I$2*U142+$I$3*R103+$I$4*R102</f>
        <v/>
      </c>
      <c r="V144">
        <f>INT((2^$J$12-1)*U144/100)/(2^$J$12-1)*100</f>
        <v/>
      </c>
    </row>
    <row r="145">
      <c r="L145" t="n">
        <v>143</v>
      </c>
      <c r="M145">
        <f>IF(L145&lt;$D$16,$D$13,IF(L145&lt;$E$16,$E$13,$F$13))</f>
        <v/>
      </c>
      <c r="N145">
        <f>M145-V145</f>
        <v/>
      </c>
      <c r="O145">
        <f>IF(MOD(L145,$B$11)=0,OFFSET(O145,-$B$11,0)+$E$2*N145+$E$3*OFFSET(N145,-$B$11,0)+$E$4*OFFSET(N145,-2*$B$11,0),O144)</f>
        <v/>
      </c>
      <c r="P145">
        <f>INT((2^$J$12-1)*O145/100)/(2^$J$12-1)*100</f>
        <v/>
      </c>
      <c r="Q145">
        <f>RAND()*$G$12</f>
        <v/>
      </c>
      <c r="R145">
        <f>P145+Q145</f>
        <v/>
      </c>
      <c r="S145">
        <f>INT((2^$J$12-1)*R145/100)/(2^$J$12-1)*100</f>
        <v/>
      </c>
      <c r="T145">
        <f>RAND()*$G$12</f>
        <v/>
      </c>
      <c r="U145">
        <f>$I$1*U144-$I$2*U143+$I$3*R104+$I$4*R103</f>
        <v/>
      </c>
      <c r="V145">
        <f>INT((2^$J$12-1)*U145/100)/(2^$J$12-1)*100</f>
        <v/>
      </c>
    </row>
    <row r="146">
      <c r="L146" t="n">
        <v>144</v>
      </c>
      <c r="M146">
        <f>IF(L146&lt;$D$16,$D$13,IF(L146&lt;$E$16,$E$13,$F$13))</f>
        <v/>
      </c>
      <c r="N146">
        <f>M146-V146</f>
        <v/>
      </c>
      <c r="O146">
        <f>IF(MOD(L146,$B$11)=0,OFFSET(O146,-$B$11,0)+$E$2*N146+$E$3*OFFSET(N146,-$B$11,0)+$E$4*OFFSET(N146,-2*$B$11,0),O145)</f>
        <v/>
      </c>
      <c r="P146">
        <f>INT((2^$J$12-1)*O146/100)/(2^$J$12-1)*100</f>
        <v/>
      </c>
      <c r="Q146">
        <f>RAND()*$G$12</f>
        <v/>
      </c>
      <c r="R146">
        <f>P146+Q146</f>
        <v/>
      </c>
      <c r="S146">
        <f>INT((2^$J$12-1)*R146/100)/(2^$J$12-1)*100</f>
        <v/>
      </c>
      <c r="T146">
        <f>RAND()*$G$12</f>
        <v/>
      </c>
      <c r="U146">
        <f>$I$1*U145-$I$2*U144+$I$3*R105+$I$4*R104</f>
        <v/>
      </c>
      <c r="V146">
        <f>INT((2^$J$12-1)*U146/100)/(2^$J$12-1)*100</f>
        <v/>
      </c>
    </row>
    <row r="147">
      <c r="L147" t="n">
        <v>145</v>
      </c>
      <c r="M147">
        <f>IF(L147&lt;$D$16,$D$13,IF(L147&lt;$E$16,$E$13,$F$13))</f>
        <v/>
      </c>
      <c r="N147">
        <f>M147-V147</f>
        <v/>
      </c>
      <c r="O147">
        <f>IF(MOD(L147,$B$11)=0,OFFSET(O147,-$B$11,0)+$E$2*N147+$E$3*OFFSET(N147,-$B$11,0)+$E$4*OFFSET(N147,-2*$B$11,0),O146)</f>
        <v/>
      </c>
      <c r="P147">
        <f>INT((2^$J$12-1)*O147/100)/(2^$J$12-1)*100</f>
        <v/>
      </c>
      <c r="Q147">
        <f>RAND()*$G$12</f>
        <v/>
      </c>
      <c r="R147">
        <f>P147+Q147</f>
        <v/>
      </c>
      <c r="S147">
        <f>INT((2^$J$12-1)*R147/100)/(2^$J$12-1)*100</f>
        <v/>
      </c>
      <c r="T147">
        <f>RAND()*$G$12</f>
        <v/>
      </c>
      <c r="U147">
        <f>$I$1*U146-$I$2*U145+$I$3*R106+$I$4*R105</f>
        <v/>
      </c>
      <c r="V147">
        <f>INT((2^$J$12-1)*U147/100)/(2^$J$12-1)*100</f>
        <v/>
      </c>
    </row>
    <row r="148">
      <c r="L148" t="n">
        <v>146</v>
      </c>
      <c r="M148">
        <f>IF(L148&lt;$D$16,$D$13,IF(L148&lt;$E$16,$E$13,$F$13))</f>
        <v/>
      </c>
      <c r="N148">
        <f>M148-V148</f>
        <v/>
      </c>
      <c r="O148">
        <f>IF(MOD(L148,$B$11)=0,OFFSET(O148,-$B$11,0)+$E$2*N148+$E$3*OFFSET(N148,-$B$11,0)+$E$4*OFFSET(N148,-2*$B$11,0),O147)</f>
        <v/>
      </c>
      <c r="P148">
        <f>INT((2^$J$12-1)*O148/100)/(2^$J$12-1)*100</f>
        <v/>
      </c>
      <c r="Q148">
        <f>RAND()*$G$12</f>
        <v/>
      </c>
      <c r="R148">
        <f>P148+Q148</f>
        <v/>
      </c>
      <c r="S148">
        <f>INT((2^$J$12-1)*R148/100)/(2^$J$12-1)*100</f>
        <v/>
      </c>
      <c r="T148">
        <f>RAND()*$G$12</f>
        <v/>
      </c>
      <c r="U148">
        <f>$I$1*U147-$I$2*U146+$I$3*R107+$I$4*R106</f>
        <v/>
      </c>
      <c r="V148">
        <f>INT((2^$J$12-1)*U148/100)/(2^$J$12-1)*100</f>
        <v/>
      </c>
    </row>
    <row r="149">
      <c r="L149" t="n">
        <v>147</v>
      </c>
      <c r="M149">
        <f>IF(L149&lt;$D$16,$D$13,IF(L149&lt;$E$16,$E$13,$F$13))</f>
        <v/>
      </c>
      <c r="N149">
        <f>M149-V149</f>
        <v/>
      </c>
      <c r="O149">
        <f>IF(MOD(L149,$B$11)=0,OFFSET(O149,-$B$11,0)+$E$2*N149+$E$3*OFFSET(N149,-$B$11,0)+$E$4*OFFSET(N149,-2*$B$11,0),O148)</f>
        <v/>
      </c>
      <c r="P149">
        <f>INT((2^$J$12-1)*O149/100)/(2^$J$12-1)*100</f>
        <v/>
      </c>
      <c r="Q149">
        <f>RAND()*$G$12</f>
        <v/>
      </c>
      <c r="R149">
        <f>P149+Q149</f>
        <v/>
      </c>
      <c r="S149">
        <f>INT((2^$J$12-1)*R149/100)/(2^$J$12-1)*100</f>
        <v/>
      </c>
      <c r="T149">
        <f>RAND()*$G$12</f>
        <v/>
      </c>
      <c r="U149">
        <f>$I$1*U148-$I$2*U147+$I$3*R108+$I$4*R107</f>
        <v/>
      </c>
      <c r="V149">
        <f>INT((2^$J$12-1)*U149/100)/(2^$J$12-1)*100</f>
        <v/>
      </c>
    </row>
    <row r="150">
      <c r="L150" t="n">
        <v>148</v>
      </c>
      <c r="M150">
        <f>IF(L150&lt;$D$16,$D$13,IF(L150&lt;$E$16,$E$13,$F$13))</f>
        <v/>
      </c>
      <c r="N150">
        <f>M150-V150</f>
        <v/>
      </c>
      <c r="O150">
        <f>IF(MOD(L150,$B$11)=0,OFFSET(O150,-$B$11,0)+$E$2*N150+$E$3*OFFSET(N150,-$B$11,0)+$E$4*OFFSET(N150,-2*$B$11,0),O149)</f>
        <v/>
      </c>
      <c r="P150">
        <f>INT((2^$J$12-1)*O150/100)/(2^$J$12-1)*100</f>
        <v/>
      </c>
      <c r="Q150">
        <f>RAND()*$G$12</f>
        <v/>
      </c>
      <c r="R150">
        <f>P150+Q150</f>
        <v/>
      </c>
      <c r="S150">
        <f>INT((2^$J$12-1)*R150/100)/(2^$J$12-1)*100</f>
        <v/>
      </c>
      <c r="T150">
        <f>RAND()*$G$12</f>
        <v/>
      </c>
      <c r="U150">
        <f>$I$1*U149-$I$2*U148+$I$3*R109+$I$4*R108</f>
        <v/>
      </c>
      <c r="V150">
        <f>INT((2^$J$12-1)*U150/100)/(2^$J$12-1)*100</f>
        <v/>
      </c>
    </row>
    <row r="151">
      <c r="L151" t="n">
        <v>149</v>
      </c>
      <c r="M151">
        <f>IF(L151&lt;$D$16,$D$13,IF(L151&lt;$E$16,$E$13,$F$13))</f>
        <v/>
      </c>
      <c r="N151">
        <f>M151-V151</f>
        <v/>
      </c>
      <c r="O151">
        <f>IF(MOD(L151,$B$11)=0,OFFSET(O151,-$B$11,0)+$E$2*N151+$E$3*OFFSET(N151,-$B$11,0)+$E$4*OFFSET(N151,-2*$B$11,0),O150)</f>
        <v/>
      </c>
      <c r="P151">
        <f>INT((2^$J$12-1)*O151/100)/(2^$J$12-1)*100</f>
        <v/>
      </c>
      <c r="Q151">
        <f>RAND()*$G$12</f>
        <v/>
      </c>
      <c r="R151">
        <f>P151+Q151</f>
        <v/>
      </c>
      <c r="S151">
        <f>INT((2^$J$12-1)*R151/100)/(2^$J$12-1)*100</f>
        <v/>
      </c>
      <c r="T151">
        <f>RAND()*$G$12</f>
        <v/>
      </c>
      <c r="U151">
        <f>$I$1*U150-$I$2*U149+$I$3*R110+$I$4*R109</f>
        <v/>
      </c>
      <c r="V151">
        <f>INT((2^$J$12-1)*U151/100)/(2^$J$12-1)*100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2026-04-13T05:37:55Z</dcterms:created>
  <dcterms:modified xmlns:dcterms="http://purl.org/dc/terms/" xmlns:xsi="http://www.w3.org/2001/XMLSchema-instance" xsi:type="dcterms:W3CDTF">2026-05-19T09:30:17Z</dcterms:modified>
</cp:coreProperties>
</file>